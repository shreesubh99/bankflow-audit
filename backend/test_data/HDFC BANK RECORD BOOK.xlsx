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Custom Office Templates\"/>
    </mc:Choice>
  </mc:AlternateContent>
  <xr:revisionPtr revIDLastSave="0" documentId="13_ncr:1_{01884EC7-4F3C-496C-B98F-5D8BDA3FDE53}" xr6:coauthVersionLast="47" xr6:coauthVersionMax="47" xr10:uidLastSave="{00000000-0000-0000-0000-000000000000}"/>
  <bookViews>
    <workbookView xWindow="-120" yWindow="-120" windowWidth="21840" windowHeight="13140" firstSheet="113" activeTab="121" xr2:uid="{7EFC8892-BE72-4246-9A56-7073A4347BEC}"/>
  </bookViews>
  <sheets>
    <sheet name="2-MAY" sheetId="1" r:id="rId1"/>
    <sheet name="8-MAY" sheetId="2" r:id="rId2"/>
    <sheet name="12-MAY" sheetId="3" r:id="rId3"/>
    <sheet name="13-MAY" sheetId="4" r:id="rId4"/>
    <sheet name="14-MAY" sheetId="5" r:id="rId5"/>
    <sheet name="15-MAY" sheetId="6" r:id="rId6"/>
    <sheet name="16-MAY" sheetId="7" r:id="rId7"/>
    <sheet name="18-MAY" sheetId="8" r:id="rId8"/>
    <sheet name="19-MAY" sheetId="9" r:id="rId9"/>
    <sheet name="20-MAY" sheetId="10" r:id="rId10"/>
    <sheet name="21-MAY" sheetId="11" r:id="rId11"/>
    <sheet name="22-MAY" sheetId="12" r:id="rId12"/>
    <sheet name="23-MAY" sheetId="13" r:id="rId13"/>
    <sheet name="24-MAY" sheetId="14" r:id="rId14"/>
    <sheet name="25-MAY" sheetId="15" r:id="rId15"/>
    <sheet name="26-MAY" sheetId="16" r:id="rId16"/>
    <sheet name="27-MAY" sheetId="17" r:id="rId17"/>
    <sheet name="28-MAY" sheetId="18" r:id="rId18"/>
    <sheet name="29-MAY" sheetId="19" r:id="rId19"/>
    <sheet name="30-MAY" sheetId="20" r:id="rId20"/>
    <sheet name="31-MAY" sheetId="21" r:id="rId21"/>
    <sheet name="Sheet1" sheetId="52" r:id="rId22"/>
    <sheet name="Sheet2" sheetId="53" r:id="rId23"/>
    <sheet name="1-JUN" sheetId="22" r:id="rId24"/>
    <sheet name="2-JUN" sheetId="23" r:id="rId25"/>
    <sheet name="3-JUN" sheetId="24" r:id="rId26"/>
    <sheet name="4-JUN" sheetId="25" r:id="rId27"/>
    <sheet name="5-JUN" sheetId="26" r:id="rId28"/>
    <sheet name="6-JUN" sheetId="27" r:id="rId29"/>
    <sheet name="7-JUN" sheetId="28" r:id="rId30"/>
    <sheet name="8-JUN" sheetId="29" r:id="rId31"/>
    <sheet name="9-JUN" sheetId="30" r:id="rId32"/>
    <sheet name="10-JUN" sheetId="31" r:id="rId33"/>
    <sheet name="11-JUN" sheetId="32" r:id="rId34"/>
    <sheet name="12-JUN" sheetId="33" r:id="rId35"/>
    <sheet name="13-JUN" sheetId="34" r:id="rId36"/>
    <sheet name="14-JUN" sheetId="35" r:id="rId37"/>
    <sheet name="15-JUN" sheetId="36" r:id="rId38"/>
    <sheet name="16-JUN" sheetId="37" r:id="rId39"/>
    <sheet name="17-JUN" sheetId="38" r:id="rId40"/>
    <sheet name="18-JUN" sheetId="39" r:id="rId41"/>
    <sheet name="19-JUN" sheetId="40" r:id="rId42"/>
    <sheet name="20-JUN" sheetId="41" r:id="rId43"/>
    <sheet name="21-JUN" sheetId="42" r:id="rId44"/>
    <sheet name="22-JUN" sheetId="43" r:id="rId45"/>
    <sheet name="23-JUN" sheetId="44" r:id="rId46"/>
    <sheet name="24-JUN" sheetId="45" r:id="rId47"/>
    <sheet name="25-JUN" sheetId="46" r:id="rId48"/>
    <sheet name="26-JUN" sheetId="47" r:id="rId49"/>
    <sheet name="27-JUN" sheetId="48" r:id="rId50"/>
    <sheet name="28-JUN" sheetId="49" r:id="rId51"/>
    <sheet name="29-JUN" sheetId="50" r:id="rId52"/>
    <sheet name="Sheet3" sheetId="139" r:id="rId53"/>
    <sheet name="Sheet6" sheetId="142" r:id="rId54"/>
    <sheet name="30-JUN" sheetId="51" r:id="rId55"/>
    <sheet name="1-JUL" sheetId="54" r:id="rId56"/>
    <sheet name="2-JUL" sheetId="55" r:id="rId57"/>
    <sheet name="3-JUL" sheetId="56" r:id="rId58"/>
    <sheet name="4-JUL" sheetId="57" r:id="rId59"/>
    <sheet name="5-JUL" sheetId="58" r:id="rId60"/>
    <sheet name="6-JUL" sheetId="59" r:id="rId61"/>
    <sheet name="7-JUL" sheetId="60" r:id="rId62"/>
    <sheet name="8-JUL" sheetId="61" r:id="rId63"/>
    <sheet name="9-JUL" sheetId="62" r:id="rId64"/>
    <sheet name="10-JUL" sheetId="63" r:id="rId65"/>
    <sheet name="11-JUL" sheetId="64" r:id="rId66"/>
    <sheet name="12-JUL" sheetId="65" r:id="rId67"/>
    <sheet name="13-JUL" sheetId="66" r:id="rId68"/>
    <sheet name="14-JUL" sheetId="67" r:id="rId69"/>
    <sheet name="15-JUL" sheetId="68" r:id="rId70"/>
    <sheet name="16-JUL" sheetId="69" r:id="rId71"/>
    <sheet name="17-JUL" sheetId="70" r:id="rId72"/>
    <sheet name="18-JUL" sheetId="71" r:id="rId73"/>
    <sheet name="19-JUL" sheetId="72" r:id="rId74"/>
    <sheet name="20-JUL" sheetId="137" r:id="rId75"/>
    <sheet name="21-JUL" sheetId="73" r:id="rId76"/>
    <sheet name="22-JUL" sheetId="74" r:id="rId77"/>
    <sheet name="23-JUL" sheetId="75" r:id="rId78"/>
    <sheet name="24-JUL" sheetId="76" r:id="rId79"/>
    <sheet name="25-JUL" sheetId="77" r:id="rId80"/>
    <sheet name="26-JUL" sheetId="78" r:id="rId81"/>
    <sheet name="27-JUL" sheetId="138" r:id="rId82"/>
    <sheet name="28-JUL" sheetId="79" r:id="rId83"/>
    <sheet name="29-JUL" sheetId="80" r:id="rId84"/>
    <sheet name="30-JUL" sheetId="81" r:id="rId85"/>
    <sheet name="31-JUL" sheetId="82" r:id="rId86"/>
    <sheet name="1-AUG" sheetId="83" r:id="rId87"/>
    <sheet name="2-AUG" sheetId="84" r:id="rId88"/>
    <sheet name="3-AUG" sheetId="85" r:id="rId89"/>
    <sheet name="4-AUG" sheetId="86" r:id="rId90"/>
    <sheet name="5-AUG" sheetId="87" r:id="rId91"/>
    <sheet name="6-AUG" sheetId="88" r:id="rId92"/>
    <sheet name="7-AUG" sheetId="89" r:id="rId93"/>
    <sheet name="8-AUG" sheetId="90" r:id="rId94"/>
    <sheet name="9-AUG" sheetId="91" r:id="rId95"/>
    <sheet name="10-AUG" sheetId="92" r:id="rId96"/>
    <sheet name="11-AUG" sheetId="93" r:id="rId97"/>
    <sheet name="12-AUG" sheetId="94" r:id="rId98"/>
    <sheet name="13-AUG" sheetId="95" r:id="rId99"/>
    <sheet name="14-AUG" sheetId="96" r:id="rId100"/>
    <sheet name="15-AUG" sheetId="97" r:id="rId101"/>
    <sheet name="16-AUG" sheetId="98" r:id="rId102"/>
    <sheet name="17-AUG" sheetId="99" r:id="rId103"/>
    <sheet name="18-AUG" sheetId="100" r:id="rId104"/>
    <sheet name="19-AUG" sheetId="101" r:id="rId105"/>
    <sheet name="20-AUG" sheetId="102" r:id="rId106"/>
    <sheet name="21-AUG" sheetId="103" r:id="rId107"/>
    <sheet name="22-AUG" sheetId="104" r:id="rId108"/>
    <sheet name="23-AUG" sheetId="105" r:id="rId109"/>
    <sheet name="24-AUG" sheetId="106" r:id="rId110"/>
    <sheet name="25-AUG" sheetId="107" r:id="rId111"/>
    <sheet name="26-AUG" sheetId="108" r:id="rId112"/>
    <sheet name="27-AUG" sheetId="109" r:id="rId113"/>
    <sheet name="28-AUG" sheetId="110" r:id="rId114"/>
    <sheet name="29-AUG" sheetId="111" r:id="rId115"/>
    <sheet name="30-AUG" sheetId="112" r:id="rId116"/>
    <sheet name="31-AUG" sheetId="113" r:id="rId117"/>
    <sheet name="01-SEP" sheetId="114" r:id="rId118"/>
    <sheet name="02-SEP" sheetId="115" r:id="rId119"/>
    <sheet name="3-SEP" sheetId="116" r:id="rId120"/>
    <sheet name="4-SEP" sheetId="117" r:id="rId121"/>
    <sheet name="5-SEP" sheetId="118" r:id="rId122"/>
    <sheet name="Sheet68" sheetId="119" r:id="rId123"/>
    <sheet name="Sheet69" sheetId="120" r:id="rId124"/>
    <sheet name="Sheet70" sheetId="121" r:id="rId125"/>
    <sheet name="Sheet71" sheetId="122" r:id="rId126"/>
    <sheet name="Sheet72" sheetId="123" r:id="rId127"/>
    <sheet name="Sheet73" sheetId="124" r:id="rId128"/>
    <sheet name="Sheet74" sheetId="125" r:id="rId129"/>
    <sheet name="Sheet75" sheetId="126" r:id="rId130"/>
    <sheet name="Sheet76" sheetId="127" r:id="rId131"/>
    <sheet name="Sheet77" sheetId="128" r:id="rId132"/>
    <sheet name="Sheet78" sheetId="129" r:id="rId133"/>
    <sheet name="Sheet79" sheetId="130" r:id="rId134"/>
    <sheet name="Sheet80" sheetId="131" r:id="rId135"/>
    <sheet name="Sheet81" sheetId="132" r:id="rId136"/>
    <sheet name="Sheet82" sheetId="133" r:id="rId137"/>
    <sheet name="Sheet83" sheetId="134" r:id="rId138"/>
    <sheet name="Sheet84" sheetId="135" r:id="rId139"/>
    <sheet name="Sheet85" sheetId="136" r:id="rId140"/>
  </sheets>
  <definedNames>
    <definedName name="_xlnm.Print_Area" localSheetId="76">'22-JUL'!$A$1:$K$30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7" i="118" l="1"/>
  <c r="C28" i="117"/>
  <c r="C27" i="117"/>
  <c r="C20" i="116" l="1"/>
  <c r="C27" i="115" l="1"/>
  <c r="C26" i="115"/>
  <c r="C29" i="114" l="1"/>
  <c r="C28" i="114"/>
  <c r="C36" i="113" l="1"/>
  <c r="C35" i="113"/>
  <c r="C34" i="113"/>
  <c r="C32" i="113" l="1"/>
  <c r="C8" i="113"/>
  <c r="J7" i="113"/>
  <c r="J6" i="113"/>
  <c r="C23" i="113"/>
  <c r="C29" i="112"/>
  <c r="C28" i="112"/>
  <c r="C27" i="112"/>
  <c r="C23" i="111"/>
  <c r="C22" i="111"/>
  <c r="C21" i="111"/>
  <c r="C20" i="111"/>
  <c r="C30" i="110"/>
  <c r="C29" i="110"/>
  <c r="C28" i="110"/>
  <c r="C23" i="109"/>
  <c r="C21" i="109"/>
  <c r="C20" i="109"/>
  <c r="C26" i="110"/>
  <c r="C25" i="108"/>
  <c r="C24" i="108"/>
  <c r="C25" i="107"/>
  <c r="C24" i="107"/>
  <c r="J7" i="106"/>
  <c r="C26" i="106"/>
  <c r="C24" i="106"/>
  <c r="C23" i="106"/>
  <c r="C22" i="105"/>
  <c r="C21" i="105"/>
  <c r="C28" i="104"/>
  <c r="C27" i="104"/>
  <c r="C8" i="104"/>
  <c r="J6" i="104"/>
  <c r="C27" i="103"/>
  <c r="C17" i="103"/>
  <c r="C24" i="103"/>
  <c r="C23" i="103"/>
  <c r="C24" i="105" l="1"/>
  <c r="C6" i="103"/>
  <c r="C26" i="102"/>
  <c r="C25" i="102"/>
  <c r="C24" i="102"/>
  <c r="C30" i="90"/>
  <c r="C29" i="90"/>
  <c r="C28" i="90"/>
  <c r="C22" i="102"/>
  <c r="C34" i="101"/>
  <c r="C33" i="101"/>
  <c r="C32" i="101"/>
  <c r="C31" i="101"/>
  <c r="C30" i="101"/>
  <c r="C8" i="101" l="1"/>
  <c r="J7" i="101"/>
  <c r="C23" i="101"/>
  <c r="C20" i="100"/>
  <c r="C20" i="98"/>
  <c r="C19" i="98"/>
  <c r="C18" i="98"/>
  <c r="C18" i="99"/>
  <c r="J7" i="97"/>
  <c r="J6" i="97"/>
  <c r="C35" i="97"/>
  <c r="C34" i="97"/>
  <c r="C33" i="97"/>
  <c r="C32" i="97"/>
  <c r="C36" i="97" s="1"/>
  <c r="C23" i="97"/>
  <c r="C28" i="96"/>
  <c r="C27" i="96"/>
  <c r="C30" i="96" s="1"/>
  <c r="C21" i="95"/>
  <c r="C20" i="95"/>
  <c r="C18" i="95"/>
  <c r="C28" i="94"/>
  <c r="C27" i="94"/>
  <c r="C26" i="94"/>
  <c r="C22" i="93" l="1"/>
  <c r="C21" i="93"/>
  <c r="C26" i="92"/>
  <c r="C24" i="92"/>
  <c r="C23" i="91"/>
  <c r="C22" i="91"/>
  <c r="C21" i="91"/>
  <c r="C33" i="127"/>
  <c r="C32" i="127"/>
  <c r="C31" i="127"/>
  <c r="C34" i="127" s="1"/>
  <c r="C29" i="127"/>
  <c r="C22" i="127"/>
  <c r="D12" i="127"/>
  <c r="J12" i="127" s="1"/>
  <c r="J11" i="127"/>
  <c r="H8" i="127"/>
  <c r="C8" i="127"/>
  <c r="J6" i="127"/>
  <c r="J5" i="127"/>
  <c r="C33" i="126"/>
  <c r="C32" i="126"/>
  <c r="C31" i="126"/>
  <c r="C34" i="126" s="1"/>
  <c r="C29" i="126"/>
  <c r="C22" i="126"/>
  <c r="D13" i="126"/>
  <c r="D14" i="126" s="1"/>
  <c r="D12" i="126"/>
  <c r="J12" i="126" s="1"/>
  <c r="J11" i="126"/>
  <c r="H8" i="126"/>
  <c r="C8" i="126"/>
  <c r="J6" i="126"/>
  <c r="J5" i="126"/>
  <c r="C33" i="125"/>
  <c r="C32" i="125"/>
  <c r="C31" i="125"/>
  <c r="C34" i="125" s="1"/>
  <c r="C29" i="125"/>
  <c r="C22" i="125"/>
  <c r="D13" i="125"/>
  <c r="J13" i="125" s="1"/>
  <c r="D12" i="125"/>
  <c r="J12" i="125" s="1"/>
  <c r="J11" i="125"/>
  <c r="H8" i="125"/>
  <c r="C8" i="125"/>
  <c r="J6" i="125"/>
  <c r="J5" i="125"/>
  <c r="C33" i="124"/>
  <c r="C34" i="124" s="1"/>
  <c r="C32" i="124"/>
  <c r="C31" i="124"/>
  <c r="C29" i="124"/>
  <c r="C22" i="124"/>
  <c r="J12" i="124"/>
  <c r="D12" i="124"/>
  <c r="D13" i="124" s="1"/>
  <c r="J11" i="124"/>
  <c r="H8" i="124"/>
  <c r="C8" i="124"/>
  <c r="J6" i="124"/>
  <c r="J5" i="124"/>
  <c r="C33" i="123"/>
  <c r="C32" i="123"/>
  <c r="C31" i="123"/>
  <c r="C34" i="123" s="1"/>
  <c r="C29" i="123"/>
  <c r="C22" i="123"/>
  <c r="D13" i="123"/>
  <c r="D14" i="123" s="1"/>
  <c r="D12" i="123"/>
  <c r="J12" i="123" s="1"/>
  <c r="J11" i="123"/>
  <c r="H8" i="123"/>
  <c r="C8" i="123"/>
  <c r="J6" i="123"/>
  <c r="J5" i="123"/>
  <c r="C33" i="122"/>
  <c r="C32" i="122"/>
  <c r="C31" i="122"/>
  <c r="C34" i="122" s="1"/>
  <c r="C29" i="122"/>
  <c r="C22" i="122"/>
  <c r="D13" i="122"/>
  <c r="J13" i="122" s="1"/>
  <c r="D12" i="122"/>
  <c r="J12" i="122" s="1"/>
  <c r="J11" i="122"/>
  <c r="H8" i="122"/>
  <c r="C8" i="122"/>
  <c r="J6" i="122"/>
  <c r="J5" i="122"/>
  <c r="C33" i="121"/>
  <c r="C32" i="121"/>
  <c r="C31" i="121"/>
  <c r="C34" i="121" s="1"/>
  <c r="C29" i="121"/>
  <c r="C22" i="121"/>
  <c r="D13" i="121"/>
  <c r="D14" i="121" s="1"/>
  <c r="D12" i="121"/>
  <c r="J12" i="121" s="1"/>
  <c r="J11" i="121"/>
  <c r="H8" i="121"/>
  <c r="C8" i="121"/>
  <c r="J6" i="121"/>
  <c r="J5" i="121"/>
  <c r="C33" i="120"/>
  <c r="C32" i="120"/>
  <c r="C31" i="120"/>
  <c r="C34" i="120" s="1"/>
  <c r="C29" i="120"/>
  <c r="C22" i="120"/>
  <c r="D13" i="120"/>
  <c r="D14" i="120" s="1"/>
  <c r="D12" i="120"/>
  <c r="J12" i="120" s="1"/>
  <c r="J11" i="120"/>
  <c r="H8" i="120"/>
  <c r="C8" i="120"/>
  <c r="J6" i="120"/>
  <c r="J5" i="120"/>
  <c r="C33" i="119"/>
  <c r="C32" i="119"/>
  <c r="C31" i="119"/>
  <c r="C34" i="119" s="1"/>
  <c r="C29" i="119"/>
  <c r="C22" i="119"/>
  <c r="D13" i="119"/>
  <c r="D14" i="119" s="1"/>
  <c r="D12" i="119"/>
  <c r="J12" i="119" s="1"/>
  <c r="J11" i="119"/>
  <c r="H8" i="119"/>
  <c r="C8" i="119"/>
  <c r="J6" i="119"/>
  <c r="J5" i="119"/>
  <c r="C18" i="118"/>
  <c r="D10" i="118"/>
  <c r="J10" i="118" s="1"/>
  <c r="J9" i="118"/>
  <c r="H6" i="118"/>
  <c r="C6" i="118"/>
  <c r="J5" i="118"/>
  <c r="C25" i="117"/>
  <c r="C20" i="117"/>
  <c r="D11" i="117"/>
  <c r="J11" i="117" s="1"/>
  <c r="J10" i="117"/>
  <c r="H7" i="117"/>
  <c r="C7" i="117"/>
  <c r="J6" i="117"/>
  <c r="J5" i="117"/>
  <c r="C18" i="116"/>
  <c r="C12" i="116"/>
  <c r="D11" i="116"/>
  <c r="J11" i="116" s="1"/>
  <c r="J10" i="116"/>
  <c r="H7" i="116"/>
  <c r="C7" i="116"/>
  <c r="J6" i="116"/>
  <c r="J5" i="116"/>
  <c r="C24" i="115"/>
  <c r="C20" i="115"/>
  <c r="D12" i="115"/>
  <c r="J12" i="115" s="1"/>
  <c r="J11" i="115"/>
  <c r="H8" i="115"/>
  <c r="C8" i="115"/>
  <c r="J6" i="115"/>
  <c r="J5" i="115"/>
  <c r="C26" i="114"/>
  <c r="C19" i="114"/>
  <c r="D10" i="114"/>
  <c r="J10" i="114" s="1"/>
  <c r="J9" i="114"/>
  <c r="H6" i="114"/>
  <c r="C6" i="114"/>
  <c r="J5" i="114"/>
  <c r="D12" i="113"/>
  <c r="J12" i="113" s="1"/>
  <c r="J11" i="113"/>
  <c r="H8" i="113"/>
  <c r="J5" i="113"/>
  <c r="C25" i="112"/>
  <c r="C19" i="112"/>
  <c r="D10" i="112"/>
  <c r="J10" i="112" s="1"/>
  <c r="J9" i="112"/>
  <c r="H6" i="112"/>
  <c r="C6" i="112"/>
  <c r="J5" i="112"/>
  <c r="C18" i="111"/>
  <c r="C13" i="111"/>
  <c r="D10" i="111"/>
  <c r="J10" i="111" s="1"/>
  <c r="J9" i="111"/>
  <c r="H6" i="111"/>
  <c r="C6" i="111"/>
  <c r="J5" i="111"/>
  <c r="C17" i="110"/>
  <c r="D10" i="110"/>
  <c r="J10" i="110" s="1"/>
  <c r="J9" i="110"/>
  <c r="H6" i="110"/>
  <c r="C6" i="110"/>
  <c r="J5" i="110"/>
  <c r="C18" i="109"/>
  <c r="C13" i="109"/>
  <c r="D10" i="109"/>
  <c r="J10" i="109" s="1"/>
  <c r="J9" i="109"/>
  <c r="H6" i="109"/>
  <c r="C6" i="109"/>
  <c r="J5" i="109"/>
  <c r="C22" i="108"/>
  <c r="C17" i="108"/>
  <c r="J10" i="108"/>
  <c r="J9" i="108"/>
  <c r="H6" i="108"/>
  <c r="C6" i="108"/>
  <c r="J5" i="108"/>
  <c r="C22" i="107"/>
  <c r="C17" i="107"/>
  <c r="D10" i="107"/>
  <c r="J10" i="107" s="1"/>
  <c r="J9" i="107"/>
  <c r="H6" i="107"/>
  <c r="C6" i="107"/>
  <c r="J5" i="107"/>
  <c r="C21" i="106"/>
  <c r="C16" i="106"/>
  <c r="D12" i="106"/>
  <c r="J12" i="106" s="1"/>
  <c r="J11" i="106"/>
  <c r="H8" i="106"/>
  <c r="C8" i="106"/>
  <c r="J6" i="106"/>
  <c r="J5" i="106"/>
  <c r="C19" i="105"/>
  <c r="C12" i="105"/>
  <c r="D10" i="105"/>
  <c r="J10" i="105" s="1"/>
  <c r="J9" i="105"/>
  <c r="H6" i="105"/>
  <c r="C6" i="105"/>
  <c r="J5" i="105"/>
  <c r="C25" i="104"/>
  <c r="C20" i="104"/>
  <c r="D12" i="104"/>
  <c r="J12" i="104" s="1"/>
  <c r="J11" i="104"/>
  <c r="H8" i="104"/>
  <c r="J5" i="104"/>
  <c r="C21" i="103"/>
  <c r="J9" i="103"/>
  <c r="C16" i="102"/>
  <c r="D11" i="102"/>
  <c r="J11" i="102" s="1"/>
  <c r="J10" i="102"/>
  <c r="H7" i="102"/>
  <c r="C7" i="102"/>
  <c r="J6" i="102"/>
  <c r="J5" i="102"/>
  <c r="C28" i="101"/>
  <c r="D12" i="101"/>
  <c r="J12" i="101" s="1"/>
  <c r="J11" i="101"/>
  <c r="H8" i="101"/>
  <c r="J6" i="101"/>
  <c r="J5" i="101"/>
  <c r="C17" i="100"/>
  <c r="C10" i="100"/>
  <c r="J9" i="100"/>
  <c r="H6" i="100"/>
  <c r="C6" i="100"/>
  <c r="J5" i="100"/>
  <c r="C15" i="99"/>
  <c r="C11" i="99"/>
  <c r="D9" i="99"/>
  <c r="J9" i="99" s="1"/>
  <c r="J8" i="99"/>
  <c r="H6" i="99"/>
  <c r="C6" i="99"/>
  <c r="J5" i="99"/>
  <c r="C16" i="98"/>
  <c r="C12" i="98"/>
  <c r="D10" i="98"/>
  <c r="J10" i="98" s="1"/>
  <c r="J9" i="98"/>
  <c r="H6" i="98"/>
  <c r="C6" i="98"/>
  <c r="J5" i="98"/>
  <c r="C30" i="97"/>
  <c r="D12" i="97"/>
  <c r="J12" i="97" s="1"/>
  <c r="J11" i="97"/>
  <c r="H8" i="97"/>
  <c r="C8" i="97"/>
  <c r="J5" i="97"/>
  <c r="C25" i="96"/>
  <c r="C18" i="96"/>
  <c r="D10" i="96"/>
  <c r="J10" i="96" s="1"/>
  <c r="J9" i="96"/>
  <c r="H6" i="96"/>
  <c r="C6" i="96"/>
  <c r="J5" i="96"/>
  <c r="C16" i="95"/>
  <c r="C12" i="95"/>
  <c r="J10" i="95"/>
  <c r="J9" i="95"/>
  <c r="H6" i="95"/>
  <c r="C6" i="95"/>
  <c r="J5" i="95"/>
  <c r="C24" i="94"/>
  <c r="C18" i="94"/>
  <c r="D10" i="94"/>
  <c r="J10" i="94" s="1"/>
  <c r="J9" i="94"/>
  <c r="H6" i="94"/>
  <c r="C6" i="94"/>
  <c r="J5" i="94"/>
  <c r="C19" i="93"/>
  <c r="C15" i="93"/>
  <c r="D10" i="93"/>
  <c r="J10" i="93" s="1"/>
  <c r="J9" i="93"/>
  <c r="H6" i="93"/>
  <c r="C6" i="93"/>
  <c r="J5" i="93"/>
  <c r="C27" i="92"/>
  <c r="C22" i="92"/>
  <c r="C15" i="92"/>
  <c r="D10" i="92"/>
  <c r="J10" i="92" s="1"/>
  <c r="J9" i="92"/>
  <c r="H6" i="92"/>
  <c r="C6" i="92"/>
  <c r="J5" i="92"/>
  <c r="C7" i="90"/>
  <c r="J6" i="90"/>
  <c r="C22" i="90"/>
  <c r="C29" i="89"/>
  <c r="C31" i="89"/>
  <c r="C30" i="89"/>
  <c r="C28" i="89"/>
  <c r="C34" i="88"/>
  <c r="C35" i="88"/>
  <c r="C33" i="88"/>
  <c r="C32" i="118" l="1"/>
  <c r="D11" i="118"/>
  <c r="D12" i="118" s="1"/>
  <c r="C30" i="117"/>
  <c r="D12" i="117"/>
  <c r="D13" i="117" s="1"/>
  <c r="D14" i="117" s="1"/>
  <c r="C23" i="116"/>
  <c r="C29" i="115"/>
  <c r="D13" i="115"/>
  <c r="D14" i="115" s="1"/>
  <c r="C31" i="114"/>
  <c r="D11" i="114"/>
  <c r="D12" i="114" s="1"/>
  <c r="D13" i="114" s="1"/>
  <c r="D13" i="113"/>
  <c r="D14" i="113" s="1"/>
  <c r="J14" i="113" s="1"/>
  <c r="C37" i="113"/>
  <c r="D11" i="112"/>
  <c r="D12" i="112" s="1"/>
  <c r="C30" i="112"/>
  <c r="D11" i="110"/>
  <c r="D12" i="110" s="1"/>
  <c r="J12" i="110" s="1"/>
  <c r="C31" i="110"/>
  <c r="D11" i="109"/>
  <c r="J11" i="109" s="1"/>
  <c r="C27" i="108"/>
  <c r="D11" i="108"/>
  <c r="D12" i="108" s="1"/>
  <c r="J12" i="108" s="1"/>
  <c r="D11" i="107"/>
  <c r="D12" i="107" s="1"/>
  <c r="D13" i="107" s="1"/>
  <c r="C27" i="107"/>
  <c r="D13" i="106"/>
  <c r="J13" i="106" s="1"/>
  <c r="D11" i="105"/>
  <c r="J11" i="105" s="1"/>
  <c r="D13" i="104"/>
  <c r="D14" i="104" s="1"/>
  <c r="J14" i="104" s="1"/>
  <c r="C30" i="104"/>
  <c r="D10" i="103"/>
  <c r="J10" i="103" s="1"/>
  <c r="D12" i="102"/>
  <c r="D13" i="102" s="1"/>
  <c r="C27" i="102"/>
  <c r="D13" i="101"/>
  <c r="D14" i="101" s="1"/>
  <c r="J14" i="101" s="1"/>
  <c r="C22" i="100"/>
  <c r="C20" i="99"/>
  <c r="D10" i="99"/>
  <c r="C21" i="98"/>
  <c r="D11" i="98"/>
  <c r="D13" i="97"/>
  <c r="D14" i="97" s="1"/>
  <c r="J14" i="97" s="1"/>
  <c r="D11" i="96"/>
  <c r="D12" i="96" s="1"/>
  <c r="J11" i="95"/>
  <c r="C29" i="94"/>
  <c r="D11" i="94"/>
  <c r="D12" i="94" s="1"/>
  <c r="J12" i="94" s="1"/>
  <c r="C24" i="93"/>
  <c r="D11" i="93"/>
  <c r="D12" i="93" s="1"/>
  <c r="J12" i="93" s="1"/>
  <c r="D11" i="92"/>
  <c r="D12" i="92" s="1"/>
  <c r="J12" i="92" s="1"/>
  <c r="D13" i="127"/>
  <c r="J14" i="126"/>
  <c r="D15" i="126"/>
  <c r="J13" i="126"/>
  <c r="D14" i="125"/>
  <c r="D14" i="124"/>
  <c r="J13" i="124"/>
  <c r="J14" i="123"/>
  <c r="D15" i="123"/>
  <c r="J13" i="123"/>
  <c r="D14" i="122"/>
  <c r="J14" i="121"/>
  <c r="D15" i="121"/>
  <c r="J13" i="121"/>
  <c r="J14" i="120"/>
  <c r="D15" i="120"/>
  <c r="J13" i="120"/>
  <c r="J14" i="119"/>
  <c r="D15" i="119"/>
  <c r="J13" i="119"/>
  <c r="J12" i="118"/>
  <c r="D13" i="118"/>
  <c r="J11" i="118"/>
  <c r="J14" i="115"/>
  <c r="D15" i="115"/>
  <c r="J12" i="114"/>
  <c r="J12" i="112"/>
  <c r="D13" i="112"/>
  <c r="J11" i="112"/>
  <c r="D11" i="111"/>
  <c r="J11" i="110"/>
  <c r="J12" i="107"/>
  <c r="J11" i="107"/>
  <c r="D14" i="106"/>
  <c r="D15" i="104"/>
  <c r="J13" i="104"/>
  <c r="J13" i="102"/>
  <c r="D14" i="102"/>
  <c r="J12" i="102"/>
  <c r="J12" i="96"/>
  <c r="D13" i="96"/>
  <c r="J11" i="94"/>
  <c r="D13" i="93"/>
  <c r="J11" i="93"/>
  <c r="J11" i="92"/>
  <c r="C36" i="88"/>
  <c r="J13" i="117" l="1"/>
  <c r="J12" i="117"/>
  <c r="J13" i="115"/>
  <c r="J11" i="114"/>
  <c r="D15" i="113"/>
  <c r="J13" i="113"/>
  <c r="D13" i="110"/>
  <c r="D12" i="109"/>
  <c r="J11" i="108"/>
  <c r="D13" i="108"/>
  <c r="J13" i="108" s="1"/>
  <c r="D11" i="103"/>
  <c r="D15" i="101"/>
  <c r="J15" i="101" s="1"/>
  <c r="J13" i="101"/>
  <c r="J10" i="99"/>
  <c r="J11" i="98"/>
  <c r="J13" i="97"/>
  <c r="D15" i="97"/>
  <c r="J15" i="97" s="1"/>
  <c r="J11" i="96"/>
  <c r="D13" i="94"/>
  <c r="D13" i="92"/>
  <c r="D14" i="92" s="1"/>
  <c r="D14" i="127"/>
  <c r="J13" i="127"/>
  <c r="D16" i="126"/>
  <c r="J15" i="126"/>
  <c r="J14" i="125"/>
  <c r="D15" i="125"/>
  <c r="D15" i="124"/>
  <c r="J14" i="124"/>
  <c r="D16" i="123"/>
  <c r="J15" i="123"/>
  <c r="J14" i="122"/>
  <c r="D15" i="122"/>
  <c r="D16" i="121"/>
  <c r="J15" i="121"/>
  <c r="D16" i="120"/>
  <c r="J15" i="120"/>
  <c r="D16" i="119"/>
  <c r="J15" i="119"/>
  <c r="D14" i="118"/>
  <c r="J13" i="118"/>
  <c r="D15" i="117"/>
  <c r="J14" i="117"/>
  <c r="D16" i="115"/>
  <c r="J15" i="115"/>
  <c r="D14" i="114"/>
  <c r="J13" i="114"/>
  <c r="D16" i="113"/>
  <c r="J15" i="113"/>
  <c r="D14" i="112"/>
  <c r="J13" i="112"/>
  <c r="D12" i="111"/>
  <c r="J11" i="111"/>
  <c r="D14" i="110"/>
  <c r="J13" i="110"/>
  <c r="J12" i="109"/>
  <c r="D14" i="107"/>
  <c r="J13" i="107"/>
  <c r="J14" i="106"/>
  <c r="D15" i="106"/>
  <c r="D16" i="104"/>
  <c r="J15" i="104"/>
  <c r="J11" i="103"/>
  <c r="D12" i="103"/>
  <c r="D15" i="102"/>
  <c r="J14" i="102"/>
  <c r="D16" i="101"/>
  <c r="D16" i="97"/>
  <c r="D14" i="96"/>
  <c r="J13" i="96"/>
  <c r="D14" i="94"/>
  <c r="J13" i="94"/>
  <c r="D14" i="93"/>
  <c r="J13" i="93"/>
  <c r="C26" i="88"/>
  <c r="J5" i="88"/>
  <c r="C29" i="87"/>
  <c r="C28" i="87"/>
  <c r="C27" i="87"/>
  <c r="D14" i="108" l="1"/>
  <c r="D15" i="108" s="1"/>
  <c r="J13" i="92"/>
  <c r="J14" i="127"/>
  <c r="D15" i="127"/>
  <c r="J16" i="126"/>
  <c r="D17" i="126"/>
  <c r="J15" i="125"/>
  <c r="D16" i="125"/>
  <c r="D16" i="124"/>
  <c r="J15" i="124"/>
  <c r="J16" i="123"/>
  <c r="D17" i="123"/>
  <c r="J15" i="122"/>
  <c r="D16" i="122"/>
  <c r="J16" i="121"/>
  <c r="D17" i="121"/>
  <c r="J16" i="120"/>
  <c r="D17" i="120"/>
  <c r="J16" i="119"/>
  <c r="D17" i="119"/>
  <c r="J14" i="118"/>
  <c r="D15" i="118"/>
  <c r="J15" i="117"/>
  <c r="D16" i="117"/>
  <c r="J16" i="115"/>
  <c r="D17" i="115"/>
  <c r="J14" i="114"/>
  <c r="D15" i="114"/>
  <c r="J16" i="113"/>
  <c r="D17" i="113"/>
  <c r="J14" i="112"/>
  <c r="D15" i="112"/>
  <c r="J12" i="111"/>
  <c r="J14" i="110"/>
  <c r="D15" i="110"/>
  <c r="J14" i="108"/>
  <c r="J14" i="107"/>
  <c r="D15" i="107"/>
  <c r="J15" i="106"/>
  <c r="J16" i="104"/>
  <c r="D17" i="104"/>
  <c r="J12" i="103"/>
  <c r="D13" i="103"/>
  <c r="J15" i="102"/>
  <c r="J16" i="101"/>
  <c r="D17" i="101"/>
  <c r="J16" i="97"/>
  <c r="D17" i="97"/>
  <c r="J14" i="96"/>
  <c r="D15" i="96"/>
  <c r="J14" i="94"/>
  <c r="D15" i="94"/>
  <c r="J14" i="93"/>
  <c r="J14" i="92"/>
  <c r="J9" i="87"/>
  <c r="J8" i="87"/>
  <c r="J7" i="87"/>
  <c r="C10" i="87"/>
  <c r="D16" i="127" l="1"/>
  <c r="J15" i="127"/>
  <c r="D18" i="126"/>
  <c r="J17" i="126"/>
  <c r="J16" i="125"/>
  <c r="D17" i="125"/>
  <c r="J16" i="124"/>
  <c r="D17" i="124"/>
  <c r="D18" i="123"/>
  <c r="J17" i="123"/>
  <c r="J16" i="122"/>
  <c r="D17" i="122"/>
  <c r="D18" i="121"/>
  <c r="J17" i="121"/>
  <c r="D18" i="120"/>
  <c r="J17" i="120"/>
  <c r="D18" i="119"/>
  <c r="J17" i="119"/>
  <c r="D16" i="118"/>
  <c r="J15" i="118"/>
  <c r="D17" i="117"/>
  <c r="J16" i="117"/>
  <c r="D18" i="115"/>
  <c r="J17" i="115"/>
  <c r="D16" i="114"/>
  <c r="J15" i="114"/>
  <c r="D18" i="113"/>
  <c r="J17" i="113"/>
  <c r="D16" i="112"/>
  <c r="J15" i="112"/>
  <c r="D16" i="110"/>
  <c r="J15" i="110"/>
  <c r="D16" i="108"/>
  <c r="J15" i="108"/>
  <c r="D16" i="107"/>
  <c r="J15" i="107"/>
  <c r="D18" i="104"/>
  <c r="J17" i="104"/>
  <c r="J13" i="103"/>
  <c r="D14" i="103"/>
  <c r="D15" i="103" s="1"/>
  <c r="D18" i="101"/>
  <c r="J17" i="101"/>
  <c r="D18" i="97"/>
  <c r="J17" i="97"/>
  <c r="D16" i="96"/>
  <c r="J15" i="96"/>
  <c r="D16" i="94"/>
  <c r="J15" i="94"/>
  <c r="C24" i="86"/>
  <c r="C23" i="86"/>
  <c r="J15" i="103" l="1"/>
  <c r="D16" i="103"/>
  <c r="J16" i="103" s="1"/>
  <c r="J16" i="127"/>
  <c r="D17" i="127"/>
  <c r="J18" i="126"/>
  <c r="D19" i="126"/>
  <c r="J17" i="125"/>
  <c r="D18" i="125"/>
  <c r="D18" i="124"/>
  <c r="J17" i="124"/>
  <c r="J18" i="123"/>
  <c r="D19" i="123"/>
  <c r="J17" i="122"/>
  <c r="D18" i="122"/>
  <c r="J18" i="121"/>
  <c r="D19" i="121"/>
  <c r="J18" i="120"/>
  <c r="D19" i="120"/>
  <c r="J18" i="119"/>
  <c r="D19" i="119"/>
  <c r="J16" i="118"/>
  <c r="D17" i="118"/>
  <c r="J17" i="117"/>
  <c r="D18" i="117"/>
  <c r="J18" i="115"/>
  <c r="D19" i="115"/>
  <c r="J16" i="114"/>
  <c r="D17" i="114"/>
  <c r="J18" i="113"/>
  <c r="D19" i="113"/>
  <c r="J16" i="112"/>
  <c r="D17" i="112"/>
  <c r="J16" i="110"/>
  <c r="J16" i="108"/>
  <c r="J16" i="107"/>
  <c r="J18" i="104"/>
  <c r="D19" i="104"/>
  <c r="J14" i="103"/>
  <c r="J18" i="101"/>
  <c r="D19" i="101"/>
  <c r="J18" i="97"/>
  <c r="D19" i="97"/>
  <c r="J16" i="96"/>
  <c r="D17" i="96"/>
  <c r="J16" i="94"/>
  <c r="D17" i="94"/>
  <c r="C30" i="85"/>
  <c r="C29" i="85"/>
  <c r="C28" i="85"/>
  <c r="D18" i="127" l="1"/>
  <c r="J17" i="127"/>
  <c r="D20" i="126"/>
  <c r="J19" i="126"/>
  <c r="J18" i="125"/>
  <c r="D19" i="125"/>
  <c r="J18" i="124"/>
  <c r="D19" i="124"/>
  <c r="D20" i="123"/>
  <c r="J19" i="123"/>
  <c r="J18" i="122"/>
  <c r="D19" i="122"/>
  <c r="D20" i="121"/>
  <c r="J19" i="121"/>
  <c r="D20" i="120"/>
  <c r="J19" i="120"/>
  <c r="D20" i="119"/>
  <c r="J19" i="119"/>
  <c r="J17" i="118"/>
  <c r="D19" i="117"/>
  <c r="J18" i="117"/>
  <c r="J19" i="115"/>
  <c r="D18" i="114"/>
  <c r="J17" i="114"/>
  <c r="D20" i="113"/>
  <c r="J19" i="113"/>
  <c r="D18" i="112"/>
  <c r="J17" i="112"/>
  <c r="J19" i="104"/>
  <c r="D20" i="101"/>
  <c r="J19" i="101"/>
  <c r="D20" i="97"/>
  <c r="J19" i="97"/>
  <c r="J17" i="96"/>
  <c r="J17" i="94"/>
  <c r="C22" i="84"/>
  <c r="J18" i="127" l="1"/>
  <c r="D19" i="127"/>
  <c r="J20" i="126"/>
  <c r="D21" i="126"/>
  <c r="J21" i="126" s="1"/>
  <c r="J19" i="125"/>
  <c r="D20" i="125"/>
  <c r="D20" i="124"/>
  <c r="J19" i="124"/>
  <c r="J20" i="123"/>
  <c r="D21" i="123"/>
  <c r="J21" i="123" s="1"/>
  <c r="J19" i="122"/>
  <c r="D20" i="122"/>
  <c r="J20" i="121"/>
  <c r="D21" i="121"/>
  <c r="J21" i="121" s="1"/>
  <c r="J20" i="120"/>
  <c r="D21" i="120"/>
  <c r="J21" i="120" s="1"/>
  <c r="J20" i="119"/>
  <c r="D21" i="119"/>
  <c r="J21" i="119" s="1"/>
  <c r="J19" i="117"/>
  <c r="J18" i="114"/>
  <c r="J20" i="113"/>
  <c r="D21" i="113"/>
  <c r="J18" i="112"/>
  <c r="J20" i="101"/>
  <c r="D21" i="101"/>
  <c r="J20" i="97"/>
  <c r="D21" i="97"/>
  <c r="C20" i="84"/>
  <c r="C33" i="83"/>
  <c r="C32" i="83"/>
  <c r="C31" i="83"/>
  <c r="J21" i="113" l="1"/>
  <c r="D22" i="113"/>
  <c r="J22" i="113" s="1"/>
  <c r="J21" i="101"/>
  <c r="D22" i="101"/>
  <c r="J22" i="101" s="1"/>
  <c r="J21" i="97"/>
  <c r="D22" i="97"/>
  <c r="J22" i="97" s="1"/>
  <c r="D20" i="127"/>
  <c r="J19" i="127"/>
  <c r="J20" i="125"/>
  <c r="D21" i="125"/>
  <c r="J21" i="125" s="1"/>
  <c r="J20" i="124"/>
  <c r="D21" i="124"/>
  <c r="J21" i="124" s="1"/>
  <c r="J20" i="122"/>
  <c r="D21" i="122"/>
  <c r="J21" i="122" s="1"/>
  <c r="C7" i="83"/>
  <c r="J6" i="83"/>
  <c r="C22" i="83"/>
  <c r="J5" i="83"/>
  <c r="C27" i="82"/>
  <c r="C26" i="82"/>
  <c r="J20" i="127" l="1"/>
  <c r="D21" i="127"/>
  <c r="J21" i="127" s="1"/>
  <c r="C32" i="81"/>
  <c r="C31" i="81"/>
  <c r="C11" i="81" l="1"/>
  <c r="J10" i="81"/>
  <c r="J9" i="81"/>
  <c r="J8" i="81"/>
  <c r="C31" i="80"/>
  <c r="C30" i="80"/>
  <c r="C29" i="80"/>
  <c r="C27" i="80"/>
  <c r="C8" i="80"/>
  <c r="C31" i="79"/>
  <c r="C30" i="79"/>
  <c r="C29" i="79"/>
  <c r="C25" i="138"/>
  <c r="C24" i="138"/>
  <c r="C22" i="78" l="1"/>
  <c r="C21" i="78"/>
  <c r="C26" i="77" l="1"/>
  <c r="C25" i="77"/>
  <c r="C24" i="77"/>
  <c r="C23" i="77"/>
  <c r="C27" i="77" s="1"/>
  <c r="C19" i="76" l="1"/>
  <c r="C17" i="84"/>
  <c r="C12" i="84"/>
  <c r="D11" i="84"/>
  <c r="J11" i="84" s="1"/>
  <c r="J10" i="84"/>
  <c r="H7" i="84"/>
  <c r="C7" i="84"/>
  <c r="J6" i="84"/>
  <c r="J5" i="84"/>
  <c r="C29" i="83"/>
  <c r="D11" i="83"/>
  <c r="J11" i="83" s="1"/>
  <c r="J10" i="83"/>
  <c r="H7" i="83"/>
  <c r="C24" i="82"/>
  <c r="C19" i="82"/>
  <c r="D10" i="82"/>
  <c r="J10" i="82" s="1"/>
  <c r="J9" i="82"/>
  <c r="H6" i="82"/>
  <c r="C6" i="82"/>
  <c r="J5" i="82"/>
  <c r="C29" i="81"/>
  <c r="C22" i="81"/>
  <c r="D15" i="81"/>
  <c r="J15" i="81" s="1"/>
  <c r="J14" i="81"/>
  <c r="H11" i="81"/>
  <c r="J7" i="81"/>
  <c r="J6" i="81"/>
  <c r="J5" i="81"/>
  <c r="C19" i="80"/>
  <c r="D12" i="80"/>
  <c r="J12" i="80" s="1"/>
  <c r="J11" i="80"/>
  <c r="H8" i="80"/>
  <c r="J7" i="80"/>
  <c r="J6" i="80"/>
  <c r="J5" i="80"/>
  <c r="C27" i="79"/>
  <c r="C20" i="79"/>
  <c r="D10" i="79"/>
  <c r="J10" i="79" s="1"/>
  <c r="J9" i="79"/>
  <c r="H6" i="79"/>
  <c r="C6" i="79"/>
  <c r="J5" i="79"/>
  <c r="C22" i="138"/>
  <c r="C18" i="138"/>
  <c r="D10" i="138"/>
  <c r="J10" i="138" s="1"/>
  <c r="J9" i="138"/>
  <c r="H6" i="138"/>
  <c r="C6" i="138"/>
  <c r="J5" i="138"/>
  <c r="C19" i="78"/>
  <c r="C15" i="78"/>
  <c r="D10" i="78"/>
  <c r="J10" i="78" s="1"/>
  <c r="J9" i="78"/>
  <c r="H6" i="78"/>
  <c r="C6" i="78"/>
  <c r="J5" i="78"/>
  <c r="C21" i="77"/>
  <c r="C16" i="77"/>
  <c r="D10" i="77"/>
  <c r="J10" i="77" s="1"/>
  <c r="J9" i="77"/>
  <c r="H6" i="77"/>
  <c r="C6" i="77"/>
  <c r="J5" i="77"/>
  <c r="C34" i="83" l="1"/>
  <c r="D12" i="83"/>
  <c r="J12" i="83" s="1"/>
  <c r="D11" i="82"/>
  <c r="D12" i="82" s="1"/>
  <c r="J12" i="82" s="1"/>
  <c r="C29" i="82"/>
  <c r="C34" i="81"/>
  <c r="C32" i="80"/>
  <c r="C32" i="79"/>
  <c r="C27" i="138"/>
  <c r="C24" i="78"/>
  <c r="D16" i="81"/>
  <c r="D17" i="81" s="1"/>
  <c r="D18" i="81" s="1"/>
  <c r="D13" i="80"/>
  <c r="D14" i="80" s="1"/>
  <c r="D15" i="80" s="1"/>
  <c r="D11" i="79"/>
  <c r="D12" i="79" s="1"/>
  <c r="D11" i="138"/>
  <c r="D12" i="138" s="1"/>
  <c r="J12" i="138" s="1"/>
  <c r="D13" i="82"/>
  <c r="J11" i="82"/>
  <c r="D11" i="78"/>
  <c r="D12" i="78" s="1"/>
  <c r="J12" i="78" s="1"/>
  <c r="J12" i="79"/>
  <c r="D13" i="79"/>
  <c r="J11" i="79"/>
  <c r="D11" i="77"/>
  <c r="D12" i="77" s="1"/>
  <c r="J12" i="77"/>
  <c r="D13" i="77"/>
  <c r="D13" i="83" l="1"/>
  <c r="J17" i="81"/>
  <c r="J16" i="81"/>
  <c r="J14" i="80"/>
  <c r="J13" i="80"/>
  <c r="J11" i="78"/>
  <c r="D13" i="78"/>
  <c r="J13" i="78" s="1"/>
  <c r="J11" i="77"/>
  <c r="J11" i="138"/>
  <c r="D13" i="138"/>
  <c r="J13" i="138" s="1"/>
  <c r="J13" i="83"/>
  <c r="D14" i="83"/>
  <c r="D14" i="82"/>
  <c r="J13" i="82"/>
  <c r="D19" i="81"/>
  <c r="J18" i="81"/>
  <c r="D16" i="80"/>
  <c r="J15" i="80"/>
  <c r="D14" i="79"/>
  <c r="J13" i="79"/>
  <c r="D14" i="78"/>
  <c r="D14" i="77"/>
  <c r="J13" i="77"/>
  <c r="D14" i="138" l="1"/>
  <c r="D15" i="138" s="1"/>
  <c r="J14" i="83"/>
  <c r="D15" i="83"/>
  <c r="J14" i="82"/>
  <c r="D15" i="82"/>
  <c r="J19" i="81"/>
  <c r="D20" i="81"/>
  <c r="J16" i="80"/>
  <c r="D17" i="80"/>
  <c r="J14" i="79"/>
  <c r="D15" i="79"/>
  <c r="J14" i="78"/>
  <c r="J14" i="77"/>
  <c r="D15" i="77"/>
  <c r="J14" i="138" l="1"/>
  <c r="J15" i="83"/>
  <c r="D16" i="83"/>
  <c r="D16" i="82"/>
  <c r="J15" i="82"/>
  <c r="D21" i="81"/>
  <c r="J20" i="81"/>
  <c r="D18" i="80"/>
  <c r="J17" i="80"/>
  <c r="D16" i="79"/>
  <c r="J15" i="79"/>
  <c r="D16" i="138"/>
  <c r="J15" i="138"/>
  <c r="J15" i="77"/>
  <c r="J16" i="83" l="1"/>
  <c r="D17" i="83"/>
  <c r="J16" i="82"/>
  <c r="D17" i="82"/>
  <c r="J21" i="81"/>
  <c r="J18" i="80"/>
  <c r="J16" i="79"/>
  <c r="D17" i="79"/>
  <c r="J16" i="138"/>
  <c r="D17" i="138"/>
  <c r="J17" i="83" l="1"/>
  <c r="D18" i="83"/>
  <c r="D18" i="82"/>
  <c r="J17" i="82"/>
  <c r="D18" i="79"/>
  <c r="J17" i="79"/>
  <c r="J17" i="138"/>
  <c r="J18" i="83" l="1"/>
  <c r="D19" i="83"/>
  <c r="J18" i="82"/>
  <c r="J18" i="79"/>
  <c r="D19" i="79"/>
  <c r="J19" i="79" s="1"/>
  <c r="J19" i="83" l="1"/>
  <c r="D20" i="83"/>
  <c r="J20" i="83" l="1"/>
  <c r="D21" i="83"/>
  <c r="J21" i="83" s="1"/>
  <c r="C28" i="75"/>
  <c r="C27" i="75"/>
  <c r="J6" i="75"/>
  <c r="J7" i="75"/>
  <c r="C8" i="75"/>
  <c r="O18" i="74"/>
  <c r="N18" i="74"/>
  <c r="N17" i="74"/>
  <c r="N16" i="74"/>
  <c r="O15" i="74"/>
  <c r="N15" i="74"/>
  <c r="O14" i="74"/>
  <c r="N14" i="74"/>
  <c r="O12" i="74"/>
  <c r="N12" i="74"/>
  <c r="O11" i="74"/>
  <c r="N11" i="74"/>
  <c r="O10" i="74"/>
  <c r="N10" i="74"/>
  <c r="O9" i="74"/>
  <c r="O20" i="74" s="1"/>
  <c r="N9" i="74"/>
  <c r="C30" i="74" l="1"/>
  <c r="C28" i="74"/>
  <c r="C27" i="74"/>
  <c r="C29" i="73"/>
  <c r="C28" i="73"/>
  <c r="C40" i="137" l="1"/>
  <c r="C39" i="137"/>
  <c r="C38" i="137"/>
  <c r="J28" i="137" l="1"/>
  <c r="J27" i="137"/>
  <c r="J26" i="137"/>
  <c r="J25" i="137"/>
  <c r="J24" i="137"/>
  <c r="J23" i="137"/>
  <c r="J22" i="137"/>
  <c r="J21" i="137"/>
  <c r="J20" i="137"/>
  <c r="J19" i="137"/>
  <c r="J18" i="137"/>
  <c r="J17" i="137"/>
  <c r="J16" i="137"/>
  <c r="J15" i="137"/>
  <c r="D28" i="137"/>
  <c r="D27" i="137"/>
  <c r="D26" i="137"/>
  <c r="D25" i="137"/>
  <c r="D24" i="137"/>
  <c r="D23" i="137"/>
  <c r="D22" i="137"/>
  <c r="D21" i="137"/>
  <c r="D20" i="137"/>
  <c r="D19" i="137"/>
  <c r="D18" i="137"/>
  <c r="D17" i="137"/>
  <c r="D16" i="137"/>
  <c r="D15" i="137"/>
  <c r="C29" i="137"/>
  <c r="C36" i="137"/>
  <c r="D10" i="137"/>
  <c r="D11" i="137" s="1"/>
  <c r="J9" i="137"/>
  <c r="H6" i="137"/>
  <c r="C6" i="137"/>
  <c r="J5" i="137"/>
  <c r="C27" i="72"/>
  <c r="C27" i="71"/>
  <c r="C26" i="71"/>
  <c r="C41" i="137" l="1"/>
  <c r="D12" i="137"/>
  <c r="J11" i="137"/>
  <c r="J10" i="137"/>
  <c r="J7" i="71"/>
  <c r="N28" i="70"/>
  <c r="N30" i="70"/>
  <c r="N22" i="70"/>
  <c r="N21" i="70"/>
  <c r="N20" i="70"/>
  <c r="N19" i="70"/>
  <c r="N18" i="70"/>
  <c r="C36" i="70"/>
  <c r="C35" i="70"/>
  <c r="C34" i="70"/>
  <c r="C33" i="70"/>
  <c r="C31" i="70"/>
  <c r="C34" i="69"/>
  <c r="C33" i="69"/>
  <c r="C32" i="69"/>
  <c r="C31" i="69"/>
  <c r="D13" i="137" l="1"/>
  <c r="J12" i="137"/>
  <c r="C11" i="69"/>
  <c r="J10" i="69"/>
  <c r="J9" i="69"/>
  <c r="J8" i="69"/>
  <c r="J7" i="69"/>
  <c r="H35" i="68"/>
  <c r="H34" i="68"/>
  <c r="H33" i="68"/>
  <c r="C32" i="68"/>
  <c r="C34" i="68"/>
  <c r="C33" i="68"/>
  <c r="C24" i="68"/>
  <c r="C12" i="68"/>
  <c r="J11" i="68"/>
  <c r="J10" i="68"/>
  <c r="J9" i="68"/>
  <c r="J8" i="68"/>
  <c r="J7" i="68"/>
  <c r="C26" i="67"/>
  <c r="C25" i="67"/>
  <c r="C25" i="66"/>
  <c r="C24" i="66"/>
  <c r="C23" i="66"/>
  <c r="D14" i="137" l="1"/>
  <c r="J14" i="137" s="1"/>
  <c r="J13" i="137"/>
  <c r="C6" i="62"/>
  <c r="H6" i="62"/>
  <c r="C23" i="65"/>
  <c r="C22" i="65"/>
  <c r="C22" i="64"/>
  <c r="C21" i="64"/>
  <c r="C27" i="63"/>
  <c r="C26" i="63"/>
  <c r="C7" i="63"/>
  <c r="C25" i="63"/>
  <c r="C24" i="63"/>
  <c r="C15" i="63"/>
  <c r="J14" i="63"/>
  <c r="D14" i="63"/>
  <c r="C25" i="62"/>
  <c r="C24" i="62"/>
  <c r="J6" i="63"/>
  <c r="C22" i="63"/>
  <c r="C31" i="61"/>
  <c r="C30" i="61"/>
  <c r="C24" i="61" l="1"/>
  <c r="C21" i="60"/>
  <c r="C20" i="60"/>
  <c r="C36" i="59" l="1"/>
  <c r="C35" i="59"/>
  <c r="C34" i="59" l="1"/>
  <c r="C33" i="59"/>
  <c r="C32" i="59"/>
  <c r="C24" i="59" l="1"/>
  <c r="C22" i="58"/>
  <c r="C21" i="58"/>
  <c r="D10" i="58"/>
  <c r="J10" i="58" s="1"/>
  <c r="J9" i="58"/>
  <c r="C28" i="57"/>
  <c r="C27" i="57"/>
  <c r="C30" i="57" s="1"/>
  <c r="D11" i="58" l="1"/>
  <c r="C7" i="57"/>
  <c r="J6" i="57"/>
  <c r="C28" i="56"/>
  <c r="C30" i="56" s="1"/>
  <c r="C27" i="56"/>
  <c r="C29" i="56"/>
  <c r="C25" i="55"/>
  <c r="C23" i="55"/>
  <c r="C22" i="55"/>
  <c r="D12" i="58" l="1"/>
  <c r="J11" i="58"/>
  <c r="C25" i="54"/>
  <c r="C24" i="54"/>
  <c r="J12" i="58" l="1"/>
  <c r="D13" i="58"/>
  <c r="C33" i="136"/>
  <c r="C32" i="136"/>
  <c r="C31" i="136"/>
  <c r="C34" i="136" s="1"/>
  <c r="C29" i="136"/>
  <c r="C22" i="136"/>
  <c r="D13" i="136"/>
  <c r="D14" i="136" s="1"/>
  <c r="D12" i="136"/>
  <c r="J12" i="136" s="1"/>
  <c r="J11" i="136"/>
  <c r="H8" i="136"/>
  <c r="C8" i="136"/>
  <c r="J6" i="136"/>
  <c r="J5" i="136"/>
  <c r="C33" i="135"/>
  <c r="C32" i="135"/>
  <c r="C31" i="135"/>
  <c r="C34" i="135" s="1"/>
  <c r="C29" i="135"/>
  <c r="C22" i="135"/>
  <c r="D13" i="135"/>
  <c r="J13" i="135" s="1"/>
  <c r="D12" i="135"/>
  <c r="J12" i="135" s="1"/>
  <c r="J11" i="135"/>
  <c r="H8" i="135"/>
  <c r="C8" i="135"/>
  <c r="J6" i="135"/>
  <c r="J5" i="135"/>
  <c r="C33" i="134"/>
  <c r="C32" i="134"/>
  <c r="C31" i="134"/>
  <c r="C34" i="134" s="1"/>
  <c r="C29" i="134"/>
  <c r="C22" i="134"/>
  <c r="D13" i="134"/>
  <c r="D14" i="134" s="1"/>
  <c r="D12" i="134"/>
  <c r="J12" i="134" s="1"/>
  <c r="J11" i="134"/>
  <c r="H8" i="134"/>
  <c r="C8" i="134"/>
  <c r="J6" i="134"/>
  <c r="J5" i="134"/>
  <c r="C33" i="133"/>
  <c r="C32" i="133"/>
  <c r="C31" i="133"/>
  <c r="C34" i="133" s="1"/>
  <c r="C29" i="133"/>
  <c r="C22" i="133"/>
  <c r="D13" i="133"/>
  <c r="D14" i="133" s="1"/>
  <c r="D12" i="133"/>
  <c r="J12" i="133" s="1"/>
  <c r="J11" i="133"/>
  <c r="H8" i="133"/>
  <c r="C8" i="133"/>
  <c r="J6" i="133"/>
  <c r="J5" i="133"/>
  <c r="C33" i="132"/>
  <c r="C32" i="132"/>
  <c r="C31" i="132"/>
  <c r="C34" i="132" s="1"/>
  <c r="C29" i="132"/>
  <c r="C22" i="132"/>
  <c r="D13" i="132"/>
  <c r="J13" i="132" s="1"/>
  <c r="D12" i="132"/>
  <c r="J12" i="132" s="1"/>
  <c r="J11" i="132"/>
  <c r="H8" i="132"/>
  <c r="C8" i="132"/>
  <c r="J6" i="132"/>
  <c r="J5" i="132"/>
  <c r="C33" i="131"/>
  <c r="C32" i="131"/>
  <c r="C31" i="131"/>
  <c r="C34" i="131" s="1"/>
  <c r="C29" i="131"/>
  <c r="C22" i="131"/>
  <c r="D13" i="131"/>
  <c r="D14" i="131" s="1"/>
  <c r="D12" i="131"/>
  <c r="J12" i="131" s="1"/>
  <c r="J11" i="131"/>
  <c r="H8" i="131"/>
  <c r="C8" i="131"/>
  <c r="J6" i="131"/>
  <c r="J5" i="131"/>
  <c r="C33" i="130"/>
  <c r="C32" i="130"/>
  <c r="C31" i="130"/>
  <c r="C34" i="130" s="1"/>
  <c r="C29" i="130"/>
  <c r="C22" i="130"/>
  <c r="D13" i="130"/>
  <c r="J13" i="130" s="1"/>
  <c r="D12" i="130"/>
  <c r="J12" i="130" s="1"/>
  <c r="J11" i="130"/>
  <c r="H8" i="130"/>
  <c r="C8" i="130"/>
  <c r="J6" i="130"/>
  <c r="J5" i="130"/>
  <c r="C33" i="129"/>
  <c r="C32" i="129"/>
  <c r="C31" i="129"/>
  <c r="C34" i="129" s="1"/>
  <c r="C29" i="129"/>
  <c r="C22" i="129"/>
  <c r="D13" i="129"/>
  <c r="D14" i="129" s="1"/>
  <c r="D12" i="129"/>
  <c r="J12" i="129" s="1"/>
  <c r="J11" i="129"/>
  <c r="H8" i="129"/>
  <c r="C8" i="129"/>
  <c r="J6" i="129"/>
  <c r="J5" i="129"/>
  <c r="C33" i="128"/>
  <c r="C32" i="128"/>
  <c r="C31" i="128"/>
  <c r="C34" i="128" s="1"/>
  <c r="C29" i="128"/>
  <c r="C22" i="128"/>
  <c r="D13" i="128"/>
  <c r="D14" i="128" s="1"/>
  <c r="D12" i="128"/>
  <c r="J12" i="128" s="1"/>
  <c r="J11" i="128"/>
  <c r="H8" i="128"/>
  <c r="C8" i="128"/>
  <c r="J6" i="128"/>
  <c r="J5" i="128"/>
  <c r="C18" i="91"/>
  <c r="C12" i="91"/>
  <c r="D10" i="91"/>
  <c r="J10" i="91" s="1"/>
  <c r="J9" i="91"/>
  <c r="H6" i="91"/>
  <c r="C6" i="91"/>
  <c r="J5" i="91"/>
  <c r="C31" i="90"/>
  <c r="C26" i="90"/>
  <c r="D11" i="90"/>
  <c r="J11" i="90" s="1"/>
  <c r="J10" i="90"/>
  <c r="H7" i="90"/>
  <c r="J5" i="90"/>
  <c r="C26" i="89"/>
  <c r="C19" i="89"/>
  <c r="D10" i="89"/>
  <c r="J10" i="89" s="1"/>
  <c r="J9" i="89"/>
  <c r="H6" i="89"/>
  <c r="C6" i="89"/>
  <c r="J5" i="89"/>
  <c r="C31" i="88"/>
  <c r="D10" i="88"/>
  <c r="J10" i="88" s="1"/>
  <c r="J9" i="88"/>
  <c r="H6" i="88"/>
  <c r="C6" i="88"/>
  <c r="C25" i="87"/>
  <c r="C20" i="87"/>
  <c r="D14" i="87"/>
  <c r="J14" i="87" s="1"/>
  <c r="J13" i="87"/>
  <c r="H10" i="87"/>
  <c r="J6" i="87"/>
  <c r="J5" i="87"/>
  <c r="C21" i="86"/>
  <c r="C15" i="86"/>
  <c r="D10" i="86"/>
  <c r="J10" i="86" s="1"/>
  <c r="J9" i="86"/>
  <c r="H6" i="86"/>
  <c r="C6" i="86"/>
  <c r="J5" i="86"/>
  <c r="C26" i="85"/>
  <c r="C21" i="85"/>
  <c r="D11" i="85"/>
  <c r="J11" i="85" s="1"/>
  <c r="J10" i="85"/>
  <c r="H7" i="85"/>
  <c r="C7" i="85"/>
  <c r="J6" i="85"/>
  <c r="J5" i="85"/>
  <c r="C11" i="76"/>
  <c r="D10" i="76"/>
  <c r="J10" i="76" s="1"/>
  <c r="J9" i="76"/>
  <c r="H6" i="76"/>
  <c r="C6" i="76"/>
  <c r="J5" i="76"/>
  <c r="C25" i="75"/>
  <c r="C20" i="75"/>
  <c r="D12" i="75"/>
  <c r="J12" i="75" s="1"/>
  <c r="J11" i="75"/>
  <c r="H8" i="75"/>
  <c r="J5" i="75"/>
  <c r="C25" i="74"/>
  <c r="C20" i="74"/>
  <c r="D10" i="74"/>
  <c r="J10" i="74" s="1"/>
  <c r="J9" i="74"/>
  <c r="H6" i="74"/>
  <c r="C6" i="74"/>
  <c r="J5" i="74"/>
  <c r="C26" i="73"/>
  <c r="C20" i="73"/>
  <c r="D11" i="73"/>
  <c r="J11" i="73" s="1"/>
  <c r="J10" i="73"/>
  <c r="H7" i="73"/>
  <c r="C7" i="73"/>
  <c r="J6" i="73"/>
  <c r="J5" i="73"/>
  <c r="C22" i="72"/>
  <c r="C15" i="72"/>
  <c r="D10" i="72"/>
  <c r="J10" i="72" s="1"/>
  <c r="J9" i="72"/>
  <c r="H6" i="72"/>
  <c r="C6" i="72"/>
  <c r="J5" i="72"/>
  <c r="C24" i="71"/>
  <c r="C19" i="71"/>
  <c r="D12" i="71"/>
  <c r="J12" i="71" s="1"/>
  <c r="J11" i="71"/>
  <c r="H8" i="71"/>
  <c r="C8" i="71"/>
  <c r="J6" i="71"/>
  <c r="J5" i="71"/>
  <c r="C21" i="70"/>
  <c r="D11" i="70"/>
  <c r="J11" i="70" s="1"/>
  <c r="J10" i="70"/>
  <c r="H7" i="70"/>
  <c r="C7" i="70"/>
  <c r="J6" i="70"/>
  <c r="J5" i="70"/>
  <c r="C29" i="69"/>
  <c r="C22" i="69"/>
  <c r="D15" i="69"/>
  <c r="J15" i="69" s="1"/>
  <c r="J14" i="69"/>
  <c r="H11" i="69"/>
  <c r="J6" i="69"/>
  <c r="J5" i="69"/>
  <c r="C30" i="68"/>
  <c r="D16" i="68"/>
  <c r="J16" i="68" s="1"/>
  <c r="J15" i="68"/>
  <c r="H12" i="68"/>
  <c r="J6" i="68"/>
  <c r="J5" i="68"/>
  <c r="C23" i="67"/>
  <c r="C16" i="67"/>
  <c r="D10" i="67"/>
  <c r="J10" i="67" s="1"/>
  <c r="J9" i="67"/>
  <c r="H6" i="67"/>
  <c r="C6" i="67"/>
  <c r="J5" i="67"/>
  <c r="C21" i="66"/>
  <c r="C14" i="66"/>
  <c r="D11" i="66"/>
  <c r="J11" i="66" s="1"/>
  <c r="J10" i="66"/>
  <c r="H7" i="66"/>
  <c r="C7" i="66"/>
  <c r="J6" i="66"/>
  <c r="J5" i="66"/>
  <c r="C20" i="65"/>
  <c r="C15" i="65"/>
  <c r="D10" i="65"/>
  <c r="J10" i="65" s="1"/>
  <c r="J9" i="65"/>
  <c r="H6" i="65"/>
  <c r="C6" i="65"/>
  <c r="J5" i="65"/>
  <c r="C18" i="64"/>
  <c r="C13" i="64"/>
  <c r="D10" i="64"/>
  <c r="J10" i="64" s="1"/>
  <c r="J9" i="64"/>
  <c r="H6" i="64"/>
  <c r="C6" i="64"/>
  <c r="J5" i="64"/>
  <c r="D11" i="63"/>
  <c r="D12" i="63" s="1"/>
  <c r="J12" i="63" s="1"/>
  <c r="J10" i="63"/>
  <c r="H7" i="63"/>
  <c r="J5" i="63"/>
  <c r="C22" i="62"/>
  <c r="C17" i="62"/>
  <c r="D10" i="62"/>
  <c r="J10" i="62" s="1"/>
  <c r="J9" i="62"/>
  <c r="J5" i="62"/>
  <c r="C28" i="61"/>
  <c r="D11" i="61"/>
  <c r="D12" i="61" s="1"/>
  <c r="D13" i="61" s="1"/>
  <c r="J10" i="61"/>
  <c r="H7" i="61"/>
  <c r="C7" i="61"/>
  <c r="J6" i="61"/>
  <c r="J5" i="61"/>
  <c r="C18" i="60"/>
  <c r="C14" i="60"/>
  <c r="D10" i="60"/>
  <c r="J10" i="60" s="1"/>
  <c r="J9" i="60"/>
  <c r="H6" i="60"/>
  <c r="C6" i="60"/>
  <c r="J5" i="60"/>
  <c r="C30" i="59"/>
  <c r="D11" i="59"/>
  <c r="J11" i="59" s="1"/>
  <c r="J10" i="59"/>
  <c r="H7" i="59"/>
  <c r="C7" i="59"/>
  <c r="J6" i="59"/>
  <c r="J5" i="59"/>
  <c r="C19" i="58"/>
  <c r="C15" i="58"/>
  <c r="H6" i="58"/>
  <c r="C6" i="58"/>
  <c r="J5" i="58"/>
  <c r="C25" i="57"/>
  <c r="C20" i="57"/>
  <c r="D11" i="57"/>
  <c r="J11" i="57" s="1"/>
  <c r="J10" i="57"/>
  <c r="H7" i="57"/>
  <c r="J5" i="57"/>
  <c r="C25" i="56"/>
  <c r="C21" i="56"/>
  <c r="D11" i="56"/>
  <c r="J11" i="56" s="1"/>
  <c r="J10" i="56"/>
  <c r="H7" i="56"/>
  <c r="C7" i="56"/>
  <c r="J6" i="56"/>
  <c r="J5" i="56"/>
  <c r="C20" i="55"/>
  <c r="C16" i="55"/>
  <c r="D10" i="55"/>
  <c r="J10" i="55" s="1"/>
  <c r="J9" i="55"/>
  <c r="H6" i="55"/>
  <c r="C6" i="55"/>
  <c r="J5" i="55"/>
  <c r="C22" i="54"/>
  <c r="C18" i="54"/>
  <c r="D10" i="54"/>
  <c r="J10" i="54" s="1"/>
  <c r="J9" i="54"/>
  <c r="H6" i="54"/>
  <c r="C6" i="54"/>
  <c r="J5" i="54"/>
  <c r="C33" i="51"/>
  <c r="C32" i="51"/>
  <c r="C31" i="51"/>
  <c r="D11" i="91" l="1"/>
  <c r="J11" i="91" s="1"/>
  <c r="D12" i="90"/>
  <c r="D13" i="90" s="1"/>
  <c r="J13" i="90" s="1"/>
  <c r="D11" i="89"/>
  <c r="J11" i="89" s="1"/>
  <c r="D11" i="88"/>
  <c r="D12" i="88" s="1"/>
  <c r="D13" i="88" s="1"/>
  <c r="C30" i="87"/>
  <c r="D15" i="87"/>
  <c r="D16" i="87" s="1"/>
  <c r="D11" i="86"/>
  <c r="J11" i="86" s="1"/>
  <c r="C26" i="86"/>
  <c r="D12" i="85"/>
  <c r="D13" i="85" s="1"/>
  <c r="C31" i="85"/>
  <c r="C24" i="76"/>
  <c r="C30" i="75"/>
  <c r="D13" i="75"/>
  <c r="J13" i="75" s="1"/>
  <c r="D11" i="74"/>
  <c r="J11" i="74" s="1"/>
  <c r="D12" i="73"/>
  <c r="D13" i="73" s="1"/>
  <c r="D14" i="73" s="1"/>
  <c r="C31" i="73"/>
  <c r="D11" i="72"/>
  <c r="D12" i="72" s="1"/>
  <c r="J12" i="72" s="1"/>
  <c r="D13" i="71"/>
  <c r="J13" i="71" s="1"/>
  <c r="C29" i="71"/>
  <c r="D12" i="70"/>
  <c r="J12" i="70" s="1"/>
  <c r="D16" i="69"/>
  <c r="D17" i="69" s="1"/>
  <c r="D18" i="69" s="1"/>
  <c r="D17" i="68"/>
  <c r="J17" i="68" s="1"/>
  <c r="C35" i="68"/>
  <c r="C28" i="67"/>
  <c r="D11" i="67"/>
  <c r="D12" i="67" s="1"/>
  <c r="D13" i="67" s="1"/>
  <c r="C26" i="66"/>
  <c r="D12" i="66"/>
  <c r="D13" i="66" s="1"/>
  <c r="J13" i="66" s="1"/>
  <c r="C25" i="65"/>
  <c r="D11" i="65"/>
  <c r="D12" i="65" s="1"/>
  <c r="D11" i="64"/>
  <c r="J11" i="64" s="1"/>
  <c r="C23" i="64"/>
  <c r="J11" i="63"/>
  <c r="C27" i="62"/>
  <c r="J11" i="61"/>
  <c r="C33" i="61"/>
  <c r="D11" i="60"/>
  <c r="J11" i="60" s="1"/>
  <c r="C23" i="60"/>
  <c r="D12" i="59"/>
  <c r="J12" i="59" s="1"/>
  <c r="D14" i="58"/>
  <c r="J14" i="58" s="1"/>
  <c r="J13" i="58"/>
  <c r="C24" i="58"/>
  <c r="D12" i="57"/>
  <c r="J12" i="57" s="1"/>
  <c r="D12" i="56"/>
  <c r="J12" i="56" s="1"/>
  <c r="D11" i="55"/>
  <c r="D12" i="55" s="1"/>
  <c r="J14" i="136"/>
  <c r="D15" i="136"/>
  <c r="J13" i="136"/>
  <c r="D14" i="135"/>
  <c r="J14" i="134"/>
  <c r="D15" i="134"/>
  <c r="J13" i="134"/>
  <c r="J14" i="133"/>
  <c r="D15" i="133"/>
  <c r="J13" i="133"/>
  <c r="D14" i="132"/>
  <c r="J14" i="131"/>
  <c r="D15" i="131"/>
  <c r="J13" i="131"/>
  <c r="D14" i="130"/>
  <c r="J14" i="129"/>
  <c r="D15" i="129"/>
  <c r="J13" i="129"/>
  <c r="J14" i="128"/>
  <c r="D15" i="128"/>
  <c r="J13" i="128"/>
  <c r="D14" i="90"/>
  <c r="J12" i="90"/>
  <c r="D12" i="89"/>
  <c r="J16" i="87"/>
  <c r="D17" i="87"/>
  <c r="J15" i="87"/>
  <c r="D12" i="86"/>
  <c r="J13" i="85"/>
  <c r="D14" i="85"/>
  <c r="J12" i="85"/>
  <c r="D14" i="75"/>
  <c r="D12" i="74"/>
  <c r="J13" i="73"/>
  <c r="J12" i="73"/>
  <c r="D13" i="72"/>
  <c r="J17" i="69"/>
  <c r="J16" i="69"/>
  <c r="D18" i="68"/>
  <c r="J12" i="65"/>
  <c r="D13" i="65"/>
  <c r="J11" i="65"/>
  <c r="D13" i="63"/>
  <c r="D11" i="62"/>
  <c r="D14" i="61"/>
  <c r="J13" i="61"/>
  <c r="J12" i="61"/>
  <c r="D13" i="59"/>
  <c r="D13" i="57"/>
  <c r="D13" i="56"/>
  <c r="J12" i="55"/>
  <c r="D13" i="55"/>
  <c r="D11" i="54"/>
  <c r="D12" i="54" s="1"/>
  <c r="D13" i="54" s="1"/>
  <c r="C27" i="54"/>
  <c r="C29" i="51"/>
  <c r="J12" i="88" l="1"/>
  <c r="J11" i="88"/>
  <c r="J11" i="72"/>
  <c r="D14" i="71"/>
  <c r="J14" i="71" s="1"/>
  <c r="D13" i="70"/>
  <c r="J13" i="70" s="1"/>
  <c r="J12" i="67"/>
  <c r="J11" i="67"/>
  <c r="J12" i="66"/>
  <c r="D12" i="64"/>
  <c r="J12" i="64" s="1"/>
  <c r="D12" i="60"/>
  <c r="J11" i="55"/>
  <c r="J12" i="54"/>
  <c r="J11" i="54"/>
  <c r="D16" i="136"/>
  <c r="J15" i="136"/>
  <c r="J14" i="135"/>
  <c r="D15" i="135"/>
  <c r="D16" i="134"/>
  <c r="J15" i="134"/>
  <c r="D16" i="133"/>
  <c r="J15" i="133"/>
  <c r="J14" i="132"/>
  <c r="D15" i="132"/>
  <c r="D16" i="131"/>
  <c r="J15" i="131"/>
  <c r="J14" i="130"/>
  <c r="D15" i="130"/>
  <c r="D16" i="129"/>
  <c r="J15" i="129"/>
  <c r="D16" i="128"/>
  <c r="J15" i="128"/>
  <c r="D15" i="90"/>
  <c r="J14" i="90"/>
  <c r="J12" i="89"/>
  <c r="D13" i="89"/>
  <c r="D14" i="88"/>
  <c r="J13" i="88"/>
  <c r="D18" i="87"/>
  <c r="J17" i="87"/>
  <c r="J12" i="86"/>
  <c r="D13" i="86"/>
  <c r="D15" i="85"/>
  <c r="J14" i="85"/>
  <c r="J14" i="75"/>
  <c r="D15" i="75"/>
  <c r="J12" i="74"/>
  <c r="D13" i="74"/>
  <c r="D15" i="73"/>
  <c r="J14" i="73"/>
  <c r="D14" i="72"/>
  <c r="J13" i="72"/>
  <c r="D19" i="69"/>
  <c r="J18" i="69"/>
  <c r="J18" i="68"/>
  <c r="D19" i="68"/>
  <c r="D14" i="67"/>
  <c r="J13" i="67"/>
  <c r="D14" i="65"/>
  <c r="J13" i="65"/>
  <c r="J13" i="63"/>
  <c r="J11" i="62"/>
  <c r="D12" i="62"/>
  <c r="D15" i="61"/>
  <c r="J14" i="61"/>
  <c r="J12" i="60"/>
  <c r="D13" i="60"/>
  <c r="J13" i="59"/>
  <c r="D14" i="59"/>
  <c r="J13" i="57"/>
  <c r="D14" i="57"/>
  <c r="J13" i="56"/>
  <c r="D14" i="56"/>
  <c r="D14" i="55"/>
  <c r="J13" i="55"/>
  <c r="D14" i="54"/>
  <c r="J13" i="54"/>
  <c r="C8" i="51"/>
  <c r="J6" i="51"/>
  <c r="C22" i="51"/>
  <c r="C27" i="50"/>
  <c r="C26" i="50"/>
  <c r="C25" i="50"/>
  <c r="C23" i="50"/>
  <c r="D15" i="71" l="1"/>
  <c r="J15" i="71" s="1"/>
  <c r="D14" i="70"/>
  <c r="J14" i="70" s="1"/>
  <c r="J16" i="136"/>
  <c r="D17" i="136"/>
  <c r="J15" i="135"/>
  <c r="D16" i="135"/>
  <c r="J16" i="134"/>
  <c r="D17" i="134"/>
  <c r="J16" i="133"/>
  <c r="D17" i="133"/>
  <c r="J15" i="132"/>
  <c r="D16" i="132"/>
  <c r="J16" i="131"/>
  <c r="D17" i="131"/>
  <c r="J15" i="130"/>
  <c r="D16" i="130"/>
  <c r="J16" i="129"/>
  <c r="D17" i="129"/>
  <c r="J16" i="128"/>
  <c r="D17" i="128"/>
  <c r="J15" i="90"/>
  <c r="D16" i="90"/>
  <c r="J13" i="89"/>
  <c r="D14" i="89"/>
  <c r="J14" i="88"/>
  <c r="D15" i="88"/>
  <c r="J18" i="87"/>
  <c r="D19" i="87"/>
  <c r="J13" i="86"/>
  <c r="D14" i="86"/>
  <c r="J15" i="85"/>
  <c r="D16" i="85"/>
  <c r="J15" i="75"/>
  <c r="D16" i="75"/>
  <c r="J13" i="74"/>
  <c r="D14" i="74"/>
  <c r="J15" i="73"/>
  <c r="D16" i="73"/>
  <c r="J14" i="72"/>
  <c r="D15" i="70"/>
  <c r="J19" i="69"/>
  <c r="D20" i="69"/>
  <c r="J19" i="68"/>
  <c r="D20" i="68"/>
  <c r="J14" i="67"/>
  <c r="D15" i="67"/>
  <c r="J14" i="65"/>
  <c r="J12" i="62"/>
  <c r="D13" i="62"/>
  <c r="D16" i="61"/>
  <c r="J15" i="61"/>
  <c r="J13" i="60"/>
  <c r="J14" i="59"/>
  <c r="D15" i="59"/>
  <c r="J14" i="57"/>
  <c r="D15" i="57"/>
  <c r="J14" i="56"/>
  <c r="D15" i="56"/>
  <c r="J14" i="55"/>
  <c r="D15" i="55"/>
  <c r="J14" i="54"/>
  <c r="D15" i="54"/>
  <c r="C18" i="50"/>
  <c r="C28" i="48"/>
  <c r="C27" i="48"/>
  <c r="C18" i="48"/>
  <c r="C20" i="47"/>
  <c r="C19" i="47"/>
  <c r="D16" i="71" l="1"/>
  <c r="D17" i="71" s="1"/>
  <c r="D18" i="136"/>
  <c r="J17" i="136"/>
  <c r="J16" i="135"/>
  <c r="D17" i="135"/>
  <c r="D18" i="134"/>
  <c r="J17" i="134"/>
  <c r="D18" i="133"/>
  <c r="J17" i="133"/>
  <c r="J16" i="132"/>
  <c r="D17" i="132"/>
  <c r="D18" i="131"/>
  <c r="J17" i="131"/>
  <c r="J16" i="130"/>
  <c r="D17" i="130"/>
  <c r="D18" i="129"/>
  <c r="J17" i="129"/>
  <c r="D18" i="128"/>
  <c r="J17" i="128"/>
  <c r="D17" i="90"/>
  <c r="J16" i="90"/>
  <c r="J14" i="89"/>
  <c r="D15" i="89"/>
  <c r="D16" i="88"/>
  <c r="J15" i="88"/>
  <c r="J19" i="87"/>
  <c r="J14" i="86"/>
  <c r="D17" i="85"/>
  <c r="J16" i="85"/>
  <c r="J16" i="75"/>
  <c r="D17" i="75"/>
  <c r="J14" i="74"/>
  <c r="D15" i="74"/>
  <c r="D17" i="73"/>
  <c r="J16" i="73"/>
  <c r="J16" i="71"/>
  <c r="J15" i="70"/>
  <c r="D16" i="70"/>
  <c r="D21" i="69"/>
  <c r="J20" i="69"/>
  <c r="J20" i="68"/>
  <c r="D21" i="68"/>
  <c r="J15" i="67"/>
  <c r="D14" i="62"/>
  <c r="J13" i="62"/>
  <c r="D17" i="61"/>
  <c r="J16" i="61"/>
  <c r="J15" i="59"/>
  <c r="D16" i="59"/>
  <c r="J15" i="57"/>
  <c r="D16" i="57"/>
  <c r="J15" i="56"/>
  <c r="D16" i="56"/>
  <c r="J15" i="55"/>
  <c r="D16" i="54"/>
  <c r="J15" i="54"/>
  <c r="C17" i="47"/>
  <c r="C32" i="46"/>
  <c r="C31" i="46"/>
  <c r="J18" i="136" l="1"/>
  <c r="D19" i="136"/>
  <c r="J17" i="135"/>
  <c r="D18" i="135"/>
  <c r="J18" i="134"/>
  <c r="D19" i="134"/>
  <c r="J18" i="133"/>
  <c r="D19" i="133"/>
  <c r="J17" i="132"/>
  <c r="D18" i="132"/>
  <c r="J18" i="131"/>
  <c r="D19" i="131"/>
  <c r="J17" i="130"/>
  <c r="D18" i="130"/>
  <c r="J18" i="129"/>
  <c r="D19" i="129"/>
  <c r="J18" i="128"/>
  <c r="D19" i="128"/>
  <c r="J17" i="90"/>
  <c r="D18" i="90"/>
  <c r="J15" i="89"/>
  <c r="D16" i="89"/>
  <c r="J16" i="88"/>
  <c r="D17" i="88"/>
  <c r="J17" i="85"/>
  <c r="D18" i="85"/>
  <c r="J17" i="75"/>
  <c r="D18" i="75"/>
  <c r="J15" i="74"/>
  <c r="D16" i="74"/>
  <c r="J17" i="73"/>
  <c r="D18" i="73"/>
  <c r="J17" i="71"/>
  <c r="D18" i="71"/>
  <c r="J16" i="70"/>
  <c r="D17" i="70"/>
  <c r="J21" i="69"/>
  <c r="J21" i="68"/>
  <c r="D22" i="68"/>
  <c r="J14" i="62"/>
  <c r="D15" i="62"/>
  <c r="D18" i="61"/>
  <c r="J17" i="61"/>
  <c r="J16" i="59"/>
  <c r="D17" i="59"/>
  <c r="J16" i="57"/>
  <c r="D17" i="57"/>
  <c r="J16" i="56"/>
  <c r="D17" i="56"/>
  <c r="J16" i="54"/>
  <c r="D17" i="54"/>
  <c r="C29" i="46"/>
  <c r="C7" i="46"/>
  <c r="J6" i="46"/>
  <c r="C25" i="46"/>
  <c r="C25" i="45"/>
  <c r="D20" i="136" l="1"/>
  <c r="J19" i="136"/>
  <c r="J18" i="135"/>
  <c r="D19" i="135"/>
  <c r="D20" i="134"/>
  <c r="J19" i="134"/>
  <c r="D20" i="133"/>
  <c r="J19" i="133"/>
  <c r="J18" i="132"/>
  <c r="D19" i="132"/>
  <c r="D20" i="131"/>
  <c r="J19" i="131"/>
  <c r="J18" i="130"/>
  <c r="D19" i="130"/>
  <c r="D20" i="129"/>
  <c r="J19" i="129"/>
  <c r="D20" i="128"/>
  <c r="J19" i="128"/>
  <c r="D19" i="90"/>
  <c r="J18" i="90"/>
  <c r="J16" i="89"/>
  <c r="D17" i="89"/>
  <c r="D18" i="88"/>
  <c r="J17" i="88"/>
  <c r="D19" i="85"/>
  <c r="J18" i="85"/>
  <c r="J18" i="75"/>
  <c r="D19" i="75"/>
  <c r="J16" i="74"/>
  <c r="D17" i="74"/>
  <c r="D19" i="73"/>
  <c r="J18" i="73"/>
  <c r="J18" i="71"/>
  <c r="J17" i="70"/>
  <c r="D18" i="70"/>
  <c r="J22" i="68"/>
  <c r="D16" i="62"/>
  <c r="J15" i="62"/>
  <c r="D19" i="61"/>
  <c r="J18" i="61"/>
  <c r="J17" i="59"/>
  <c r="D18" i="59"/>
  <c r="J17" i="57"/>
  <c r="D18" i="57"/>
  <c r="J17" i="56"/>
  <c r="D18" i="56"/>
  <c r="J17" i="54"/>
  <c r="C22" i="45"/>
  <c r="C28" i="44"/>
  <c r="C27" i="44"/>
  <c r="C24" i="44"/>
  <c r="C16" i="44"/>
  <c r="C21" i="43"/>
  <c r="C8" i="43"/>
  <c r="C25" i="43"/>
  <c r="C24" i="43"/>
  <c r="C23" i="43"/>
  <c r="J5" i="43"/>
  <c r="J7" i="43"/>
  <c r="J6" i="43"/>
  <c r="C15" i="42"/>
  <c r="C22" i="42"/>
  <c r="C26" i="41"/>
  <c r="C31" i="40"/>
  <c r="C30" i="41"/>
  <c r="C29" i="41"/>
  <c r="C28" i="41"/>
  <c r="C35" i="40"/>
  <c r="C34" i="40"/>
  <c r="C33" i="40"/>
  <c r="C38" i="39"/>
  <c r="C36" i="39"/>
  <c r="C37" i="39"/>
  <c r="C19" i="41"/>
  <c r="C34" i="39"/>
  <c r="C10" i="39"/>
  <c r="C8" i="40"/>
  <c r="J6" i="40"/>
  <c r="J8" i="39"/>
  <c r="J7" i="39"/>
  <c r="J6" i="39"/>
  <c r="C22" i="40"/>
  <c r="C23" i="39"/>
  <c r="C30" i="38"/>
  <c r="C29" i="38"/>
  <c r="C27" i="38"/>
  <c r="C20" i="38"/>
  <c r="J20" i="136" l="1"/>
  <c r="D21" i="136"/>
  <c r="J21" i="136" s="1"/>
  <c r="J19" i="135"/>
  <c r="D20" i="135"/>
  <c r="J20" i="134"/>
  <c r="D21" i="134"/>
  <c r="J21" i="134" s="1"/>
  <c r="J20" i="133"/>
  <c r="D21" i="133"/>
  <c r="J21" i="133" s="1"/>
  <c r="J19" i="132"/>
  <c r="D20" i="132"/>
  <c r="J20" i="131"/>
  <c r="D21" i="131"/>
  <c r="J21" i="131" s="1"/>
  <c r="J19" i="130"/>
  <c r="D20" i="130"/>
  <c r="J20" i="129"/>
  <c r="D21" i="129"/>
  <c r="J21" i="129" s="1"/>
  <c r="J20" i="128"/>
  <c r="D21" i="128"/>
  <c r="J21" i="128" s="1"/>
  <c r="J19" i="90"/>
  <c r="D20" i="90"/>
  <c r="J17" i="89"/>
  <c r="D18" i="89"/>
  <c r="J18" i="88"/>
  <c r="D19" i="88"/>
  <c r="J19" i="85"/>
  <c r="D20" i="85"/>
  <c r="J20" i="85" s="1"/>
  <c r="J19" i="75"/>
  <c r="J17" i="74"/>
  <c r="D18" i="74"/>
  <c r="J19" i="73"/>
  <c r="J18" i="70"/>
  <c r="D19" i="70"/>
  <c r="J16" i="62"/>
  <c r="D20" i="61"/>
  <c r="J19" i="61"/>
  <c r="J18" i="59"/>
  <c r="D19" i="59"/>
  <c r="J18" i="57"/>
  <c r="D19" i="57"/>
  <c r="J18" i="56"/>
  <c r="D19" i="56"/>
  <c r="C27" i="37"/>
  <c r="C24" i="37"/>
  <c r="C7" i="37"/>
  <c r="C17" i="37"/>
  <c r="C10" i="36"/>
  <c r="C33" i="36"/>
  <c r="C32" i="36"/>
  <c r="C31" i="36"/>
  <c r="J20" i="90" l="1"/>
  <c r="D21" i="90"/>
  <c r="J21" i="90" s="1"/>
  <c r="J19" i="88"/>
  <c r="D20" i="88"/>
  <c r="J20" i="61"/>
  <c r="D21" i="61"/>
  <c r="J20" i="135"/>
  <c r="D21" i="135"/>
  <c r="J21" i="135" s="1"/>
  <c r="J20" i="132"/>
  <c r="D21" i="132"/>
  <c r="J21" i="132" s="1"/>
  <c r="J20" i="130"/>
  <c r="D21" i="130"/>
  <c r="J21" i="130" s="1"/>
  <c r="J18" i="89"/>
  <c r="J18" i="74"/>
  <c r="D19" i="74"/>
  <c r="J19" i="74" s="1"/>
  <c r="J19" i="70"/>
  <c r="D20" i="70"/>
  <c r="J20" i="70" s="1"/>
  <c r="J19" i="59"/>
  <c r="D20" i="59"/>
  <c r="J19" i="57"/>
  <c r="J19" i="56"/>
  <c r="D20" i="56"/>
  <c r="J20" i="56" s="1"/>
  <c r="J8" i="36"/>
  <c r="J7" i="36"/>
  <c r="J6" i="36"/>
  <c r="C22" i="36"/>
  <c r="C32" i="34"/>
  <c r="C34" i="34"/>
  <c r="C33" i="34"/>
  <c r="C26" i="35"/>
  <c r="C25" i="35"/>
  <c r="C24" i="35"/>
  <c r="C22" i="35"/>
  <c r="C30" i="34"/>
  <c r="C20" i="34"/>
  <c r="D21" i="88" l="1"/>
  <c r="J20" i="88"/>
  <c r="D22" i="61"/>
  <c r="J21" i="61"/>
  <c r="J20" i="59"/>
  <c r="D21" i="59"/>
  <c r="C12" i="35"/>
  <c r="C22" i="27"/>
  <c r="C18" i="26"/>
  <c r="C16" i="32"/>
  <c r="C22" i="33"/>
  <c r="C13" i="33"/>
  <c r="C27" i="33"/>
  <c r="C26" i="33"/>
  <c r="C25" i="33"/>
  <c r="C24" i="33"/>
  <c r="C11" i="32"/>
  <c r="C20" i="32"/>
  <c r="C19" i="32"/>
  <c r="C30" i="30"/>
  <c r="C29" i="30"/>
  <c r="C28" i="30"/>
  <c r="C27" i="30"/>
  <c r="C31" i="30" s="1"/>
  <c r="C17" i="30"/>
  <c r="C20" i="31"/>
  <c r="C19" i="31"/>
  <c r="C17" i="31"/>
  <c r="C21" i="29"/>
  <c r="C25" i="30"/>
  <c r="C26" i="29"/>
  <c r="C25" i="29"/>
  <c r="C24" i="29"/>
  <c r="C23" i="29"/>
  <c r="C27" i="29" s="1"/>
  <c r="C15" i="29"/>
  <c r="C24" i="28"/>
  <c r="C23" i="28"/>
  <c r="C22" i="28"/>
  <c r="C12" i="28"/>
  <c r="C20" i="28"/>
  <c r="C20" i="27"/>
  <c r="C23" i="27"/>
  <c r="C24" i="27"/>
  <c r="C22" i="26"/>
  <c r="C21" i="26"/>
  <c r="C20" i="26"/>
  <c r="C19" i="23"/>
  <c r="C24" i="24"/>
  <c r="C20" i="25"/>
  <c r="C11" i="25"/>
  <c r="C24" i="25"/>
  <c r="C23" i="25"/>
  <c r="C22" i="25"/>
  <c r="C28" i="24"/>
  <c r="C17" i="24"/>
  <c r="C27" i="24"/>
  <c r="C26" i="24"/>
  <c r="C21" i="23"/>
  <c r="C22" i="23"/>
  <c r="C24" i="22"/>
  <c r="C19" i="22"/>
  <c r="C29" i="22"/>
  <c r="C28" i="22"/>
  <c r="C26" i="22"/>
  <c r="C27" i="22"/>
  <c r="C9" i="15"/>
  <c r="J21" i="88" l="1"/>
  <c r="D22" i="88"/>
  <c r="D23" i="61"/>
  <c r="J23" i="61" s="1"/>
  <c r="J22" i="61"/>
  <c r="J21" i="59"/>
  <c r="D22" i="59"/>
  <c r="C30" i="22"/>
  <c r="C34" i="51"/>
  <c r="D12" i="51"/>
  <c r="D13" i="51" s="1"/>
  <c r="J11" i="51"/>
  <c r="H8" i="51"/>
  <c r="J5" i="51"/>
  <c r="C28" i="50"/>
  <c r="D10" i="50"/>
  <c r="J10" i="50" s="1"/>
  <c r="J9" i="50"/>
  <c r="H6" i="50"/>
  <c r="C6" i="50"/>
  <c r="J5" i="50"/>
  <c r="C19" i="49"/>
  <c r="C10" i="49"/>
  <c r="J9" i="49"/>
  <c r="H6" i="49"/>
  <c r="C6" i="49"/>
  <c r="J5" i="49"/>
  <c r="C30" i="48"/>
  <c r="D10" i="48"/>
  <c r="D11" i="48" s="1"/>
  <c r="J9" i="48"/>
  <c r="H6" i="48"/>
  <c r="C6" i="48"/>
  <c r="J5" i="48"/>
  <c r="C22" i="47"/>
  <c r="C12" i="47"/>
  <c r="D11" i="47"/>
  <c r="J10" i="47"/>
  <c r="H7" i="47"/>
  <c r="C7" i="47"/>
  <c r="J5" i="47"/>
  <c r="C34" i="46"/>
  <c r="D11" i="46"/>
  <c r="D12" i="46" s="1"/>
  <c r="J10" i="46"/>
  <c r="H7" i="46"/>
  <c r="J5" i="46"/>
  <c r="C27" i="45"/>
  <c r="C14" i="45"/>
  <c r="D10" i="45"/>
  <c r="D11" i="45" s="1"/>
  <c r="J9" i="45"/>
  <c r="H6" i="45"/>
  <c r="C6" i="45"/>
  <c r="J5" i="45"/>
  <c r="C29" i="44"/>
  <c r="D10" i="44"/>
  <c r="D11" i="44" s="1"/>
  <c r="J9" i="44"/>
  <c r="H6" i="44"/>
  <c r="C6" i="44"/>
  <c r="J5" i="44"/>
  <c r="C26" i="43"/>
  <c r="C16" i="43"/>
  <c r="D12" i="43"/>
  <c r="J12" i="43" s="1"/>
  <c r="J11" i="43"/>
  <c r="H8" i="43"/>
  <c r="C24" i="42"/>
  <c r="D10" i="42"/>
  <c r="D11" i="42" s="1"/>
  <c r="J9" i="42"/>
  <c r="H6" i="42"/>
  <c r="C6" i="42"/>
  <c r="J5" i="42"/>
  <c r="C31" i="41"/>
  <c r="D10" i="41"/>
  <c r="D11" i="41" s="1"/>
  <c r="J9" i="41"/>
  <c r="H6" i="41"/>
  <c r="C6" i="41"/>
  <c r="J5" i="41"/>
  <c r="C36" i="40"/>
  <c r="D12" i="40"/>
  <c r="J12" i="40" s="1"/>
  <c r="J11" i="40"/>
  <c r="H8" i="40"/>
  <c r="J5" i="40"/>
  <c r="C39" i="39"/>
  <c r="D14" i="39"/>
  <c r="D15" i="39" s="1"/>
  <c r="J13" i="39"/>
  <c r="H10" i="39"/>
  <c r="J5" i="39"/>
  <c r="C32" i="38"/>
  <c r="D10" i="38"/>
  <c r="J10" i="38" s="1"/>
  <c r="J9" i="38"/>
  <c r="H6" i="38"/>
  <c r="C6" i="38"/>
  <c r="C29" i="37"/>
  <c r="D11" i="37"/>
  <c r="D12" i="37" s="1"/>
  <c r="J10" i="37"/>
  <c r="H7" i="37"/>
  <c r="J5" i="37"/>
  <c r="C34" i="36"/>
  <c r="D14" i="36"/>
  <c r="J14" i="36" s="1"/>
  <c r="J13" i="36"/>
  <c r="H10" i="36"/>
  <c r="J5" i="36"/>
  <c r="C27" i="35"/>
  <c r="D6" i="35"/>
  <c r="J6" i="35" s="1"/>
  <c r="J5" i="35"/>
  <c r="C35" i="34"/>
  <c r="D6" i="34"/>
  <c r="J6" i="34" s="1"/>
  <c r="J5" i="34"/>
  <c r="C28" i="33"/>
  <c r="D6" i="33"/>
  <c r="J6" i="33" s="1"/>
  <c r="J5" i="33"/>
  <c r="C21" i="32"/>
  <c r="D6" i="32"/>
  <c r="J6" i="32" s="1"/>
  <c r="J5" i="32"/>
  <c r="C22" i="31"/>
  <c r="C10" i="31"/>
  <c r="D6" i="31"/>
  <c r="J6" i="31" s="1"/>
  <c r="J5" i="31"/>
  <c r="D6" i="30"/>
  <c r="D7" i="30" s="1"/>
  <c r="J5" i="30"/>
  <c r="J22" i="88" l="1"/>
  <c r="D23" i="88"/>
  <c r="D23" i="59"/>
  <c r="J23" i="59" s="1"/>
  <c r="J22" i="59"/>
  <c r="D11" i="50"/>
  <c r="J11" i="50" s="1"/>
  <c r="D12" i="50"/>
  <c r="D13" i="50" s="1"/>
  <c r="J13" i="50" s="1"/>
  <c r="J13" i="51"/>
  <c r="D14" i="51"/>
  <c r="J12" i="50"/>
  <c r="J12" i="51"/>
  <c r="J11" i="48"/>
  <c r="D12" i="48"/>
  <c r="J10" i="48"/>
  <c r="J11" i="47"/>
  <c r="J12" i="46"/>
  <c r="D13" i="46"/>
  <c r="J11" i="46"/>
  <c r="J11" i="45"/>
  <c r="D12" i="45"/>
  <c r="J10" i="45"/>
  <c r="J11" i="44"/>
  <c r="D12" i="44"/>
  <c r="J10" i="44"/>
  <c r="D13" i="43"/>
  <c r="J11" i="42"/>
  <c r="D12" i="42"/>
  <c r="J10" i="42"/>
  <c r="J11" i="41"/>
  <c r="D12" i="41"/>
  <c r="J10" i="41"/>
  <c r="D13" i="40"/>
  <c r="J15" i="39"/>
  <c r="D16" i="39"/>
  <c r="J14" i="39"/>
  <c r="D11" i="38"/>
  <c r="J12" i="37"/>
  <c r="D13" i="37"/>
  <c r="J11" i="37"/>
  <c r="D15" i="36"/>
  <c r="D7" i="35"/>
  <c r="D7" i="34"/>
  <c r="D7" i="33"/>
  <c r="D7" i="32"/>
  <c r="D7" i="31"/>
  <c r="J7" i="30"/>
  <c r="D8" i="30"/>
  <c r="J6" i="30"/>
  <c r="J6" i="19"/>
  <c r="J23" i="88" l="1"/>
  <c r="D24" i="88"/>
  <c r="D14" i="50"/>
  <c r="D15" i="50"/>
  <c r="J14" i="50"/>
  <c r="D15" i="51"/>
  <c r="J14" i="51"/>
  <c r="D13" i="48"/>
  <c r="J12" i="48"/>
  <c r="D14" i="46"/>
  <c r="J13" i="46"/>
  <c r="D13" i="45"/>
  <c r="J12" i="45"/>
  <c r="J12" i="44"/>
  <c r="D13" i="44"/>
  <c r="J13" i="43"/>
  <c r="D14" i="43"/>
  <c r="D13" i="42"/>
  <c r="J12" i="42"/>
  <c r="D13" i="41"/>
  <c r="J12" i="41"/>
  <c r="J13" i="40"/>
  <c r="D14" i="40"/>
  <c r="D17" i="39"/>
  <c r="J16" i="39"/>
  <c r="J11" i="38"/>
  <c r="D12" i="38"/>
  <c r="J13" i="37"/>
  <c r="D14" i="37"/>
  <c r="J15" i="36"/>
  <c r="D16" i="36"/>
  <c r="J7" i="35"/>
  <c r="D8" i="35"/>
  <c r="J7" i="34"/>
  <c r="D8" i="34"/>
  <c r="J7" i="33"/>
  <c r="D8" i="33"/>
  <c r="J7" i="32"/>
  <c r="D8" i="32"/>
  <c r="J7" i="31"/>
  <c r="D8" i="31"/>
  <c r="J8" i="30"/>
  <c r="D9" i="30"/>
  <c r="C12" i="27"/>
  <c r="C13" i="26"/>
  <c r="D6" i="29"/>
  <c r="J6" i="29" s="1"/>
  <c r="J5" i="29"/>
  <c r="C25" i="28"/>
  <c r="D6" i="28"/>
  <c r="D7" i="28" s="1"/>
  <c r="D8" i="28" s="1"/>
  <c r="J5" i="28"/>
  <c r="C25" i="27"/>
  <c r="D6" i="27"/>
  <c r="J6" i="27" s="1"/>
  <c r="J5" i="27"/>
  <c r="C23" i="26"/>
  <c r="D6" i="26"/>
  <c r="J5" i="26"/>
  <c r="C19" i="18"/>
  <c r="J8" i="15"/>
  <c r="J7" i="15"/>
  <c r="J6" i="15"/>
  <c r="D10" i="18"/>
  <c r="C30" i="13"/>
  <c r="C9" i="13"/>
  <c r="J8" i="13"/>
  <c r="J7" i="13"/>
  <c r="J6" i="13"/>
  <c r="J8" i="12"/>
  <c r="J7" i="12"/>
  <c r="J6" i="12"/>
  <c r="J6" i="9"/>
  <c r="C25" i="25"/>
  <c r="C29" i="24"/>
  <c r="C24" i="23"/>
  <c r="C15" i="23"/>
  <c r="C29" i="21"/>
  <c r="C16" i="21"/>
  <c r="C20" i="20"/>
  <c r="C10" i="20"/>
  <c r="C25" i="19"/>
  <c r="C15" i="19"/>
  <c r="H7" i="19"/>
  <c r="C7" i="19"/>
  <c r="J5" i="19"/>
  <c r="C24" i="18"/>
  <c r="C12" i="18"/>
  <c r="H6" i="18"/>
  <c r="C6" i="18"/>
  <c r="J5" i="18"/>
  <c r="C30" i="17"/>
  <c r="C16" i="17"/>
  <c r="H7" i="17"/>
  <c r="C7" i="17"/>
  <c r="J5" i="17"/>
  <c r="C27" i="16"/>
  <c r="C17" i="16"/>
  <c r="H7" i="16"/>
  <c r="C7" i="16"/>
  <c r="J5" i="16"/>
  <c r="C29" i="15"/>
  <c r="C15" i="15"/>
  <c r="H9" i="15"/>
  <c r="J5" i="15"/>
  <c r="C32" i="14"/>
  <c r="C18" i="14"/>
  <c r="H7" i="14"/>
  <c r="C7" i="14"/>
  <c r="J5" i="14"/>
  <c r="C35" i="13"/>
  <c r="C20" i="13"/>
  <c r="H9" i="13"/>
  <c r="J5" i="13"/>
  <c r="C33" i="12"/>
  <c r="C19" i="12"/>
  <c r="H10" i="12"/>
  <c r="C10" i="12"/>
  <c r="J5" i="12"/>
  <c r="C40" i="11"/>
  <c r="C26" i="11"/>
  <c r="D13" i="11"/>
  <c r="H10" i="11"/>
  <c r="C10" i="11"/>
  <c r="J5" i="11"/>
  <c r="C40" i="10"/>
  <c r="C26" i="10"/>
  <c r="H10" i="10"/>
  <c r="C10" i="10"/>
  <c r="J5" i="10"/>
  <c r="C35" i="9"/>
  <c r="C23" i="9"/>
  <c r="H7" i="9"/>
  <c r="C7" i="9"/>
  <c r="J5" i="9"/>
  <c r="C26" i="8"/>
  <c r="C40" i="8"/>
  <c r="H10" i="8"/>
  <c r="C10" i="8"/>
  <c r="J5" i="8"/>
  <c r="C31" i="7"/>
  <c r="C26" i="7"/>
  <c r="C22" i="7"/>
  <c r="D9" i="7"/>
  <c r="H6" i="7"/>
  <c r="C6" i="7"/>
  <c r="J5" i="7"/>
  <c r="C21" i="6"/>
  <c r="C16" i="6"/>
  <c r="C10" i="6"/>
  <c r="H6" i="6"/>
  <c r="C6" i="6"/>
  <c r="J5" i="6"/>
  <c r="C21" i="5"/>
  <c r="C16" i="5"/>
  <c r="C11" i="5"/>
  <c r="H7" i="5"/>
  <c r="C7" i="5"/>
  <c r="J5" i="5"/>
  <c r="C32" i="4"/>
  <c r="C27" i="4"/>
  <c r="C22" i="4"/>
  <c r="D9" i="4"/>
  <c r="H6" i="4"/>
  <c r="C6" i="4"/>
  <c r="J5" i="4"/>
  <c r="C36" i="3"/>
  <c r="C31" i="3"/>
  <c r="C27" i="3"/>
  <c r="D14" i="3"/>
  <c r="H11" i="3"/>
  <c r="C11" i="3"/>
  <c r="J5" i="3"/>
  <c r="C31" i="2"/>
  <c r="C26" i="2"/>
  <c r="C22" i="2"/>
  <c r="D9" i="2"/>
  <c r="H6" i="2"/>
  <c r="C6" i="2"/>
  <c r="J5" i="2"/>
  <c r="C31" i="1"/>
  <c r="C26" i="1"/>
  <c r="C22" i="1"/>
  <c r="D9" i="1"/>
  <c r="H6" i="1"/>
  <c r="C6" i="1"/>
  <c r="J5" i="1"/>
  <c r="D25" i="88" l="1"/>
  <c r="J25" i="88" s="1"/>
  <c r="J24" i="88"/>
  <c r="J6" i="28"/>
  <c r="J15" i="51"/>
  <c r="D16" i="51"/>
  <c r="J15" i="50"/>
  <c r="D16" i="50"/>
  <c r="J13" i="48"/>
  <c r="D14" i="48"/>
  <c r="J14" i="46"/>
  <c r="D15" i="46"/>
  <c r="J13" i="45"/>
  <c r="J13" i="44"/>
  <c r="D14" i="44"/>
  <c r="D15" i="43"/>
  <c r="J14" i="43"/>
  <c r="J13" i="42"/>
  <c r="D14" i="42"/>
  <c r="J13" i="41"/>
  <c r="D14" i="41"/>
  <c r="D15" i="40"/>
  <c r="J14" i="40"/>
  <c r="J17" i="39"/>
  <c r="D18" i="39"/>
  <c r="D13" i="38"/>
  <c r="J12" i="38"/>
  <c r="J14" i="37"/>
  <c r="D15" i="37"/>
  <c r="D17" i="36"/>
  <c r="J16" i="36"/>
  <c r="J8" i="35"/>
  <c r="D9" i="35"/>
  <c r="J8" i="34"/>
  <c r="D9" i="34"/>
  <c r="D9" i="33"/>
  <c r="J8" i="33"/>
  <c r="D9" i="32"/>
  <c r="J8" i="32"/>
  <c r="D9" i="31"/>
  <c r="J8" i="31"/>
  <c r="J9" i="30"/>
  <c r="D10" i="30"/>
  <c r="D7" i="29"/>
  <c r="D8" i="29" s="1"/>
  <c r="J8" i="29" s="1"/>
  <c r="D7" i="27"/>
  <c r="J7" i="27" s="1"/>
  <c r="D7" i="26"/>
  <c r="J8" i="28"/>
  <c r="D9" i="28"/>
  <c r="J7" i="28"/>
  <c r="D10" i="26"/>
  <c r="J9" i="26"/>
  <c r="J6" i="26"/>
  <c r="J5" i="25"/>
  <c r="D6" i="25"/>
  <c r="J5" i="24"/>
  <c r="D6" i="24"/>
  <c r="D7" i="24" s="1"/>
  <c r="J5" i="23"/>
  <c r="D6" i="23"/>
  <c r="D6" i="22"/>
  <c r="J5" i="22"/>
  <c r="J5" i="21"/>
  <c r="D6" i="21"/>
  <c r="D6" i="20"/>
  <c r="J5" i="20"/>
  <c r="D11" i="19"/>
  <c r="J10" i="19"/>
  <c r="J9" i="18"/>
  <c r="D11" i="17"/>
  <c r="J10" i="17"/>
  <c r="D11" i="16"/>
  <c r="J10" i="16"/>
  <c r="D13" i="15"/>
  <c r="J12" i="15"/>
  <c r="D11" i="14"/>
  <c r="J10" i="14"/>
  <c r="J12" i="13"/>
  <c r="D13" i="13"/>
  <c r="D14" i="12"/>
  <c r="J13" i="12"/>
  <c r="D14" i="11"/>
  <c r="J13" i="11"/>
  <c r="D14" i="10"/>
  <c r="J13" i="10"/>
  <c r="J10" i="9"/>
  <c r="D11" i="9"/>
  <c r="D14" i="8"/>
  <c r="J13" i="8"/>
  <c r="D10" i="7"/>
  <c r="J9" i="7"/>
  <c r="J9" i="6"/>
  <c r="J10" i="5"/>
  <c r="D10" i="4"/>
  <c r="J9" i="4"/>
  <c r="D15" i="3"/>
  <c r="J14" i="3"/>
  <c r="D10" i="2"/>
  <c r="J9" i="2"/>
  <c r="D10" i="1"/>
  <c r="J9" i="1"/>
  <c r="J7" i="29" l="1"/>
  <c r="J7" i="26"/>
  <c r="D8" i="26"/>
  <c r="J8" i="26" s="1"/>
  <c r="D8" i="27"/>
  <c r="J8" i="27" s="1"/>
  <c r="J9" i="28"/>
  <c r="D10" i="28"/>
  <c r="D9" i="29"/>
  <c r="D17" i="50"/>
  <c r="J16" i="50"/>
  <c r="D17" i="51"/>
  <c r="J16" i="51"/>
  <c r="D15" i="48"/>
  <c r="J14" i="48"/>
  <c r="D16" i="46"/>
  <c r="J15" i="46"/>
  <c r="D15" i="44"/>
  <c r="J14" i="44"/>
  <c r="J15" i="43"/>
  <c r="J14" i="42"/>
  <c r="D15" i="41"/>
  <c r="J14" i="41"/>
  <c r="J15" i="40"/>
  <c r="D16" i="40"/>
  <c r="D19" i="39"/>
  <c r="J18" i="39"/>
  <c r="J13" i="38"/>
  <c r="D14" i="38"/>
  <c r="J15" i="37"/>
  <c r="D16" i="37"/>
  <c r="J17" i="36"/>
  <c r="D18" i="36"/>
  <c r="J9" i="35"/>
  <c r="D10" i="35"/>
  <c r="J9" i="34"/>
  <c r="D10" i="34"/>
  <c r="J9" i="33"/>
  <c r="D10" i="33"/>
  <c r="J9" i="32"/>
  <c r="D10" i="32"/>
  <c r="J9" i="31"/>
  <c r="J10" i="30"/>
  <c r="D11" i="30"/>
  <c r="J9" i="29"/>
  <c r="D10" i="29"/>
  <c r="D11" i="26"/>
  <c r="J10" i="26"/>
  <c r="J7" i="24"/>
  <c r="D8" i="24"/>
  <c r="D7" i="25"/>
  <c r="J6" i="25"/>
  <c r="D10" i="24"/>
  <c r="J6" i="24"/>
  <c r="D7" i="23"/>
  <c r="J6" i="23"/>
  <c r="D7" i="22"/>
  <c r="J6" i="22"/>
  <c r="D7" i="21"/>
  <c r="J6" i="21"/>
  <c r="J6" i="20"/>
  <c r="D7" i="20"/>
  <c r="J11" i="19"/>
  <c r="D12" i="19"/>
  <c r="J10" i="18"/>
  <c r="D11" i="18"/>
  <c r="J11" i="17"/>
  <c r="D12" i="17"/>
  <c r="J11" i="16"/>
  <c r="D12" i="16"/>
  <c r="D14" i="15"/>
  <c r="J13" i="15"/>
  <c r="J11" i="14"/>
  <c r="D12" i="14"/>
  <c r="D14" i="13"/>
  <c r="J13" i="13"/>
  <c r="J14" i="12"/>
  <c r="D15" i="12"/>
  <c r="D15" i="11"/>
  <c r="J14" i="11"/>
  <c r="J14" i="10"/>
  <c r="D15" i="10"/>
  <c r="J11" i="9"/>
  <c r="D12" i="9"/>
  <c r="D15" i="8"/>
  <c r="J14" i="8"/>
  <c r="J10" i="7"/>
  <c r="D11" i="7"/>
  <c r="D11" i="4"/>
  <c r="J10" i="4"/>
  <c r="D16" i="3"/>
  <c r="J15" i="3"/>
  <c r="J10" i="2"/>
  <c r="D11" i="2"/>
  <c r="D11" i="1"/>
  <c r="J10" i="1"/>
  <c r="D9" i="27" l="1"/>
  <c r="J9" i="27" s="1"/>
  <c r="D10" i="27"/>
  <c r="J10" i="28"/>
  <c r="D11" i="28"/>
  <c r="J11" i="28" s="1"/>
  <c r="J17" i="51"/>
  <c r="D18" i="51"/>
  <c r="J17" i="50"/>
  <c r="J15" i="48"/>
  <c r="D16" i="48"/>
  <c r="J16" i="46"/>
  <c r="D17" i="46"/>
  <c r="J15" i="44"/>
  <c r="J15" i="41"/>
  <c r="D16" i="41"/>
  <c r="J16" i="40"/>
  <c r="D17" i="40"/>
  <c r="J19" i="39"/>
  <c r="D20" i="39"/>
  <c r="J14" i="38"/>
  <c r="D15" i="38"/>
  <c r="J16" i="37"/>
  <c r="J18" i="36"/>
  <c r="D19" i="36"/>
  <c r="D11" i="35"/>
  <c r="J10" i="35"/>
  <c r="J10" i="34"/>
  <c r="D11" i="34"/>
  <c r="J10" i="33"/>
  <c r="D11" i="33"/>
  <c r="J10" i="32"/>
  <c r="J11" i="30"/>
  <c r="D12" i="30"/>
  <c r="J10" i="29"/>
  <c r="D11" i="29"/>
  <c r="J11" i="26"/>
  <c r="D12" i="26"/>
  <c r="J12" i="26" s="1"/>
  <c r="J8" i="24"/>
  <c r="D9" i="24"/>
  <c r="J9" i="24" s="1"/>
  <c r="D8" i="25"/>
  <c r="J7" i="25"/>
  <c r="D11" i="24"/>
  <c r="J10" i="24"/>
  <c r="D8" i="23"/>
  <c r="J7" i="23"/>
  <c r="D8" i="22"/>
  <c r="J7" i="22"/>
  <c r="D8" i="21"/>
  <c r="J7" i="21"/>
  <c r="J7" i="20"/>
  <c r="D8" i="20"/>
  <c r="D13" i="19"/>
  <c r="J12" i="19"/>
  <c r="J11" i="18"/>
  <c r="J12" i="17"/>
  <c r="D13" i="17"/>
  <c r="J12" i="16"/>
  <c r="D13" i="16"/>
  <c r="J14" i="15"/>
  <c r="J12" i="14"/>
  <c r="D13" i="14"/>
  <c r="D15" i="13"/>
  <c r="J14" i="13"/>
  <c r="J15" i="12"/>
  <c r="D16" i="12"/>
  <c r="D16" i="11"/>
  <c r="J15" i="11"/>
  <c r="D16" i="10"/>
  <c r="J15" i="10"/>
  <c r="J12" i="9"/>
  <c r="D13" i="9"/>
  <c r="D16" i="8"/>
  <c r="J15" i="8"/>
  <c r="J11" i="7"/>
  <c r="D12" i="7"/>
  <c r="D12" i="4"/>
  <c r="J11" i="4"/>
  <c r="D17" i="3"/>
  <c r="J16" i="3"/>
  <c r="J11" i="2"/>
  <c r="D12" i="2"/>
  <c r="D12" i="1"/>
  <c r="J11" i="1"/>
  <c r="J10" i="27" l="1"/>
  <c r="D11" i="27"/>
  <c r="J11" i="27" s="1"/>
  <c r="J11" i="29"/>
  <c r="D12" i="29"/>
  <c r="D19" i="51"/>
  <c r="J18" i="51"/>
  <c r="D17" i="48"/>
  <c r="J16" i="48"/>
  <c r="D18" i="46"/>
  <c r="J17" i="46"/>
  <c r="D17" i="41"/>
  <c r="J16" i="41"/>
  <c r="J17" i="40"/>
  <c r="D18" i="40"/>
  <c r="D21" i="39"/>
  <c r="J20" i="39"/>
  <c r="J15" i="38"/>
  <c r="D16" i="38"/>
  <c r="J19" i="36"/>
  <c r="D20" i="36"/>
  <c r="J11" i="35"/>
  <c r="J11" i="34"/>
  <c r="D12" i="34"/>
  <c r="J11" i="33"/>
  <c r="D12" i="33"/>
  <c r="J12" i="30"/>
  <c r="D13" i="30"/>
  <c r="J8" i="25"/>
  <c r="D9" i="25"/>
  <c r="D10" i="25" s="1"/>
  <c r="J10" i="25" s="1"/>
  <c r="D12" i="24"/>
  <c r="J11" i="24"/>
  <c r="D9" i="23"/>
  <c r="J8" i="23"/>
  <c r="D9" i="22"/>
  <c r="J8" i="22"/>
  <c r="D9" i="21"/>
  <c r="J8" i="21"/>
  <c r="J8" i="20"/>
  <c r="D9" i="20"/>
  <c r="J13" i="19"/>
  <c r="D14" i="19"/>
  <c r="D14" i="17"/>
  <c r="J13" i="17"/>
  <c r="J13" i="16"/>
  <c r="D14" i="16"/>
  <c r="J13" i="14"/>
  <c r="D14" i="14"/>
  <c r="D16" i="13"/>
  <c r="J15" i="13"/>
  <c r="J16" i="12"/>
  <c r="D17" i="12"/>
  <c r="D17" i="11"/>
  <c r="J16" i="11"/>
  <c r="D17" i="10"/>
  <c r="J16" i="10"/>
  <c r="J13" i="9"/>
  <c r="D14" i="9"/>
  <c r="D17" i="8"/>
  <c r="J16" i="8"/>
  <c r="J12" i="7"/>
  <c r="D13" i="7"/>
  <c r="D13" i="4"/>
  <c r="J12" i="4"/>
  <c r="D18" i="3"/>
  <c r="J17" i="3"/>
  <c r="J12" i="2"/>
  <c r="D13" i="2"/>
  <c r="D13" i="1"/>
  <c r="J12" i="1"/>
  <c r="J12" i="29" l="1"/>
  <c r="D13" i="29"/>
  <c r="J19" i="51"/>
  <c r="D20" i="51"/>
  <c r="J17" i="48"/>
  <c r="J18" i="46"/>
  <c r="D19" i="46"/>
  <c r="J17" i="41"/>
  <c r="D18" i="41"/>
  <c r="J18" i="41" s="1"/>
  <c r="D19" i="40"/>
  <c r="J18" i="40"/>
  <c r="J21" i="39"/>
  <c r="D22" i="39"/>
  <c r="J22" i="39" s="1"/>
  <c r="J16" i="38"/>
  <c r="D17" i="38"/>
  <c r="J20" i="36"/>
  <c r="D21" i="36"/>
  <c r="J12" i="34"/>
  <c r="D13" i="34"/>
  <c r="J12" i="33"/>
  <c r="J13" i="30"/>
  <c r="D14" i="30"/>
  <c r="J9" i="25"/>
  <c r="D13" i="24"/>
  <c r="J12" i="24"/>
  <c r="D10" i="23"/>
  <c r="J9" i="23"/>
  <c r="D10" i="22"/>
  <c r="J9" i="22"/>
  <c r="D10" i="21"/>
  <c r="J9" i="21"/>
  <c r="J9" i="20"/>
  <c r="J14" i="19"/>
  <c r="D15" i="17"/>
  <c r="J14" i="17"/>
  <c r="J14" i="16"/>
  <c r="D15" i="16"/>
  <c r="J14" i="14"/>
  <c r="D15" i="14"/>
  <c r="D17" i="13"/>
  <c r="J16" i="13"/>
  <c r="J17" i="12"/>
  <c r="D18" i="12"/>
  <c r="D18" i="11"/>
  <c r="J17" i="11"/>
  <c r="D18" i="10"/>
  <c r="J17" i="10"/>
  <c r="J14" i="9"/>
  <c r="D15" i="9"/>
  <c r="D18" i="8"/>
  <c r="J17" i="8"/>
  <c r="J13" i="7"/>
  <c r="D14" i="7"/>
  <c r="D14" i="4"/>
  <c r="J13" i="4"/>
  <c r="D19" i="3"/>
  <c r="J18" i="3"/>
  <c r="J13" i="2"/>
  <c r="D14" i="2"/>
  <c r="D14" i="1"/>
  <c r="J13" i="1"/>
  <c r="J20" i="51" l="1"/>
  <c r="D21" i="51"/>
  <c r="J21" i="51" s="1"/>
  <c r="J19" i="46"/>
  <c r="D20" i="46"/>
  <c r="J13" i="29"/>
  <c r="D14" i="29"/>
  <c r="J14" i="29" s="1"/>
  <c r="J14" i="30"/>
  <c r="D15" i="30"/>
  <c r="J19" i="40"/>
  <c r="D20" i="40"/>
  <c r="J17" i="38"/>
  <c r="D18" i="38"/>
  <c r="J21" i="36"/>
  <c r="J13" i="34"/>
  <c r="D14" i="34"/>
  <c r="D14" i="24"/>
  <c r="J14" i="24" s="1"/>
  <c r="J13" i="24"/>
  <c r="D11" i="23"/>
  <c r="J10" i="23"/>
  <c r="D11" i="22"/>
  <c r="J10" i="22"/>
  <c r="D11" i="21"/>
  <c r="J10" i="21"/>
  <c r="J15" i="17"/>
  <c r="J15" i="16"/>
  <c r="D16" i="16"/>
  <c r="J15" i="14"/>
  <c r="D16" i="14"/>
  <c r="D18" i="13"/>
  <c r="J17" i="13"/>
  <c r="J18" i="12"/>
  <c r="D19" i="11"/>
  <c r="J18" i="11"/>
  <c r="D19" i="10"/>
  <c r="J18" i="10"/>
  <c r="J15" i="9"/>
  <c r="D16" i="9"/>
  <c r="D19" i="8"/>
  <c r="J18" i="8"/>
  <c r="J14" i="7"/>
  <c r="D15" i="7"/>
  <c r="D15" i="4"/>
  <c r="J14" i="4"/>
  <c r="D20" i="3"/>
  <c r="J19" i="3"/>
  <c r="J14" i="2"/>
  <c r="D15" i="2"/>
  <c r="D15" i="1"/>
  <c r="J14" i="1"/>
  <c r="J20" i="46" l="1"/>
  <c r="D21" i="46"/>
  <c r="J20" i="40"/>
  <c r="D21" i="40"/>
  <c r="J21" i="40" s="1"/>
  <c r="J18" i="38"/>
  <c r="D19" i="38"/>
  <c r="J19" i="38" s="1"/>
  <c r="J14" i="34"/>
  <c r="D15" i="34"/>
  <c r="D16" i="30"/>
  <c r="J16" i="30" s="1"/>
  <c r="J15" i="30"/>
  <c r="D15" i="24"/>
  <c r="D16" i="24" s="1"/>
  <c r="J16" i="24" s="1"/>
  <c r="D12" i="23"/>
  <c r="J11" i="23"/>
  <c r="D12" i="22"/>
  <c r="J11" i="22"/>
  <c r="D12" i="21"/>
  <c r="J11" i="21"/>
  <c r="J16" i="16"/>
  <c r="J16" i="14"/>
  <c r="D17" i="14"/>
  <c r="D19" i="13"/>
  <c r="J18" i="13"/>
  <c r="D20" i="11"/>
  <c r="J19" i="11"/>
  <c r="D20" i="10"/>
  <c r="J19" i="10"/>
  <c r="J16" i="9"/>
  <c r="D17" i="9"/>
  <c r="D20" i="8"/>
  <c r="J19" i="8"/>
  <c r="J15" i="7"/>
  <c r="D16" i="7"/>
  <c r="D16" i="4"/>
  <c r="J15" i="4"/>
  <c r="D21" i="3"/>
  <c r="J20" i="3"/>
  <c r="J15" i="2"/>
  <c r="D16" i="2"/>
  <c r="J15" i="1"/>
  <c r="D16" i="1"/>
  <c r="J21" i="46" l="1"/>
  <c r="D22" i="46"/>
  <c r="J15" i="34"/>
  <c r="D16" i="34"/>
  <c r="J15" i="24"/>
  <c r="D13" i="23"/>
  <c r="J12" i="23"/>
  <c r="D13" i="22"/>
  <c r="J12" i="22"/>
  <c r="D13" i="21"/>
  <c r="J12" i="21"/>
  <c r="J17" i="14"/>
  <c r="J19" i="13"/>
  <c r="D21" i="11"/>
  <c r="J20" i="11"/>
  <c r="D21" i="10"/>
  <c r="J20" i="10"/>
  <c r="J17" i="9"/>
  <c r="D18" i="9"/>
  <c r="D21" i="8"/>
  <c r="J20" i="8"/>
  <c r="J16" i="7"/>
  <c r="D17" i="7"/>
  <c r="D17" i="4"/>
  <c r="J16" i="4"/>
  <c r="D22" i="3"/>
  <c r="J21" i="3"/>
  <c r="J16" i="2"/>
  <c r="D17" i="2"/>
  <c r="D17" i="1"/>
  <c r="J16" i="1"/>
  <c r="J22" i="46" l="1"/>
  <c r="D23" i="46"/>
  <c r="J16" i="34"/>
  <c r="D17" i="34"/>
  <c r="D14" i="23"/>
  <c r="J13" i="23"/>
  <c r="D14" i="22"/>
  <c r="J13" i="22"/>
  <c r="D14" i="21"/>
  <c r="J13" i="21"/>
  <c r="J21" i="11"/>
  <c r="D22" i="11"/>
  <c r="D22" i="10"/>
  <c r="J21" i="10"/>
  <c r="J18" i="9"/>
  <c r="D19" i="9"/>
  <c r="D22" i="8"/>
  <c r="J21" i="8"/>
  <c r="J17" i="7"/>
  <c r="D18" i="7"/>
  <c r="D18" i="4"/>
  <c r="J17" i="4"/>
  <c r="D23" i="3"/>
  <c r="J22" i="3"/>
  <c r="J17" i="2"/>
  <c r="D18" i="2"/>
  <c r="D18" i="1"/>
  <c r="J17" i="1"/>
  <c r="J23" i="46" l="1"/>
  <c r="D24" i="46"/>
  <c r="J24" i="46" s="1"/>
  <c r="D18" i="34"/>
  <c r="J17" i="34"/>
  <c r="J14" i="23"/>
  <c r="D15" i="22"/>
  <c r="J14" i="22"/>
  <c r="D15" i="21"/>
  <c r="J14" i="21"/>
  <c r="D23" i="11"/>
  <c r="J22" i="11"/>
  <c r="D23" i="10"/>
  <c r="J22" i="10"/>
  <c r="J19" i="9"/>
  <c r="D20" i="9"/>
  <c r="D23" i="8"/>
  <c r="J22" i="8"/>
  <c r="J18" i="7"/>
  <c r="D19" i="7"/>
  <c r="J18" i="4"/>
  <c r="D19" i="4"/>
  <c r="D24" i="3"/>
  <c r="J23" i="3"/>
  <c r="J18" i="2"/>
  <c r="D19" i="2"/>
  <c r="D19" i="1"/>
  <c r="J18" i="1"/>
  <c r="D19" i="34" l="1"/>
  <c r="J19" i="34" s="1"/>
  <c r="J18" i="34"/>
  <c r="D16" i="22"/>
  <c r="J15" i="22"/>
  <c r="J15" i="21"/>
  <c r="J23" i="11"/>
  <c r="D24" i="11"/>
  <c r="J23" i="10"/>
  <c r="D24" i="10"/>
  <c r="J20" i="9"/>
  <c r="D21" i="9"/>
  <c r="J23" i="8"/>
  <c r="D24" i="8"/>
  <c r="J19" i="7"/>
  <c r="D20" i="7"/>
  <c r="D20" i="4"/>
  <c r="J19" i="4"/>
  <c r="D25" i="3"/>
  <c r="J24" i="3"/>
  <c r="J19" i="2"/>
  <c r="D20" i="2"/>
  <c r="D20" i="1"/>
  <c r="J19" i="1"/>
  <c r="D17" i="22" l="1"/>
  <c r="J16" i="22"/>
  <c r="D25" i="11"/>
  <c r="J25" i="11" s="1"/>
  <c r="J24" i="11"/>
  <c r="J24" i="10"/>
  <c r="D25" i="10"/>
  <c r="J25" i="10" s="1"/>
  <c r="J21" i="9"/>
  <c r="D22" i="9"/>
  <c r="J22" i="9" s="1"/>
  <c r="D25" i="8"/>
  <c r="J25" i="8" s="1"/>
  <c r="J24" i="8"/>
  <c r="J20" i="7"/>
  <c r="D21" i="7"/>
  <c r="J21" i="7" s="1"/>
  <c r="D21" i="4"/>
  <c r="J21" i="4" s="1"/>
  <c r="J20" i="4"/>
  <c r="J25" i="3"/>
  <c r="D26" i="3"/>
  <c r="J26" i="3" s="1"/>
  <c r="J20" i="2"/>
  <c r="D21" i="2"/>
  <c r="J21" i="2" s="1"/>
  <c r="D21" i="1"/>
  <c r="J21" i="1" s="1"/>
  <c r="J20" i="1"/>
  <c r="J17" i="22" l="1"/>
  <c r="D18" i="22"/>
  <c r="J18" i="22" s="1"/>
</calcChain>
</file>

<file path=xl/sharedStrings.xml><?xml version="1.0" encoding="utf-8"?>
<sst xmlns="http://schemas.openxmlformats.org/spreadsheetml/2006/main" count="10297" uniqueCount="1293">
  <si>
    <t>SHREE   SHUBH   TRAVEL_GZP(233001)</t>
  </si>
  <si>
    <t>ONLINE STATEMENT REPORT-02 MAY  2026</t>
  </si>
  <si>
    <t>HDFC RECEIVED DETAILS</t>
  </si>
  <si>
    <t>SN</t>
  </si>
  <si>
    <t xml:space="preserve">CR. </t>
  </si>
  <si>
    <t>NET AMT</t>
  </si>
  <si>
    <t>DATE/TIME</t>
  </si>
  <si>
    <t>VIA</t>
  </si>
  <si>
    <t>TYPE</t>
  </si>
  <si>
    <t xml:space="preserve">TRANS. ID </t>
  </si>
  <si>
    <t>P.FEE</t>
  </si>
  <si>
    <t>STATUS</t>
  </si>
  <si>
    <t>SATTEL DATE</t>
  </si>
  <si>
    <t>COMMENT</t>
  </si>
  <si>
    <t>NEFT</t>
  </si>
  <si>
    <t>DONE</t>
  </si>
  <si>
    <t>TOTAL</t>
  </si>
  <si>
    <t>PAYZAPP RECEIVED TRANSACTION DETAILS</t>
  </si>
  <si>
    <t>UPI</t>
  </si>
  <si>
    <t xml:space="preserve">DONE </t>
  </si>
  <si>
    <t xml:space="preserve">ONLINE PAYMENT TRANSACTION DETAILS </t>
  </si>
  <si>
    <t>DR.</t>
  </si>
  <si>
    <t>DATE</t>
  </si>
  <si>
    <t xml:space="preserve">TRANS ID </t>
  </si>
  <si>
    <t>P. FEES</t>
  </si>
  <si>
    <t>SATTEL .DATE</t>
  </si>
  <si>
    <t>COMMENTS</t>
  </si>
  <si>
    <t xml:space="preserve">TOTAL </t>
  </si>
  <si>
    <t>AKBAR HO</t>
  </si>
  <si>
    <t>YTSK-</t>
  </si>
  <si>
    <t xml:space="preserve"> </t>
  </si>
  <si>
    <t>OTHER</t>
  </si>
  <si>
    <t>VERIFY</t>
  </si>
  <si>
    <t>PAYZAPP</t>
  </si>
  <si>
    <t>SHREE SHUBH TRAVEL</t>
  </si>
  <si>
    <t>SMART HUB HDFC  RECEIVED TRANSACTION DETAILS</t>
  </si>
  <si>
    <t>ONLINE STATEMENT REPORT-08 MAY  2026</t>
  </si>
  <si>
    <t>SHREE SUBH TRAVEL</t>
  </si>
  <si>
    <t xml:space="preserve">AKBAR ONLINE BOOKING </t>
  </si>
  <si>
    <t>ONLINE STATEMENT REPORT-12 MAY  2026</t>
  </si>
  <si>
    <t>12-5-026</t>
  </si>
  <si>
    <t>BILL DESK PAYMENT</t>
  </si>
  <si>
    <t>YTSK 1642</t>
  </si>
  <si>
    <t>ONLINE STATEMENT REPORT-13 MAY  2026</t>
  </si>
  <si>
    <t>AKBAR ONLINE</t>
  </si>
  <si>
    <t>CARDLESS DEPOSIT</t>
  </si>
  <si>
    <t>CASH DEPOSIT</t>
  </si>
  <si>
    <t>ONLINE STATEMENT REPORT-14 MAY  2026</t>
  </si>
  <si>
    <t>UPI - GOOGLE INDIA</t>
  </si>
  <si>
    <t>BILLL DESK PAYMENT</t>
  </si>
  <si>
    <t>SANJAY YADAV</t>
  </si>
  <si>
    <t>UPI SETTLEMENT</t>
  </si>
  <si>
    <t>SBI CARDS</t>
  </si>
  <si>
    <t>SAJAL KUMAR</t>
  </si>
  <si>
    <t>ONLINE STATEMENT REPORT-16 MAY  2026</t>
  </si>
  <si>
    <t>ONLINE STATEMENT REPORT-15 MAY  2026</t>
  </si>
  <si>
    <t>ONLINE STATEMENT REPORT-18 MAY  2026</t>
  </si>
  <si>
    <t>ONLINE STATEMENT REPORT-19 MAY  2026</t>
  </si>
  <si>
    <t>ABHAY KUMAR YADAV</t>
  </si>
  <si>
    <t>ONLINE STATEMENT REPORT-20 MAY  2026</t>
  </si>
  <si>
    <t>ONLINE STATEMENT REPORT-21 MAY  2026</t>
  </si>
  <si>
    <t>ONLINE STATEMENT REPORT-22 MAY  2026</t>
  </si>
  <si>
    <t>SHIKEB KHAN</t>
  </si>
  <si>
    <t>ONLINE STATEMENT REPORT-23 MAY  2026</t>
  </si>
  <si>
    <t xml:space="preserve">BILL DESK PAYMENT </t>
  </si>
  <si>
    <t>YTSK</t>
  </si>
  <si>
    <t>T0MORROW TRIPS NETBA</t>
  </si>
  <si>
    <t xml:space="preserve">TPT-ADVANCE TRANFER </t>
  </si>
  <si>
    <t>AKBAR</t>
  </si>
  <si>
    <t>AERTICKET ALLIAANCE INDIA</t>
  </si>
  <si>
    <t>MAKE MY TRIPS</t>
  </si>
  <si>
    <t>JOGENDER YADAV</t>
  </si>
  <si>
    <t>ONLINE STATEMENT REPORT-24 MAY  2026</t>
  </si>
  <si>
    <t>T0MORROW TRIPS</t>
  </si>
  <si>
    <t>ONLINE STATEMENT REPORT-25 MAY  2026</t>
  </si>
  <si>
    <t>ONLINE STATEMENT REPORT-26 MAY  2026</t>
  </si>
  <si>
    <t xml:space="preserve">GULAM RABBANI </t>
  </si>
  <si>
    <t>DEMO</t>
  </si>
  <si>
    <t xml:space="preserve">BAJRANGI YADAV </t>
  </si>
  <si>
    <t xml:space="preserve">RITU RAJBHAR </t>
  </si>
  <si>
    <t xml:space="preserve">AMARDIP SINGH </t>
  </si>
  <si>
    <t>AJIT PAL SINGH</t>
  </si>
  <si>
    <t>VH TEMPU TRAVELER</t>
  </si>
  <si>
    <t>ABHISHEK VERMA</t>
  </si>
  <si>
    <t>MADHU CHAUBEY</t>
  </si>
  <si>
    <t>SACHIN YADAV</t>
  </si>
  <si>
    <t xml:space="preserve">AKB RAIL </t>
  </si>
  <si>
    <t>ISHWAR KUMAR VERMA</t>
  </si>
  <si>
    <t>FLIGHT</t>
  </si>
  <si>
    <t>ABDUL ALIM</t>
  </si>
  <si>
    <t>ETIOS</t>
  </si>
  <si>
    <t>UMAR FARUKH</t>
  </si>
  <si>
    <t>RAVINDRA KUMAR SINHA</t>
  </si>
  <si>
    <t>AKB RAIL</t>
  </si>
  <si>
    <t>MADHU CHAOBEY</t>
  </si>
  <si>
    <t>ARVIND KUMAR SRI</t>
  </si>
  <si>
    <t>SHIVSHANKAR</t>
  </si>
  <si>
    <t>SANTOSH KUSHWAHA</t>
  </si>
  <si>
    <t>FARAHDEEDA</t>
  </si>
  <si>
    <t>BRIJESHWAR KUMAR PANDEY</t>
  </si>
  <si>
    <t>ABHA SRIVASTAVA</t>
  </si>
  <si>
    <t>NARENDRA KUMAR SINGH</t>
  </si>
  <si>
    <t>AKB FLIGHT</t>
  </si>
  <si>
    <t>SWETA SINGH</t>
  </si>
  <si>
    <t>FLIGHT ( AER TICKET)</t>
  </si>
  <si>
    <t xml:space="preserve">SHEETALA TRADERS </t>
  </si>
  <si>
    <t xml:space="preserve">AKB FLIGHT HO </t>
  </si>
  <si>
    <t>PARTH GUPTA</t>
  </si>
  <si>
    <t>REC BAL AKB HO 21/5</t>
  </si>
  <si>
    <t>D HIND NAJAJ</t>
  </si>
  <si>
    <t>AKB HO</t>
  </si>
  <si>
    <t>OM SAI INTERPRISES</t>
  </si>
  <si>
    <t>JAI PRAKASH</t>
  </si>
  <si>
    <t xml:space="preserve">AKB HO </t>
  </si>
  <si>
    <t>RITESH KUMAR SINGH</t>
  </si>
  <si>
    <t>YTSK 1604</t>
  </si>
  <si>
    <t>RAVINDRA YADAV</t>
  </si>
  <si>
    <t>ARVIND KUMAR</t>
  </si>
  <si>
    <t>PRAVESH</t>
  </si>
  <si>
    <t xml:space="preserve">MD KAMRAN </t>
  </si>
  <si>
    <t>POOJA SINGH</t>
  </si>
  <si>
    <t>JITENDRA KUMAR CHAUDHRI</t>
  </si>
  <si>
    <t>FLIGHT HO</t>
  </si>
  <si>
    <t xml:space="preserve">ETIOS </t>
  </si>
  <si>
    <t>VISA SINGAPUR</t>
  </si>
  <si>
    <t xml:space="preserve">SARFRAJ KHAN </t>
  </si>
  <si>
    <t>PRAMOD KUMAR RAJBHAR</t>
  </si>
  <si>
    <t>AKB FLIGHT HO</t>
  </si>
  <si>
    <t>RAJKUMAR SINGH YADAV</t>
  </si>
  <si>
    <t>RAMESH KUMAR</t>
  </si>
  <si>
    <t xml:space="preserve">MAHESH KUMAR </t>
  </si>
  <si>
    <t xml:space="preserve">FLIGHT AKB </t>
  </si>
  <si>
    <t xml:space="preserve">PRAKHAR TRADER </t>
  </si>
  <si>
    <t>RAJESH KUMAR YADAV</t>
  </si>
  <si>
    <t>MUKESH KUMAR</t>
  </si>
  <si>
    <t>ABHISHEK SINGH</t>
  </si>
  <si>
    <t>KAILASHCHAND</t>
  </si>
  <si>
    <t>DIPAK KUSHWAHA</t>
  </si>
  <si>
    <t>IRSHAD ALI</t>
  </si>
  <si>
    <t>NISHA YADAV</t>
  </si>
  <si>
    <t>BRIJESH KUMAR</t>
  </si>
  <si>
    <t>ASHOK KUMAR</t>
  </si>
  <si>
    <t>LAKSHMI VERMA</t>
  </si>
  <si>
    <t>NIKAHAT JAHA</t>
  </si>
  <si>
    <t>PRIYNKA VERMA</t>
  </si>
  <si>
    <t>CHNDRA BALA</t>
  </si>
  <si>
    <t>AD YTSK 1604</t>
  </si>
  <si>
    <t xml:space="preserve">SANJAY NISHAD </t>
  </si>
  <si>
    <t>NOOR MOHMMAD</t>
  </si>
  <si>
    <t>REC BAL AKB 28/5</t>
  </si>
  <si>
    <t>QUAISER ALAM</t>
  </si>
  <si>
    <t>MOHD EZAZ</t>
  </si>
  <si>
    <t>AKHILESH KUMAR</t>
  </si>
  <si>
    <t xml:space="preserve">SANJEEV KUMAR VERMA </t>
  </si>
  <si>
    <t xml:space="preserve">SHWETA PANDEY </t>
  </si>
  <si>
    <t>ABHISHEK KUMAR SHRIVASTVA</t>
  </si>
  <si>
    <t>SUNDRAM SINGH</t>
  </si>
  <si>
    <t xml:space="preserve">AKB FLIGHT </t>
  </si>
  <si>
    <t>BRIJESH KUMAR PANDEY</t>
  </si>
  <si>
    <t>ASHVANI KM PANDEY</t>
  </si>
  <si>
    <t>PASSPORT</t>
  </si>
  <si>
    <t xml:space="preserve">JAI MAA DURGA </t>
  </si>
  <si>
    <t xml:space="preserve">DIVYANSHU GUPTA </t>
  </si>
  <si>
    <t xml:space="preserve">REC BAL FLIGHT </t>
  </si>
  <si>
    <t xml:space="preserve">NA </t>
  </si>
  <si>
    <t xml:space="preserve">MRITUNJAY RAI </t>
  </si>
  <si>
    <t>AKB +YTSK</t>
  </si>
  <si>
    <t>RAMAWATAR</t>
  </si>
  <si>
    <t>REC BAL YTSK 27/5</t>
  </si>
  <si>
    <t>RIZWAN ANSARI</t>
  </si>
  <si>
    <t>AJAY KUMAR</t>
  </si>
  <si>
    <t xml:space="preserve">SUAHANA KHATUN </t>
  </si>
  <si>
    <t xml:space="preserve">RABBANI </t>
  </si>
  <si>
    <t>DURGESH KUMAR</t>
  </si>
  <si>
    <t>ONLINE STATEMENT REPORT-02 JUN  2026</t>
  </si>
  <si>
    <t>ONLINE STATEMENT REPORT-01 JUN  2026</t>
  </si>
  <si>
    <t>ONLINE STATEMENT REPORT-31 MAY  2026</t>
  </si>
  <si>
    <t>ONLINE STATEMENT REPORT-30 MAY  2026</t>
  </si>
  <si>
    <t>ONLINE STATEMENT REPORT-29 MAY  2026</t>
  </si>
  <si>
    <t>ONLINE STATEMENT REPORT-28 MAY  2026</t>
  </si>
  <si>
    <t>ONLINE STATEMENT REPORT-27 MAY  2026</t>
  </si>
  <si>
    <t>MAKE MY TRIP</t>
  </si>
  <si>
    <t xml:space="preserve">PHONEPE </t>
  </si>
  <si>
    <t>MAKEMYTRIP</t>
  </si>
  <si>
    <t>SVELTE HOTEL</t>
  </si>
  <si>
    <t>DARKHASHA</t>
  </si>
  <si>
    <t>DILIP SINGH YADAV</t>
  </si>
  <si>
    <t>CURRENCY</t>
  </si>
  <si>
    <t>GY AZDANIKHAN</t>
  </si>
  <si>
    <t>BILL DKSTATEBANK</t>
  </si>
  <si>
    <t>PINTU</t>
  </si>
  <si>
    <t xml:space="preserve">RASHID </t>
  </si>
  <si>
    <t>ABHA SRIVASTAV</t>
  </si>
  <si>
    <t>ONLINE STATEMENT REPORT-03 JUN  2026</t>
  </si>
  <si>
    <t>BRAMHA NAND</t>
  </si>
  <si>
    <t>IRFAN KHAN</t>
  </si>
  <si>
    <t>SATISH KUMAR</t>
  </si>
  <si>
    <t>ONLINE STATEMENT REPORT-04 JUN   2026</t>
  </si>
  <si>
    <t xml:space="preserve">PRIYANKA </t>
  </si>
  <si>
    <t>LAXMI NARAIN</t>
  </si>
  <si>
    <t xml:space="preserve">MADAN MOHAN </t>
  </si>
  <si>
    <t xml:space="preserve">AJEET KUMAR </t>
  </si>
  <si>
    <t xml:space="preserve">YTSK </t>
  </si>
  <si>
    <t xml:space="preserve">AKB </t>
  </si>
  <si>
    <t>AKB</t>
  </si>
  <si>
    <t>AKBAKB</t>
  </si>
  <si>
    <t>MD SAJID</t>
  </si>
  <si>
    <t>ABHINAV KUMAR</t>
  </si>
  <si>
    <t>AKHILESH VERMA</t>
  </si>
  <si>
    <t>ABHIMANYU SINGH</t>
  </si>
  <si>
    <t>PIYUSH KUMAR</t>
  </si>
  <si>
    <t>NIKHAT JAHAN</t>
  </si>
  <si>
    <t>TAXI BILL</t>
  </si>
  <si>
    <t>NMAHESH PRATAP</t>
  </si>
  <si>
    <t>AAYAN KHAN</t>
  </si>
  <si>
    <t>VINOD VARMA</t>
  </si>
  <si>
    <t xml:space="preserve">SHIVI PRATAP </t>
  </si>
  <si>
    <t>MD IRFAN KHAN</t>
  </si>
  <si>
    <t>FIROJ AHEMAD</t>
  </si>
  <si>
    <t>PUNIT KUMAR</t>
  </si>
  <si>
    <t>BALRAM YADAV</t>
  </si>
  <si>
    <t>KAMAL KUMAR</t>
  </si>
  <si>
    <t>DILKUSH</t>
  </si>
  <si>
    <t>FARAH DEEBA</t>
  </si>
  <si>
    <t xml:space="preserve">LAXMI NARAIN </t>
  </si>
  <si>
    <t>RANJANA KUMARI</t>
  </si>
  <si>
    <t>ONLINE STATEMENT REPORT-07 JUN   2026</t>
  </si>
  <si>
    <t>REC YTSK 6/6</t>
  </si>
  <si>
    <t>ONLINE STATEMENT REPORT-08 JUN   2026</t>
  </si>
  <si>
    <t>IB BILL PAY</t>
  </si>
  <si>
    <t>MS MAHAKAL  TOUR AND</t>
  </si>
  <si>
    <t>DHANLAXMI</t>
  </si>
  <si>
    <t>SURYAPRAKASH</t>
  </si>
  <si>
    <t>SHIVAM YADAV</t>
  </si>
  <si>
    <t>JANARDAN RAO</t>
  </si>
  <si>
    <t>MANOJ KUMAR</t>
  </si>
  <si>
    <t>SIMRAN SRIMALI</t>
  </si>
  <si>
    <t>MOHD SHAHBAZ</t>
  </si>
  <si>
    <t>VINEET NISHAD</t>
  </si>
  <si>
    <t>INDIGO AIRLINE</t>
  </si>
  <si>
    <t>ANUJ KUMAR</t>
  </si>
  <si>
    <t>JAVED</t>
  </si>
  <si>
    <t>RADHEY SHYAM</t>
  </si>
  <si>
    <t>AVINASH SHUKLA</t>
  </si>
  <si>
    <t>ONLINE STATEMENT REPORT-09 JUN   2026</t>
  </si>
  <si>
    <t>VAIBHAV SRIVASTAVA</t>
  </si>
  <si>
    <t>HEMANT KUMAR</t>
  </si>
  <si>
    <t>NITU DUBEY</t>
  </si>
  <si>
    <t>CHANDRA BALA</t>
  </si>
  <si>
    <t>SANJAY SINGH</t>
  </si>
  <si>
    <t>AMIT KUMAR</t>
  </si>
  <si>
    <t>AMAN KUMAR</t>
  </si>
  <si>
    <t>SACHIN KUMAR</t>
  </si>
  <si>
    <t>ONLINE STATEMENT REPORT-10 JUN   2026</t>
  </si>
  <si>
    <t>SYED ZEESHAN</t>
  </si>
  <si>
    <t>JITENDRA KUMAR</t>
  </si>
  <si>
    <t>ARCHANA</t>
  </si>
  <si>
    <t>RUPAY MDR RCVRY</t>
  </si>
  <si>
    <t>SHREE SHUBH TRVELS</t>
  </si>
  <si>
    <t xml:space="preserve">ANUJ KUMAR </t>
  </si>
  <si>
    <t>SHREE SHUBH TRAVELS</t>
  </si>
  <si>
    <t xml:space="preserve">CASH DEPOSIT </t>
  </si>
  <si>
    <t xml:space="preserve">SELF TR </t>
  </si>
  <si>
    <t>NORTHERN TRIPS</t>
  </si>
  <si>
    <t>RUPAY MDR</t>
  </si>
  <si>
    <t>RAVI WO AERTICK ET ALLIANCE</t>
  </si>
  <si>
    <t>MSDUKE KASHMIR</t>
  </si>
  <si>
    <t xml:space="preserve">YTSK 1604 </t>
  </si>
  <si>
    <t>HONDA CITY SERV</t>
  </si>
  <si>
    <t xml:space="preserve">CREDIT - CCPAY </t>
  </si>
  <si>
    <t>RA VIWO AERTICKET</t>
  </si>
  <si>
    <t xml:space="preserve">DIPAK KUMAR </t>
  </si>
  <si>
    <t>RAVI WO AERTICKET ALLIANCE</t>
  </si>
  <si>
    <t>AKBAR ONLINE BOOKING</t>
  </si>
  <si>
    <t>SAUND BOX RENTAL</t>
  </si>
  <si>
    <t xml:space="preserve">LTT TICKET </t>
  </si>
  <si>
    <t>SERVICING</t>
  </si>
  <si>
    <t xml:space="preserve">COCKPIT PAYMENT </t>
  </si>
  <si>
    <t>HONDA CITY OIL</t>
  </si>
  <si>
    <t xml:space="preserve">HONDA CITY </t>
  </si>
  <si>
    <t>YTSK1642  (5800+400)</t>
  </si>
  <si>
    <t xml:space="preserve">VH PAYMENT AD  </t>
  </si>
  <si>
    <t xml:space="preserve">AD HONDA CITY </t>
  </si>
  <si>
    <t>CREDIT CARD ICICI</t>
  </si>
  <si>
    <t>OIL</t>
  </si>
  <si>
    <t xml:space="preserve">VH PAYMENT </t>
  </si>
  <si>
    <t xml:space="preserve">PRYJ OIL </t>
  </si>
  <si>
    <t xml:space="preserve">INDIGO SEAT PAYMENT </t>
  </si>
  <si>
    <t xml:space="preserve">HOTEL PAYMENT KASHMIR </t>
  </si>
  <si>
    <t xml:space="preserve">PKG GKC </t>
  </si>
  <si>
    <t xml:space="preserve">HOME EX. (GAS) </t>
  </si>
  <si>
    <t>PKG GCK</t>
  </si>
  <si>
    <t>PAYMENT GATWAY CHARGE</t>
  </si>
  <si>
    <t>YTSK  1604</t>
  </si>
  <si>
    <t xml:space="preserve">PAYMENT GATEWAY CHARGE </t>
  </si>
  <si>
    <t xml:space="preserve">   </t>
  </si>
  <si>
    <t>SOUND BOX</t>
  </si>
  <si>
    <t>ONLINE STATEMENT REPORT-11 JUN   2026</t>
  </si>
  <si>
    <t xml:space="preserve">ANKIT MAURYA </t>
  </si>
  <si>
    <t>AQIB ANSARI</t>
  </si>
  <si>
    <t>REKHA SRIVASTVA</t>
  </si>
  <si>
    <t>HIMANSHU RAI</t>
  </si>
  <si>
    <t>JAKIR KHAN</t>
  </si>
  <si>
    <t>VIPUL KUMAR</t>
  </si>
  <si>
    <t>CRED</t>
  </si>
  <si>
    <t>SHADAB ALAM</t>
  </si>
  <si>
    <t>PRADEEP KUMAR</t>
  </si>
  <si>
    <t>SOBEENA</t>
  </si>
  <si>
    <t>RAJESH SHRIVASTAV</t>
  </si>
  <si>
    <t>JAVAD KHAN</t>
  </si>
  <si>
    <t>DEEPAK PRASAD</t>
  </si>
  <si>
    <t>RAVIWI AIRTICKET</t>
  </si>
  <si>
    <t>RANI TANDON</t>
  </si>
  <si>
    <t>GULAM RABBANI</t>
  </si>
  <si>
    <t>IRCTC TICKET</t>
  </si>
  <si>
    <t>ONLINE STATEMENT REPORT-12 JUN   2026</t>
  </si>
  <si>
    <t>MGR TR CHARGE</t>
  </si>
  <si>
    <t>FLIGHT COCKPIT</t>
  </si>
  <si>
    <t xml:space="preserve">IRCTC AKBI </t>
  </si>
  <si>
    <t xml:space="preserve">THB PAYMENT </t>
  </si>
  <si>
    <t xml:space="preserve">AKB BO </t>
  </si>
  <si>
    <t>SELF TR</t>
  </si>
  <si>
    <t>ONLINE STATEMENT REPORT-05 JUN   2026</t>
  </si>
  <si>
    <t>ONLINE STATEMENT REPORT-06 JUN   2026</t>
  </si>
  <si>
    <t>VH PAYMENT</t>
  </si>
  <si>
    <t xml:space="preserve">AKBAR BO </t>
  </si>
  <si>
    <t>ONLINE STATEMENT REPORT-13 JUN   2026</t>
  </si>
  <si>
    <t xml:space="preserve">SRI BALAJI </t>
  </si>
  <si>
    <t>ARASHAD</t>
  </si>
  <si>
    <t xml:space="preserve">AAKASH KUMAR </t>
  </si>
  <si>
    <t>RAJESH KUMAR</t>
  </si>
  <si>
    <t>LALLU AGRAHARI</t>
  </si>
  <si>
    <t>DINESH KUMAR</t>
  </si>
  <si>
    <t>KAMLESH SINGH</t>
  </si>
  <si>
    <t xml:space="preserve">ARCHANA </t>
  </si>
  <si>
    <t>AKANKSHA TRIP</t>
  </si>
  <si>
    <t>SHASHIKANT YADAV</t>
  </si>
  <si>
    <t>SUSHILA RAI</t>
  </si>
  <si>
    <t>ROSHANI KUMARI</t>
  </si>
  <si>
    <t>PAPPU SINGH</t>
  </si>
  <si>
    <t>AKBAR TRAVELS</t>
  </si>
  <si>
    <t xml:space="preserve">CORBETT ONLINE  BOOKING </t>
  </si>
  <si>
    <t>UPI SETTELMENT</t>
  </si>
  <si>
    <t>CORBETT ONLINE</t>
  </si>
  <si>
    <t>NURAIN</t>
  </si>
  <si>
    <t>ONLINE STATEMENT REPORT-14 JUN   2026</t>
  </si>
  <si>
    <t>PAYZZAP</t>
  </si>
  <si>
    <t>FLIGHT AKB</t>
  </si>
  <si>
    <t>P . EXP</t>
  </si>
  <si>
    <t>NEPAL PACKEG</t>
  </si>
  <si>
    <t xml:space="preserve">AKBI TICKET </t>
  </si>
  <si>
    <t xml:space="preserve">AIRPORT OUT STATION VH PAYMNET </t>
  </si>
  <si>
    <t>JIM CORBETT PAYMENT</t>
  </si>
  <si>
    <t>BUXER OIL PAYMENT</t>
  </si>
  <si>
    <t xml:space="preserve">EURO PAYMENT </t>
  </si>
  <si>
    <t xml:space="preserve">JEEP SAFARI </t>
  </si>
  <si>
    <t>LKO OIL PAYMENT</t>
  </si>
  <si>
    <t>ETIOS OIL PAYMENT</t>
  </si>
  <si>
    <t>JEEP SAFARI</t>
  </si>
  <si>
    <t>CALARISA REPORTS</t>
  </si>
  <si>
    <t>ZIM CORPET HOTEL</t>
  </si>
  <si>
    <t xml:space="preserve">NEPAL TOUR PAYMENT </t>
  </si>
  <si>
    <t>DHANANJAY SINGH</t>
  </si>
  <si>
    <t>MS KOTIA ASSOCIATES</t>
  </si>
  <si>
    <t>SHEETALA TRADER</t>
  </si>
  <si>
    <t>ADITYA SINGH</t>
  </si>
  <si>
    <t>HENA TABSUM</t>
  </si>
  <si>
    <t>MR MOHAMMAD IDU</t>
  </si>
  <si>
    <t>PRADEEP KUMAR TIWARI</t>
  </si>
  <si>
    <t>RAMJIBEN CHATTRJEE</t>
  </si>
  <si>
    <t>CHQ-DEP CTS CLGI</t>
  </si>
  <si>
    <t>CASH DEPOSIT RAMJIBEN</t>
  </si>
  <si>
    <t>HOTEL PAYMENT</t>
  </si>
  <si>
    <t>SHALBH MATHUR PAYMENT</t>
  </si>
  <si>
    <t>KASHMIR PAYMENT</t>
  </si>
  <si>
    <t>SHALABH MATHUR PAYMENT</t>
  </si>
  <si>
    <t>NEPAL PAYMENT</t>
  </si>
  <si>
    <t xml:space="preserve">KASHMIR HOTAL PAYMENT </t>
  </si>
  <si>
    <t>ONLINE STATEMENT REPORT-15 JUN   2026</t>
  </si>
  <si>
    <t>SANTOSH KUMAR</t>
  </si>
  <si>
    <t>ISHAQ</t>
  </si>
  <si>
    <t>SHEERI KHANAM</t>
  </si>
  <si>
    <t>SONI VISHWAKARMA</t>
  </si>
  <si>
    <t>AMARNATH GUPTA</t>
  </si>
  <si>
    <t>ASHUTOSH KUMAR</t>
  </si>
  <si>
    <t>CLARISSA REPORTS</t>
  </si>
  <si>
    <t xml:space="preserve">AKBAR 3150 RECHARGE DP CREDIT CARD </t>
  </si>
  <si>
    <t xml:space="preserve">ZIM CORPET HOTEL NAINITAL </t>
  </si>
  <si>
    <t>ONLINE STATEMENT REPORT-16 JUN   2026</t>
  </si>
  <si>
    <t>MOHD IRFAN</t>
  </si>
  <si>
    <t>AAFTAB AALAM</t>
  </si>
  <si>
    <t>JYOTSNA SRIVASTAVA</t>
  </si>
  <si>
    <t>SAMIRAN SAIKIA</t>
  </si>
  <si>
    <t>REKHA SRIVASTAV</t>
  </si>
  <si>
    <t>DIVYANSHU GUPTA</t>
  </si>
  <si>
    <t>S1ANGZ01</t>
  </si>
  <si>
    <t>PINTU RAJBHAR</t>
  </si>
  <si>
    <t>ONLINE STATEMENT REPORT-17 JUN   2026</t>
  </si>
  <si>
    <t xml:space="preserve">SELF CASH </t>
  </si>
  <si>
    <t>AKB BUS TICKET 13/6</t>
  </si>
  <si>
    <t>ONLINE STATEMENT REPORT-18 JUN   2026</t>
  </si>
  <si>
    <t>ONLINE STATEMENT REPORT-19 JUN   2026</t>
  </si>
  <si>
    <t>MASTER ANIKET</t>
  </si>
  <si>
    <t xml:space="preserve">BECHAN LAL </t>
  </si>
  <si>
    <t xml:space="preserve">RAKESH KUMAR </t>
  </si>
  <si>
    <t xml:space="preserve">ARMAN </t>
  </si>
  <si>
    <t>TANMAY KRISHNA</t>
  </si>
  <si>
    <t>ARCHANA SINGH</t>
  </si>
  <si>
    <t>UMESH YADAV</t>
  </si>
  <si>
    <t>VIVEK KUMAR</t>
  </si>
  <si>
    <t>SHILPA RAWAT</t>
  </si>
  <si>
    <t>SUNDRAM KUMAR</t>
  </si>
  <si>
    <t>ABDUL ALEEM</t>
  </si>
  <si>
    <t>GHAZIPUR TOUR</t>
  </si>
  <si>
    <t>ADITI CONSTRUCTION</t>
  </si>
  <si>
    <t>RABINDRA KUMAR</t>
  </si>
  <si>
    <t>DHARMENDRA</t>
  </si>
  <si>
    <t>MADAN MOHAN</t>
  </si>
  <si>
    <t>FOR DHARAMSHALA</t>
  </si>
  <si>
    <t>RAVI WO AERTICKET</t>
  </si>
  <si>
    <t>PASSPORT SEVA</t>
  </si>
  <si>
    <t>TRIBHAWAN SINGH</t>
  </si>
  <si>
    <t>POWER POINT</t>
  </si>
  <si>
    <t>VIDUSHI SINGH</t>
  </si>
  <si>
    <t>SALARY</t>
  </si>
  <si>
    <t xml:space="preserve">SBI ELITE </t>
  </si>
  <si>
    <t>REC VIVEK SINGH 3/6</t>
  </si>
  <si>
    <t xml:space="preserve">AKB AIR </t>
  </si>
  <si>
    <t>YTSK1604</t>
  </si>
  <si>
    <t>P . EXP .</t>
  </si>
  <si>
    <t>COCKPIT PAYMENT</t>
  </si>
  <si>
    <t>SBI CREDIT 5050 PAYMENT</t>
  </si>
  <si>
    <t>EXP GLASS OFFICE</t>
  </si>
  <si>
    <t>INVERTER BATTERY OFFICE</t>
  </si>
  <si>
    <t>RAM SAKHI DEVI</t>
  </si>
  <si>
    <t>ONLINE STATEMENT REPORT- 20 JUN   2026</t>
  </si>
  <si>
    <t>SATYAM PRAJAPATI</t>
  </si>
  <si>
    <t>VIKASH KUMAR</t>
  </si>
  <si>
    <t>MOINUDDIN ZILANI</t>
  </si>
  <si>
    <t>VIPIN KUMAR</t>
  </si>
  <si>
    <t>SEEMA SANJAY</t>
  </si>
  <si>
    <t>CHINTA DEVI</t>
  </si>
  <si>
    <t xml:space="preserve">SANTOSH SHARMA </t>
  </si>
  <si>
    <t>ONORA HOSPITLITY</t>
  </si>
  <si>
    <t>ABHAY KUMAR</t>
  </si>
  <si>
    <t>VAIBHAV</t>
  </si>
  <si>
    <t xml:space="preserve">REC DP SINGH 2/6 </t>
  </si>
  <si>
    <t xml:space="preserve">P. EXP </t>
  </si>
  <si>
    <t>DHARMAMSHALA PACKEG</t>
  </si>
  <si>
    <t>DHARMSHALA PACKEG</t>
  </si>
  <si>
    <t>OIL AJAMGARH</t>
  </si>
  <si>
    <t>CREDT CARD 0550</t>
  </si>
  <si>
    <t xml:space="preserve">CREDIT CARD PAYMENT 5050 </t>
  </si>
  <si>
    <t xml:space="preserve">DHARMSHALA PAYMENT </t>
  </si>
  <si>
    <t xml:space="preserve">OTHER VH PAYMENT </t>
  </si>
  <si>
    <t>SUSMA BHARTI</t>
  </si>
  <si>
    <t>KANCHAN YADAV</t>
  </si>
  <si>
    <t>ONLINE STATEMENT REPORT-21 JUN   2026</t>
  </si>
  <si>
    <t>SHREE   SHUBH   TRAVEL HDFC</t>
  </si>
  <si>
    <t>SANDEEP  SINGH</t>
  </si>
  <si>
    <t>ONERAIN</t>
  </si>
  <si>
    <t>KARUN VIJAY</t>
  </si>
  <si>
    <t>JAVED ANSARI</t>
  </si>
  <si>
    <t>CASH</t>
  </si>
  <si>
    <t>ONLINE STATEMENT REPORT-22 JUN   2026</t>
  </si>
  <si>
    <t xml:space="preserve">RBI REMET </t>
  </si>
  <si>
    <t>INNOVA 1000</t>
  </si>
  <si>
    <t xml:space="preserve">HONDA CITY PAYMENT </t>
  </si>
  <si>
    <t>ONLINE STATEMENT REPORT-23 JUN   2026</t>
  </si>
  <si>
    <t xml:space="preserve">MD MODASSIR </t>
  </si>
  <si>
    <t xml:space="preserve">ABDUL ALEEM </t>
  </si>
  <si>
    <t>MR DEEPAK KUMAR</t>
  </si>
  <si>
    <t>SUJIT KUMAR</t>
  </si>
  <si>
    <t>LAKSHMEE PRASAD</t>
  </si>
  <si>
    <t>VIKASH SINGH</t>
  </si>
  <si>
    <t xml:space="preserve">SBI CARDS </t>
  </si>
  <si>
    <t>DARKHASH</t>
  </si>
  <si>
    <t xml:space="preserve">MUKESH </t>
  </si>
  <si>
    <t>OFFICE CAMARA DVR PAYMENT</t>
  </si>
  <si>
    <t xml:space="preserve">USD CURRENCY </t>
  </si>
  <si>
    <t xml:space="preserve">INNOVA OIL PAYMENT </t>
  </si>
  <si>
    <t xml:space="preserve">SBI CARDS PAYMENT VAIBHAV </t>
  </si>
  <si>
    <t xml:space="preserve">PATNA INNOVA PAYMENT </t>
  </si>
  <si>
    <t>ONLINE STATEMENT REPORT-24 JUN   2026</t>
  </si>
  <si>
    <t>SANJAY S KUSHWAHA</t>
  </si>
  <si>
    <t>DHRUV KUMAR</t>
  </si>
  <si>
    <t>SACHIN MOURYA</t>
  </si>
  <si>
    <t>RAJA VERMA</t>
  </si>
  <si>
    <t xml:space="preserve">SMVDSB ROPEW A Y </t>
  </si>
  <si>
    <t>ELITE CARDS 5050</t>
  </si>
  <si>
    <t>SHASHI SVDK</t>
  </si>
  <si>
    <t xml:space="preserve"> STATION OFFICE RENT </t>
  </si>
  <si>
    <t>ONLINE STATEMENT REPORT-25 JUN   2026</t>
  </si>
  <si>
    <t xml:space="preserve">SANTOSH VERMA </t>
  </si>
  <si>
    <t>INDU PRAKASH</t>
  </si>
  <si>
    <t>YOGESH</t>
  </si>
  <si>
    <t xml:space="preserve">RAKESH BHARTI </t>
  </si>
  <si>
    <t>RAJU CHAUDHARI</t>
  </si>
  <si>
    <t>SANJAY</t>
  </si>
  <si>
    <t>ASHAR MINHAZ</t>
  </si>
  <si>
    <t>ABON HAZARIKA</t>
  </si>
  <si>
    <t>CARDLESH DEPOSIT</t>
  </si>
  <si>
    <t>PAYUAXIS BANK</t>
  </si>
  <si>
    <t>REC FLIGHT HO 17/6</t>
  </si>
  <si>
    <t xml:space="preserve">RABBANI CREDIT CARD PAYMENT </t>
  </si>
  <si>
    <t>ONLINE STATEMENT REPORT-26 JUN   2026</t>
  </si>
  <si>
    <t>RANJAN KUMAR</t>
  </si>
  <si>
    <t>AMAN VISHWAKARMA</t>
  </si>
  <si>
    <t xml:space="preserve">ETIOS EXP </t>
  </si>
  <si>
    <t>ONLINE STATEMENT REPORT-27 JUN   2026</t>
  </si>
  <si>
    <t>SHOKAT RAZA</t>
  </si>
  <si>
    <t>MOHD AFJL KHAN</t>
  </si>
  <si>
    <t>SANTOSH KUMAR YADAV</t>
  </si>
  <si>
    <t>MD DAUD SIDDIQUI</t>
  </si>
  <si>
    <t>RAJAN KUMAR</t>
  </si>
  <si>
    <t>SHIVPAL  SINGH</t>
  </si>
  <si>
    <t>ANUJ KUMAR SRI</t>
  </si>
  <si>
    <t>SBI ELITE</t>
  </si>
  <si>
    <t>REC YTSK 1604</t>
  </si>
  <si>
    <t xml:space="preserve">AKBI </t>
  </si>
  <si>
    <t>CREDIT CARD SBI PAYMENT</t>
  </si>
  <si>
    <t>ONLINE STATEMENT REPORT-28 JUN   2026</t>
  </si>
  <si>
    <t>MD IRFAN AHAMAD</t>
  </si>
  <si>
    <t xml:space="preserve">YTSK 1604 REC </t>
  </si>
  <si>
    <t>ONLINE STATEMENT REPORT-29 JUN   2026</t>
  </si>
  <si>
    <t>SHEETALA TRADERS</t>
  </si>
  <si>
    <t>AASHISH KUMAR</t>
  </si>
  <si>
    <t>TANVEER ALAM</t>
  </si>
  <si>
    <t>PRINCE MINOR</t>
  </si>
  <si>
    <t>MOHD ANAS</t>
  </si>
  <si>
    <t>RAVIWO AERTICKET</t>
  </si>
  <si>
    <t>REC FLIGHT 24/6</t>
  </si>
  <si>
    <t>REC FLIGHT + AD</t>
  </si>
  <si>
    <t>CURRENCY AKB DEPOSIT</t>
  </si>
  <si>
    <t>AIR COCKPIT PAYMENT</t>
  </si>
  <si>
    <t xml:space="preserve">CURRENCY BILL PAYMENT </t>
  </si>
  <si>
    <t>ONLINE STATEMENT REPORT-30 JUN   2026</t>
  </si>
  <si>
    <t>REKHA SRIVASTAVA</t>
  </si>
  <si>
    <t>KAMLESH GUPTA</t>
  </si>
  <si>
    <t>RUBI GUPTA</t>
  </si>
  <si>
    <t>ADEEP KUMAR</t>
  </si>
  <si>
    <t xml:space="preserve">GOPAL ABHUSHAN </t>
  </si>
  <si>
    <t>NANDKISHORTHAKUR</t>
  </si>
  <si>
    <t>ALI RAZA</t>
  </si>
  <si>
    <t>ANKIT YADAV</t>
  </si>
  <si>
    <t>RITA SINGH</t>
  </si>
  <si>
    <t>TANVEER HAIDER</t>
  </si>
  <si>
    <t xml:space="preserve">CARDLESS DEPOSIT </t>
  </si>
  <si>
    <t>UBIN0544159</t>
  </si>
  <si>
    <t>RAVINDRA KUMAR</t>
  </si>
  <si>
    <t>SELF TR UBI 0613</t>
  </si>
  <si>
    <t>AKB BUS</t>
  </si>
  <si>
    <t>NEPAL PACKAGE</t>
  </si>
  <si>
    <t>ONLINE STATEMENT REPORT-01 JUL  2026</t>
  </si>
  <si>
    <t xml:space="preserve">MD VAZID </t>
  </si>
  <si>
    <t>SUNIL KUMAR SINGH</t>
  </si>
  <si>
    <t>RAMPARVESH SINGH</t>
  </si>
  <si>
    <t>DIPAK SAINI</t>
  </si>
  <si>
    <t>MOHAMMAD WASIM</t>
  </si>
  <si>
    <t>MOHAMMAD IRFAN</t>
  </si>
  <si>
    <t>ONLINE STATEMENT REPORT-02 JUL  2026</t>
  </si>
  <si>
    <t>AFJAL KHAN</t>
  </si>
  <si>
    <t>RAHUL SRIVASTAVA</t>
  </si>
  <si>
    <t>SHAHJAD</t>
  </si>
  <si>
    <t>SHIV SHANKAR</t>
  </si>
  <si>
    <t xml:space="preserve">SHAILENDRA </t>
  </si>
  <si>
    <t>CHHOTU GUPTA</t>
  </si>
  <si>
    <t>SELF CHQ PAID</t>
  </si>
  <si>
    <t>ONLINE STATEMENT REPORT-03 JUL  2026</t>
  </si>
  <si>
    <t>ONLINE STATEMENT REPORT-04 JUL  2026</t>
  </si>
  <si>
    <t xml:space="preserve">BUS AKB </t>
  </si>
  <si>
    <t>REC AKB 01/07</t>
  </si>
  <si>
    <t xml:space="preserve">CASH WITHDRAWAL CURRENCY </t>
  </si>
  <si>
    <t>PANKAJ KUMAR</t>
  </si>
  <si>
    <t>SUNIL KUMAR</t>
  </si>
  <si>
    <t>BHOLA NATH</t>
  </si>
  <si>
    <t>JAYA GUPTA</t>
  </si>
  <si>
    <t>JAI MAA DURGA</t>
  </si>
  <si>
    <t>SATISH CHANDRA</t>
  </si>
  <si>
    <t>PRATIMA YADAV</t>
  </si>
  <si>
    <t>MANISH KUMAR</t>
  </si>
  <si>
    <t>CUREENCY</t>
  </si>
  <si>
    <t>POONAM SINGH</t>
  </si>
  <si>
    <t>RAJESH SINGH</t>
  </si>
  <si>
    <t>AJAY KUMAR RAI</t>
  </si>
  <si>
    <t xml:space="preserve">SHAHIL </t>
  </si>
  <si>
    <t>SHEFA FATIMA</t>
  </si>
  <si>
    <t>DHIRENDRA RAI</t>
  </si>
  <si>
    <t>HIMANSHU KUMAR</t>
  </si>
  <si>
    <t>PARITOSHIK DUBEY</t>
  </si>
  <si>
    <t>RAVIWO AIRTICKET</t>
  </si>
  <si>
    <t xml:space="preserve">OUT SIDE VH PAYMENT </t>
  </si>
  <si>
    <t>AKB BUS +REC BUS 2/7</t>
  </si>
  <si>
    <t>AKB REC AJAY RAI 24/6</t>
  </si>
  <si>
    <t>MD NOOR</t>
  </si>
  <si>
    <t>SAJID KHAN</t>
  </si>
  <si>
    <t>AKSHAY KUMAR</t>
  </si>
  <si>
    <t>ONLINE STATEMENT REPORT-05 JUL  2026</t>
  </si>
  <si>
    <t xml:space="preserve">AYODHYA OIL PAYMENT </t>
  </si>
  <si>
    <t>REC AKB 4/7</t>
  </si>
  <si>
    <t>REC YTSK 4/7</t>
  </si>
  <si>
    <t>ONORA HOSPITALITY PV</t>
  </si>
  <si>
    <t>RANJAN YADAV</t>
  </si>
  <si>
    <t>MOHD RASHID</t>
  </si>
  <si>
    <t>ADITYA KUMAR</t>
  </si>
  <si>
    <t>SATYAJEET BOSE</t>
  </si>
  <si>
    <t>SUHAIL KHAN</t>
  </si>
  <si>
    <t>MAMTA SINGH</t>
  </si>
  <si>
    <t>MOHAMMAD JAVAD</t>
  </si>
  <si>
    <t>MANOJ TIWARI</t>
  </si>
  <si>
    <t>ANUJ KUMAR SRIVASTAVA</t>
  </si>
  <si>
    <t xml:space="preserve">ETIOS PAYMENT </t>
  </si>
  <si>
    <t>ONLINE STATEMENT REPORT-06 JUL  2026</t>
  </si>
  <si>
    <t xml:space="preserve">VH </t>
  </si>
  <si>
    <t>HIMACHAL HOTEL PAYMENT</t>
  </si>
  <si>
    <t>ANIKET PRATAP SINGH</t>
  </si>
  <si>
    <t>REHAN RAINI</t>
  </si>
  <si>
    <t>ONLINE STATEMENT REPORT-07 JUL  2026</t>
  </si>
  <si>
    <t>MANISH SATISHCHAND</t>
  </si>
  <si>
    <t>RAKESH MANI</t>
  </si>
  <si>
    <t>ANURAG PANDEY</t>
  </si>
  <si>
    <t>PYARE LAL</t>
  </si>
  <si>
    <t>ANKIT MAURYA</t>
  </si>
  <si>
    <t xml:space="preserve">SANJAY VERMA </t>
  </si>
  <si>
    <t>SANDEEP VERMA</t>
  </si>
  <si>
    <t>RAKESH KUMAR</t>
  </si>
  <si>
    <t>HARENDRA PRASAD</t>
  </si>
  <si>
    <t>PYARE MOHAN</t>
  </si>
  <si>
    <t>ONLINE STATEMENT REPORT-08 JUL  2026</t>
  </si>
  <si>
    <t>REC AKB 7/7</t>
  </si>
  <si>
    <t>ONLINE STATEMENT REPORT-09 JUL  2026</t>
  </si>
  <si>
    <t>GHAZANFAR IMAM</t>
  </si>
  <si>
    <t>ANKUR SRIVASTAVA</t>
  </si>
  <si>
    <t xml:space="preserve">MD NOOR </t>
  </si>
  <si>
    <t>RAKESH FILMS</t>
  </si>
  <si>
    <t>SUNIL</t>
  </si>
  <si>
    <t>SANJAY SRIVASTAV</t>
  </si>
  <si>
    <t>ONLINE STATEMENT REPORT-10 JUL  2026</t>
  </si>
  <si>
    <t>SAYED ZAHEER HAIDER</t>
  </si>
  <si>
    <t>NAYASHA HOME DECORE</t>
  </si>
  <si>
    <t>DHARMENDRA SINGH CHAUHAN</t>
  </si>
  <si>
    <t>SAJAL KUMAR SRIVASTAVA</t>
  </si>
  <si>
    <t>RAVIWO AIR TICKET</t>
  </si>
  <si>
    <t>SOUND BOX RENTAL</t>
  </si>
  <si>
    <t>ORBIT 360</t>
  </si>
  <si>
    <t>CLICK START GO</t>
  </si>
  <si>
    <t>OIL  VNS</t>
  </si>
  <si>
    <t>HDFC BOX CHARGE</t>
  </si>
  <si>
    <t>QR CODE</t>
  </si>
  <si>
    <t>NORTH EAST PACKAGE</t>
  </si>
  <si>
    <t>VIDHUSI SINGH</t>
  </si>
  <si>
    <t>DHARMSALA PACKAGE</t>
  </si>
  <si>
    <t>DHARAMSHALA PACKAGE</t>
  </si>
  <si>
    <t xml:space="preserve">MR ARJUN GUPTA </t>
  </si>
  <si>
    <t xml:space="preserve">                                                         SHREE   SHUBH   TRAVEL </t>
  </si>
  <si>
    <t xml:space="preserve">MOHD NAFEES </t>
  </si>
  <si>
    <t>RAM DOLUI</t>
  </si>
  <si>
    <t>RAHUL SINGH</t>
  </si>
  <si>
    <t>ONLINE STATEMENT REPORT-11 JUL  2026</t>
  </si>
  <si>
    <t xml:space="preserve">USD PAYMENT </t>
  </si>
  <si>
    <t>PINTU YADAV</t>
  </si>
  <si>
    <t xml:space="preserve">AJAY KUMAR RAI </t>
  </si>
  <si>
    <t xml:space="preserve">SUSMA BHARTI </t>
  </si>
  <si>
    <t xml:space="preserve">HUSHNA BEGUM </t>
  </si>
  <si>
    <t>KRISHNA NAND</t>
  </si>
  <si>
    <t xml:space="preserve">DEENANATH VIND </t>
  </si>
  <si>
    <t>ONLINE STATEMENT REPORT-12 JUL  2026</t>
  </si>
  <si>
    <t>AKB FLIHT</t>
  </si>
  <si>
    <t>AKBAR (SUM)</t>
  </si>
  <si>
    <t>TRANSPORT VRINDAVAN</t>
  </si>
  <si>
    <t>ONLINE STATEMENT REPORT-13 JUL  2026</t>
  </si>
  <si>
    <t>MOHIT SRIVASTAVA</t>
  </si>
  <si>
    <t>SONU KHARWAR</t>
  </si>
  <si>
    <t>ABHIMANYU CHAUHAN</t>
  </si>
  <si>
    <t>VIBHA DEVI</t>
  </si>
  <si>
    <t xml:space="preserve">VRINDAVAN INNOVA </t>
  </si>
  <si>
    <t>AKB FLIGHT (SUM) HO</t>
  </si>
  <si>
    <t>PURI PACKAGE</t>
  </si>
  <si>
    <t>AKBAR 3150</t>
  </si>
  <si>
    <t>PACKAGE</t>
  </si>
  <si>
    <t>ONLINE STATEMENT REPORT-14 JUL  2026</t>
  </si>
  <si>
    <t>VINOD VERMA</t>
  </si>
  <si>
    <t>TABASSUM HASAN</t>
  </si>
  <si>
    <t>SANDEEP KUMAR</t>
  </si>
  <si>
    <t>RAJ FILLING STATION</t>
  </si>
  <si>
    <t>MD SADDIK</t>
  </si>
  <si>
    <t>AKB HO (SUM)</t>
  </si>
  <si>
    <t>OIL HONDA CITY</t>
  </si>
  <si>
    <t xml:space="preserve">P . HOME EXP </t>
  </si>
  <si>
    <t>SHREE SHUBH</t>
  </si>
  <si>
    <t>SUMIT RAI</t>
  </si>
  <si>
    <t>FARHAN KHAN</t>
  </si>
  <si>
    <t>MAHIMA SRIVASTAVA</t>
  </si>
  <si>
    <t>SUSMA</t>
  </si>
  <si>
    <t>ONLINE STATEMENT REPORT-15 JUL  2026</t>
  </si>
  <si>
    <t>RVSL EDC RENTAL JUNE 26</t>
  </si>
  <si>
    <t xml:space="preserve">ETIOS AMIT </t>
  </si>
  <si>
    <t xml:space="preserve">AKB (SUM) + REC </t>
  </si>
  <si>
    <t>CREDIT CARD PAYMENT 5050</t>
  </si>
  <si>
    <t>OIL VNS ETIOS</t>
  </si>
  <si>
    <t>VH</t>
  </si>
  <si>
    <t>AKB (SUM)REC SUMIT 14/7</t>
  </si>
  <si>
    <t>COCKPIT  FLIGHT</t>
  </si>
  <si>
    <t>COCKPIT</t>
  </si>
  <si>
    <t>ONLINE STATEMENT REPORT-16 JUL  2026</t>
  </si>
  <si>
    <t>UJJALA RESTAURANT</t>
  </si>
  <si>
    <t>MUHAMMAD ZUNED</t>
  </si>
  <si>
    <t>MOD ALTAMAS</t>
  </si>
  <si>
    <t xml:space="preserve">MD SHAHNAWAZ KHAN </t>
  </si>
  <si>
    <t>MOHAMMAD KAIF</t>
  </si>
  <si>
    <t xml:space="preserve">DURGESH </t>
  </si>
  <si>
    <t>AKB FLIGHT (SUM)</t>
  </si>
  <si>
    <t>AKB (SUM)</t>
  </si>
  <si>
    <t>CREDIT HDFC POS 10/7</t>
  </si>
  <si>
    <t>RECHARGE (SUM )</t>
  </si>
  <si>
    <t>MATHUR PACKAGE</t>
  </si>
  <si>
    <t>RECHARGE  03150</t>
  </si>
  <si>
    <t>ONLINE STATEMENT REPORT-17 JUL  2026</t>
  </si>
  <si>
    <t>VINAY KUMAR</t>
  </si>
  <si>
    <t>R K ENTERPRISES</t>
  </si>
  <si>
    <t>R K 8056032286</t>
  </si>
  <si>
    <t>RAJANGIRI</t>
  </si>
  <si>
    <t>ADARSH RANJAN SINGH</t>
  </si>
  <si>
    <t>VISHWAJIT SINGH YADAV</t>
  </si>
  <si>
    <t>NILAM DEVI</t>
  </si>
  <si>
    <t>ROJI BEGAM</t>
  </si>
  <si>
    <t>SIDDHARTH</t>
  </si>
  <si>
    <t>REC STUCK CASH DEPOSIT 15/7</t>
  </si>
  <si>
    <t>BILL DESK PYMENT</t>
  </si>
  <si>
    <t>SAJAWAT</t>
  </si>
  <si>
    <t xml:space="preserve">STUCK CASH HDFC </t>
  </si>
  <si>
    <t>STUCK CASH HDFC (REC 17/7)</t>
  </si>
  <si>
    <t xml:space="preserve">OIL VNS </t>
  </si>
  <si>
    <t>SWIPE POS  CHARGE</t>
  </si>
  <si>
    <t xml:space="preserve">HOTEL PAYMENT DEEPAK </t>
  </si>
  <si>
    <t xml:space="preserve">                                            SHREE   SHUBH   TRAVEL HDFC</t>
  </si>
  <si>
    <t xml:space="preserve">SHASHI MENAN SINGH </t>
  </si>
  <si>
    <t>DEEPAK  KUMAR</t>
  </si>
  <si>
    <t>MOHD AJAZ</t>
  </si>
  <si>
    <t>AKASH KUMAR</t>
  </si>
  <si>
    <t>AKASH PATEL</t>
  </si>
  <si>
    <t>MRITUANJAY RAI</t>
  </si>
  <si>
    <t>CARDS SETTL</t>
  </si>
  <si>
    <t>ONLINE STATEMENT REPORT-18 JUL  2026</t>
  </si>
  <si>
    <t>RANJANA</t>
  </si>
  <si>
    <t xml:space="preserve">AKB  </t>
  </si>
  <si>
    <t>SBI CARD 5050</t>
  </si>
  <si>
    <t xml:space="preserve">P . EXP </t>
  </si>
  <si>
    <t xml:space="preserve">SAYED AFAQUE </t>
  </si>
  <si>
    <t>SHASHIKANT</t>
  </si>
  <si>
    <t>PARAG ENTERPRISES</t>
  </si>
  <si>
    <t>SHREYA SRIVASTAVA</t>
  </si>
  <si>
    <t xml:space="preserve">MOHAMMAD AADIL </t>
  </si>
  <si>
    <t>INDRAJEET KUMAR</t>
  </si>
  <si>
    <t>ANIL KUMAR SINGH</t>
  </si>
  <si>
    <t xml:space="preserve">PINTU </t>
  </si>
  <si>
    <t>INDIAN RAILWAY MRIR</t>
  </si>
  <si>
    <t>AD YTSK 20/7</t>
  </si>
  <si>
    <t xml:space="preserve">CARD SETT . REC </t>
  </si>
  <si>
    <t>ONLINE STATEMENT REPORT-19 JUL  2026</t>
  </si>
  <si>
    <t>REC YTSK 15/7</t>
  </si>
  <si>
    <t xml:space="preserve">MANOJ KUMAR </t>
  </si>
  <si>
    <t>VIRENDRA NATH RAI</t>
  </si>
  <si>
    <t>RAKESH SINGH</t>
  </si>
  <si>
    <t>PRATIMA RAI</t>
  </si>
  <si>
    <t>INDIWAR KUMAR</t>
  </si>
  <si>
    <t>GIRDHAR SINGH</t>
  </si>
  <si>
    <t>DHARMENDRA VISH</t>
  </si>
  <si>
    <t>ASHISH KUMAR</t>
  </si>
  <si>
    <t>SUSHIL KUMAR</t>
  </si>
  <si>
    <t>MR RAJA KUMAR</t>
  </si>
  <si>
    <t>ONLINE STATEMENT REPORT-20 JUL  2026</t>
  </si>
  <si>
    <t xml:space="preserve">ABHAY KUMAR </t>
  </si>
  <si>
    <t>MD NASHIM</t>
  </si>
  <si>
    <t>IMRAN AHMAD</t>
  </si>
  <si>
    <t>AKB BO</t>
  </si>
  <si>
    <t xml:space="preserve">SALARY </t>
  </si>
  <si>
    <t>LTT TICKET</t>
  </si>
  <si>
    <t>SHASHIKANT SINGH</t>
  </si>
  <si>
    <t>JITENDRA NANDLAL</t>
  </si>
  <si>
    <t>SANTOSH SHARMA</t>
  </si>
  <si>
    <t>AZIM FARIDI</t>
  </si>
  <si>
    <t>MRS VILKIS FARIDI</t>
  </si>
  <si>
    <t>ASHOK KR YADAV</t>
  </si>
  <si>
    <t>PRADEEP SINGH</t>
  </si>
  <si>
    <t>SHIVAM KUMAR SINGH</t>
  </si>
  <si>
    <t>CARD SETTLEMENT</t>
  </si>
  <si>
    <t xml:space="preserve">REC CARD SETTLEMENT </t>
  </si>
  <si>
    <t>ONLINE STATEMENT REPORT-21 JUL  2026</t>
  </si>
  <si>
    <t>MMT  FLIGHT</t>
  </si>
  <si>
    <t xml:space="preserve">     </t>
  </si>
  <si>
    <t>REC  YTSK 15/7</t>
  </si>
  <si>
    <t>EXT. YTSK 1604</t>
  </si>
  <si>
    <t xml:space="preserve">CURRENCY </t>
  </si>
  <si>
    <t>SOFTWARE</t>
  </si>
  <si>
    <t>MMT HO</t>
  </si>
  <si>
    <t>GAURI TRADERS</t>
  </si>
  <si>
    <t>ABDUR RAHMAN</t>
  </si>
  <si>
    <t>NEHA KUSHWAHA</t>
  </si>
  <si>
    <t>CHANDAN RAI</t>
  </si>
  <si>
    <t>GOPAL MODANVAL</t>
  </si>
  <si>
    <t>ANUSHKA BHARDWAJ</t>
  </si>
  <si>
    <t>SUNDRAM KR SINGH</t>
  </si>
  <si>
    <t>CURENCY</t>
  </si>
  <si>
    <t xml:space="preserve">AMUONT </t>
  </si>
  <si>
    <t xml:space="preserve">PAY .(R) </t>
  </si>
  <si>
    <t xml:space="preserve">USD </t>
  </si>
  <si>
    <t>AED</t>
  </si>
  <si>
    <t>SAR</t>
  </si>
  <si>
    <t>KWD</t>
  </si>
  <si>
    <t>JOD</t>
  </si>
  <si>
    <t>EURO</t>
  </si>
  <si>
    <t>OMR</t>
  </si>
  <si>
    <t>MUR</t>
  </si>
  <si>
    <t>THB</t>
  </si>
  <si>
    <t>QAR</t>
  </si>
  <si>
    <t>SGD</t>
  </si>
  <si>
    <t>CURRENCY (RABBANI)</t>
  </si>
  <si>
    <t>ONLINE STATEMENT REPORT-22 JUL  2026</t>
  </si>
  <si>
    <t>YTSK 1604 ???</t>
  </si>
  <si>
    <t>NAYASHA HOME</t>
  </si>
  <si>
    <t>RISHI KUMAR</t>
  </si>
  <si>
    <t xml:space="preserve">VALMEEK DHARMNATH  </t>
  </si>
  <si>
    <t>INDIAN RAILWAY</t>
  </si>
  <si>
    <t>MADHAVANAND SHUKLA</t>
  </si>
  <si>
    <t>ONLINE STATEMENT REPORT-23 JUL  2026</t>
  </si>
  <si>
    <t>ANUJ BHAIYA CASH TR</t>
  </si>
  <si>
    <t>ONLINE STATEMENT REPORT-24 JUL  2026</t>
  </si>
  <si>
    <t xml:space="preserve">                                          SHREE   SHUBH   TRAVEL                               (HDFC)</t>
  </si>
  <si>
    <t xml:space="preserve">                                   SHREE   SHUBH   TRAVEL                               (HDFC)</t>
  </si>
  <si>
    <t>ONLINE STATEMENT REPORT-25 JUL  2026</t>
  </si>
  <si>
    <t>ONLINE STATEMENT REPORT-26 JUL  2026</t>
  </si>
  <si>
    <t>ONLINE STATEMENT REPORT-27 JUL  2026</t>
  </si>
  <si>
    <t>ONLINE STATEMENT REPORT-28 JUL  2026</t>
  </si>
  <si>
    <t>ONLINE STATEMENT REPORT-29 JUL  2026</t>
  </si>
  <si>
    <t>ONLINE STATEMENT REPORT-30 JUL  2026</t>
  </si>
  <si>
    <t>ONLINE STATEMENT REPORT-31 JUL  2026</t>
  </si>
  <si>
    <t>ABHISHEK KR SRIVASTAVA</t>
  </si>
  <si>
    <t>MD JOHN</t>
  </si>
  <si>
    <t>GOPAL</t>
  </si>
  <si>
    <t>FLAX</t>
  </si>
  <si>
    <t>SBI CARDS 0550</t>
  </si>
  <si>
    <t>SUSHMA BHARTI</t>
  </si>
  <si>
    <t>ABHISHEK KUMAR</t>
  </si>
  <si>
    <t>MRITUNJAY RAI</t>
  </si>
  <si>
    <t>DEEPTI SINGH</t>
  </si>
  <si>
    <t>AJIT KUMAR SRVASTAV</t>
  </si>
  <si>
    <t>REC ETIOS 21/7</t>
  </si>
  <si>
    <t>SWIPE TO A/C AJIT BHAIYA</t>
  </si>
  <si>
    <t>MD NOOR MOHAMMAD</t>
  </si>
  <si>
    <t>ASHISH CHAURASIYA</t>
  </si>
  <si>
    <t>PAWAN KUMAR PANDAY</t>
  </si>
  <si>
    <t>PANKAJ KUMAR RAI</t>
  </si>
  <si>
    <t>AKB FLIGHT+ YTSK 1604</t>
  </si>
  <si>
    <t>SANJAY KUMAR</t>
  </si>
  <si>
    <t>MUSHARRAF</t>
  </si>
  <si>
    <t>RAMESH SINGH YADAV</t>
  </si>
  <si>
    <t>ANSHU RAI</t>
  </si>
  <si>
    <t>PAVAN KUMAR</t>
  </si>
  <si>
    <t>ABHISHEK KUMAR PANDEY</t>
  </si>
  <si>
    <t>ADITYA PATY ROY</t>
  </si>
  <si>
    <t>TQ TICKET</t>
  </si>
  <si>
    <t>EKARTI</t>
  </si>
  <si>
    <t>EKRATI</t>
  </si>
  <si>
    <t>A B ELECTRONICS</t>
  </si>
  <si>
    <t>MUKESH YADAV</t>
  </si>
  <si>
    <t>RABIA TABASUM</t>
  </si>
  <si>
    <t>SAVITA SINGH PATEL</t>
  </si>
  <si>
    <t>SHIVAM SINGH</t>
  </si>
  <si>
    <t>RANDHIR KUMAR SINGH</t>
  </si>
  <si>
    <t>SUJATA SINGH</t>
  </si>
  <si>
    <t>LALLAN PRASAD</t>
  </si>
  <si>
    <t>VIKRAM KUMAR GUPTA</t>
  </si>
  <si>
    <t>JAMAL AHMAD</t>
  </si>
  <si>
    <t xml:space="preserve">OUT SIDE VH </t>
  </si>
  <si>
    <t>PRAKASH SONS</t>
  </si>
  <si>
    <t>A B ELECTRNICS</t>
  </si>
  <si>
    <t>PUNIT YADAV</t>
  </si>
  <si>
    <t>KANCHAN BHARTI</t>
  </si>
  <si>
    <t>SUJAT SINGH</t>
  </si>
  <si>
    <t>DEEPAK SHARMA</t>
  </si>
  <si>
    <t>CARD SETTLE</t>
  </si>
  <si>
    <t xml:space="preserve">AKB SWIPE FLIGHT </t>
  </si>
  <si>
    <t>ANSHU AGRAWAL</t>
  </si>
  <si>
    <t>LUCKY SINGH</t>
  </si>
  <si>
    <t>RUPA KUMARI</t>
  </si>
  <si>
    <t xml:space="preserve">P EXP SHOPPING </t>
  </si>
  <si>
    <t>VH GORAKHPUR</t>
  </si>
  <si>
    <t>LOAN  RETURN</t>
  </si>
  <si>
    <t>STICKERS</t>
  </si>
  <si>
    <t>OIL VNS INNOVA</t>
  </si>
  <si>
    <t>SAURABH GUPTA</t>
  </si>
  <si>
    <t>BHANU PRATAP SINGH</t>
  </si>
  <si>
    <t>KULDEEP KUMAR VERMA</t>
  </si>
  <si>
    <t>ABHISHEK KUMAR TIWARI</t>
  </si>
  <si>
    <t>RESHMA</t>
  </si>
  <si>
    <t>BABBAN SINGH</t>
  </si>
  <si>
    <t>IRFAN MD AHMAD</t>
  </si>
  <si>
    <t>UPI- HDFC0001889</t>
  </si>
  <si>
    <t>PAYU AXIS BANK</t>
  </si>
  <si>
    <t xml:space="preserve">CURRENCY RESHMA </t>
  </si>
  <si>
    <t>SETTLEMENT</t>
  </si>
  <si>
    <t xml:space="preserve">HDFC CREDIT CARD ANUJ BHAIYA </t>
  </si>
  <si>
    <t>AXIS CREDIT CARD RABBANI</t>
  </si>
  <si>
    <t>AHETESHAMUL</t>
  </si>
  <si>
    <t>RAJAN YADAV</t>
  </si>
  <si>
    <t>ASHUTOSH SHEKHAR</t>
  </si>
  <si>
    <t>SIVAM KUMAR</t>
  </si>
  <si>
    <t>CHANDRAWATI</t>
  </si>
  <si>
    <t>MISS RUKSAR</t>
  </si>
  <si>
    <t>AKSHAY LAL</t>
  </si>
  <si>
    <t>PRAKHAR</t>
  </si>
  <si>
    <t>AKBAR TR</t>
  </si>
  <si>
    <t xml:space="preserve">P. EXP ANUJ BHAIYA </t>
  </si>
  <si>
    <t>ONLINE STATEMENT REPORT-1 AUG  2026</t>
  </si>
  <si>
    <t>PARVEJ ASGAR</t>
  </si>
  <si>
    <t>RAJESH SINGH KUSHWAHA</t>
  </si>
  <si>
    <t>RAM NIWASH RAM</t>
  </si>
  <si>
    <t xml:space="preserve">SIVAM KUMAR VERMA </t>
  </si>
  <si>
    <t xml:space="preserve">KISHAN </t>
  </si>
  <si>
    <t>AAJADI ALI</t>
  </si>
  <si>
    <t>SARTHAK PANDEY</t>
  </si>
  <si>
    <t>MAHAJABIN BANO</t>
  </si>
  <si>
    <t>ZAIN AUTO</t>
  </si>
  <si>
    <t>AKB REC 31/8</t>
  </si>
  <si>
    <t>HOTEL DELHI PAYMENT</t>
  </si>
  <si>
    <t>HOTEL</t>
  </si>
  <si>
    <t>ETIOS OIL GKP</t>
  </si>
  <si>
    <t>SBI CREDIT CARD 5050</t>
  </si>
  <si>
    <t>ONLINE STATEMENT REPORT-02 AUG  2026</t>
  </si>
  <si>
    <t>PRIYANJALI</t>
  </si>
  <si>
    <t>JOGENDRA YADAV</t>
  </si>
  <si>
    <t>IRCTC RAIL ONLINE</t>
  </si>
  <si>
    <t>GOLU TICKET</t>
  </si>
  <si>
    <t>ONLINE STATEMENT REPORT-03 AUG  2026</t>
  </si>
  <si>
    <t xml:space="preserve">AZAZUR RAHMAN </t>
  </si>
  <si>
    <t>SIVAM KUMAR VERMA</t>
  </si>
  <si>
    <t>TABREJ ANSARI</t>
  </si>
  <si>
    <t>RAJESH KUMAR RAWAT</t>
  </si>
  <si>
    <t>PRITI KUMARI RAI</t>
  </si>
  <si>
    <t>SONU KUMAR</t>
  </si>
  <si>
    <t>SANTOSH RAJBHAR</t>
  </si>
  <si>
    <t xml:space="preserve">SANTOSH  </t>
  </si>
  <si>
    <t>ASIF KHAN</t>
  </si>
  <si>
    <t>SELF- CHQ PAID</t>
  </si>
  <si>
    <t>MMT FLIGHT</t>
  </si>
  <si>
    <t>MMT</t>
  </si>
  <si>
    <t>ONLINE STATEMENT REPORT-04 AUG  2026</t>
  </si>
  <si>
    <t>VIDHAN</t>
  </si>
  <si>
    <t>PRIYANKA YADAV</t>
  </si>
  <si>
    <t>ANAND KUMAR</t>
  </si>
  <si>
    <t>AZAINAB FATIMA</t>
  </si>
  <si>
    <t>VINOD KUMAR PIPPAL</t>
  </si>
  <si>
    <t>CASH DEPOSIT CHARGES</t>
  </si>
  <si>
    <t>AD YTSK 1604 5/8</t>
  </si>
  <si>
    <t>REC AKB 3/8</t>
  </si>
  <si>
    <t>CASH DEPOSIT CHARGE</t>
  </si>
  <si>
    <t>ONLINE STATEMENT REPORT-05 AUG  2026</t>
  </si>
  <si>
    <t>RAJEEVA KUMAR SINGH</t>
  </si>
  <si>
    <t>RAJENDRA SINGH</t>
  </si>
  <si>
    <t>IRFAN AHMED</t>
  </si>
  <si>
    <t>SUSMA BHARATI</t>
  </si>
  <si>
    <t>SETTLEMENT CHARGE</t>
  </si>
  <si>
    <t>REC AKB 4/8</t>
  </si>
  <si>
    <t xml:space="preserve">REC AGM SIR 27,30/7 </t>
  </si>
  <si>
    <t>REC S MATHUR</t>
  </si>
  <si>
    <t>CARD PAYMENT SETTLEMENT</t>
  </si>
  <si>
    <t xml:space="preserve">MITHILESH </t>
  </si>
  <si>
    <t>SIYARAM YADAV</t>
  </si>
  <si>
    <t>MD HAMID KHAN</t>
  </si>
  <si>
    <t>SANJAY SRIVASTAVA</t>
  </si>
  <si>
    <t>DHANANJAY GAUTAM</t>
  </si>
  <si>
    <t>SIVANGI YADAV</t>
  </si>
  <si>
    <t>ALAMDAR RAZA</t>
  </si>
  <si>
    <t>DHARMENDRA KUMAR</t>
  </si>
  <si>
    <t>MD AZIM</t>
  </si>
  <si>
    <t>SUJIT KUMAR RAI</t>
  </si>
  <si>
    <t>HEMANT KUMAR TIWARI</t>
  </si>
  <si>
    <t>AHMAD MOBASSHIR</t>
  </si>
  <si>
    <t>REETA SINGH</t>
  </si>
  <si>
    <t>AKB REC 5/8</t>
  </si>
  <si>
    <t>GAMCA MEDICAL OMAN</t>
  </si>
  <si>
    <t>GAMCA MEDICAL</t>
  </si>
  <si>
    <t>ONLINE STATEMENT REPORT-06 AUG  2026</t>
  </si>
  <si>
    <t>REC YTSK1604   31/7</t>
  </si>
  <si>
    <t>RAJAN GIRI</t>
  </si>
  <si>
    <t>RUKSAR</t>
  </si>
  <si>
    <t>RAMAN KUMAR</t>
  </si>
  <si>
    <t>ABHISHEK RAI</t>
  </si>
  <si>
    <t>SURYAKANT</t>
  </si>
  <si>
    <t>MS INTER DECORE</t>
  </si>
  <si>
    <t>ABDUL</t>
  </si>
  <si>
    <t xml:space="preserve">REC SB SINGH </t>
  </si>
  <si>
    <t>REC SB SINGH 23/7</t>
  </si>
  <si>
    <t>ONLINE STATEMENT REPORT-07 AUG  2026</t>
  </si>
  <si>
    <t>OFFICE FURNITURE</t>
  </si>
  <si>
    <t>ETIOS OIL</t>
  </si>
  <si>
    <t>REC BAL</t>
  </si>
  <si>
    <t>ONLINE STATEMENT REPORT-08 AUG  2026</t>
  </si>
  <si>
    <t>MD RASHID</t>
  </si>
  <si>
    <t>VIJAY MOHANALAL</t>
  </si>
  <si>
    <t>SURENDRA PAL SINGH</t>
  </si>
  <si>
    <t>MAHFOOZ ALAM</t>
  </si>
  <si>
    <t>KANHAIYA LAL</t>
  </si>
  <si>
    <t>SHIKHA CHAURASIA</t>
  </si>
  <si>
    <t>NAYAN FILLING</t>
  </si>
  <si>
    <t>REC YTSK 1604 7/8</t>
  </si>
  <si>
    <t>ONLINE STATEMENT REPORT-09 AUG  2026</t>
  </si>
  <si>
    <t>MOHAMMAD SARFARAZ</t>
  </si>
  <si>
    <t>SHANI DEOL</t>
  </si>
  <si>
    <t>ONLINE STATEMENT REPORT-10 AUG  2026</t>
  </si>
  <si>
    <t>VIMLA SINGH</t>
  </si>
  <si>
    <t>ASHWANI KUMAR</t>
  </si>
  <si>
    <t>PRAVEEN</t>
  </si>
  <si>
    <t>ARVIND RAI</t>
  </si>
  <si>
    <t>IMRAN AHAMAD</t>
  </si>
  <si>
    <t>EDC RENTAL</t>
  </si>
  <si>
    <t>SOUND BOX SWIPE</t>
  </si>
  <si>
    <t>SOUND BOX PAYMENT</t>
  </si>
  <si>
    <t>ONLINE STATEMENT REPORT-11 AUG  2026</t>
  </si>
  <si>
    <t>DILLIP KUMAR GUPTA</t>
  </si>
  <si>
    <t>SHIVAM KEDIA</t>
  </si>
  <si>
    <t>SUMIT SHARMA</t>
  </si>
  <si>
    <t>RUDRANSH GARG</t>
  </si>
  <si>
    <t>ABHAY KUMAR GUPTA</t>
  </si>
  <si>
    <t>ONLINE STATEMENT REPORT-12 AUG  2026</t>
  </si>
  <si>
    <t>PAWAN KUMAR</t>
  </si>
  <si>
    <t>UDAY SINGH YADAV</t>
  </si>
  <si>
    <t>AB ELECTRONICS</t>
  </si>
  <si>
    <t>KANCHAN GUPTA</t>
  </si>
  <si>
    <t>JATIN KUMAR</t>
  </si>
  <si>
    <t xml:space="preserve">MD SHAHID </t>
  </si>
  <si>
    <t>ETIOS 12/8</t>
  </si>
  <si>
    <t>OIL VNS</t>
  </si>
  <si>
    <t>A/C TR 4038</t>
  </si>
  <si>
    <t>SATYAM VERMA</t>
  </si>
  <si>
    <t>MD AMAN</t>
  </si>
  <si>
    <t>EURO NET SERVICE</t>
  </si>
  <si>
    <t>ALIM SALARY RECHARGE</t>
  </si>
  <si>
    <t>ONLINE STATEMENT REPORT-13 AUG  2026</t>
  </si>
  <si>
    <t>AD TICKET 14/8</t>
  </si>
  <si>
    <t>AD</t>
  </si>
  <si>
    <t>ONLINE STATEMENT REPORT-14 AUG  2026</t>
  </si>
  <si>
    <t>ARIF SHAH</t>
  </si>
  <si>
    <t>RAJU YADAV</t>
  </si>
  <si>
    <t>SANTOSH KUMAR ANIRUDH</t>
  </si>
  <si>
    <t>PRADUMAN YADAV</t>
  </si>
  <si>
    <t>ARPIT SINGH</t>
  </si>
  <si>
    <t>MD ARMAN KHAN</t>
  </si>
  <si>
    <t>RAJAT KUMAR</t>
  </si>
  <si>
    <t>AKBI AD</t>
  </si>
  <si>
    <t>OIL ETIOS VNS</t>
  </si>
  <si>
    <t xml:space="preserve">YTSK REFUND </t>
  </si>
  <si>
    <t>ONLINE STATEMENT REPORT-15 AUG  2026</t>
  </si>
  <si>
    <t>SATYENDRA S KUSHWAHA</t>
  </si>
  <si>
    <t>AJAY</t>
  </si>
  <si>
    <t>AJAY KUMAR GUPTA</t>
  </si>
  <si>
    <t>SHALINI PANDEY</t>
  </si>
  <si>
    <t>MOHAMMAD IMRAN</t>
  </si>
  <si>
    <t>ASHISH CHAUHAN</t>
  </si>
  <si>
    <t>REC RASHID 13/8</t>
  </si>
  <si>
    <t>ETIOS 15/8</t>
  </si>
  <si>
    <t>YTSK 1604+FLIGHT 14/8</t>
  </si>
  <si>
    <t>AD AKB FLIGHT</t>
  </si>
  <si>
    <t>SERVICE CHARGES JUL</t>
  </si>
  <si>
    <t>BOX CHARGE SWIPE</t>
  </si>
  <si>
    <t>REC</t>
  </si>
  <si>
    <t>ONLINE STATEMENT REPORT-16 AUG  2026</t>
  </si>
  <si>
    <t>RVSL EDC RENTAL</t>
  </si>
  <si>
    <t xml:space="preserve">REC SOUND BOX </t>
  </si>
  <si>
    <t>AZAZUR RAHMAN</t>
  </si>
  <si>
    <t>ABHAY KUMAR MAURYA</t>
  </si>
  <si>
    <t>ONLINE STATEMENT REPORT-17 AUG  2026</t>
  </si>
  <si>
    <t>SHREE BALA JI STATIONERS</t>
  </si>
  <si>
    <t>FAIZ AHMAD</t>
  </si>
  <si>
    <t>MUKHTAR ALAM</t>
  </si>
  <si>
    <t>ONLINE STATEMENT REPORT-18 AUG  2026</t>
  </si>
  <si>
    <t xml:space="preserve">ANIKET PATEL </t>
  </si>
  <si>
    <t>NATIONAL HIGHWAYS</t>
  </si>
  <si>
    <t>DEEPAK K JAISAWAL</t>
  </si>
  <si>
    <t>CHANDAN SINGH YADAV</t>
  </si>
  <si>
    <t xml:space="preserve">OIL INNOVA LKO UBI </t>
  </si>
  <si>
    <t>REC AKB 9/8</t>
  </si>
  <si>
    <t>AD ALIM</t>
  </si>
  <si>
    <t>ANNUAL PASS TR 2322</t>
  </si>
  <si>
    <t xml:space="preserve">HOME EXP </t>
  </si>
  <si>
    <t>ONLINE STATEMENT REPORT-19 AUG  2026</t>
  </si>
  <si>
    <t>RAVI KANT TIWARI</t>
  </si>
  <si>
    <t xml:space="preserve">SBI CARD </t>
  </si>
  <si>
    <t>OM SAI ENTERPRISES</t>
  </si>
  <si>
    <t xml:space="preserve">SADANAND SHARMA </t>
  </si>
  <si>
    <t>SHABANA BEGAM</t>
  </si>
  <si>
    <t>RAM PRAVESH CHAUHAN</t>
  </si>
  <si>
    <t xml:space="preserve">MOHD AZAM </t>
  </si>
  <si>
    <t>RAVI KUMAR GUPTA</t>
  </si>
  <si>
    <t>ANISH</t>
  </si>
  <si>
    <t>AMARNATH</t>
  </si>
  <si>
    <t>ATUL KUMAR GUPTA</t>
  </si>
  <si>
    <t>AIRA EURO AUTOMATION</t>
  </si>
  <si>
    <t>AKB + COCKPIT FLIGHT</t>
  </si>
  <si>
    <t>COCKPIT FLIGHT</t>
  </si>
  <si>
    <t xml:space="preserve">AKB + FLIGHT </t>
  </si>
  <si>
    <t xml:space="preserve">CASH TR ANUJ BHAIYA </t>
  </si>
  <si>
    <t>CREDIT CARD 5050</t>
  </si>
  <si>
    <t xml:space="preserve">AD TQ TICKET </t>
  </si>
  <si>
    <t>VISA UMRAH</t>
  </si>
  <si>
    <t xml:space="preserve">AD TICKET </t>
  </si>
  <si>
    <t>ONLINE STATEMENT REPORT-20 AUG  2026</t>
  </si>
  <si>
    <t>ATUL KUMAR AMRESH</t>
  </si>
  <si>
    <t>PRIYANKA</t>
  </si>
  <si>
    <t>AJEET KUMAR PRAJAPATI</t>
  </si>
  <si>
    <t>RAJESH KUMAR SHARMA</t>
  </si>
  <si>
    <t xml:space="preserve">MR RAVI KUMAR GUPTA </t>
  </si>
  <si>
    <t xml:space="preserve">AKB UMRAH LKO </t>
  </si>
  <si>
    <t>AD YTSK REFUND</t>
  </si>
  <si>
    <t xml:space="preserve">HDFC CASH DEPOSIT </t>
  </si>
  <si>
    <t>AD AKB 21/8</t>
  </si>
  <si>
    <t>?????</t>
  </si>
  <si>
    <t>????</t>
  </si>
  <si>
    <t>ONLINE STATEMENT REPORT-21 AUG  2026</t>
  </si>
  <si>
    <t>NAUSAD AHAMAD</t>
  </si>
  <si>
    <t>DILSHAD</t>
  </si>
  <si>
    <t>SAVITA GUPTA</t>
  </si>
  <si>
    <t>P FEE</t>
  </si>
  <si>
    <t>REC AKB 20/8</t>
  </si>
  <si>
    <t>SAJAL  SRIVASTAVA</t>
  </si>
  <si>
    <t>ONLINE STATEMENT REPORT-22 AUG  2026</t>
  </si>
  <si>
    <t>JOGENDAR YADAV</t>
  </si>
  <si>
    <t>SINTU SINGH</t>
  </si>
  <si>
    <t>NAUSAD ALAM</t>
  </si>
  <si>
    <t>VISHAL KASHYAP</t>
  </si>
  <si>
    <t>SAGAR SINGH</t>
  </si>
  <si>
    <t>DEEPAK KUMAR</t>
  </si>
  <si>
    <t>KISHAN DEV</t>
  </si>
  <si>
    <t>GYANPRAKASH RAJU</t>
  </si>
  <si>
    <t>ETIOS 25/8</t>
  </si>
  <si>
    <t>REC AKB 21/8</t>
  </si>
  <si>
    <t>DEBIT CARD SETTLEMENT</t>
  </si>
  <si>
    <t>CARD PAYMENT VIBHU</t>
  </si>
  <si>
    <t>ETIOS OIL VNS</t>
  </si>
  <si>
    <t>ONLINE STATEMENT REPORT-23 AUG  2026</t>
  </si>
  <si>
    <t>VINOD KUMAR</t>
  </si>
  <si>
    <t>BASUDEV SINGH</t>
  </si>
  <si>
    <t>SANTOSH KUMAR PANDEY</t>
  </si>
  <si>
    <t>EKART</t>
  </si>
  <si>
    <t>IMRANA RAINI</t>
  </si>
  <si>
    <t xml:space="preserve">INNOVA 1000 OIL </t>
  </si>
  <si>
    <t xml:space="preserve">OWNER EXP </t>
  </si>
  <si>
    <t>PRASAD KANHA HAVELI</t>
  </si>
  <si>
    <t xml:space="preserve">VIBHU CARD PAYMENT </t>
  </si>
  <si>
    <t>KAWALJEET GUPTA</t>
  </si>
  <si>
    <t>SANA PRAVEEN</t>
  </si>
  <si>
    <t>MANOJ VERMA</t>
  </si>
  <si>
    <t xml:space="preserve">CASH DEPOSIT CURRENCY </t>
  </si>
  <si>
    <t>ONLINE STATEMENT REPORT-24 AUG  2026</t>
  </si>
  <si>
    <t>ABHINAV SINGH</t>
  </si>
  <si>
    <t xml:space="preserve">YTSK 1604 CANCEL REFUND </t>
  </si>
  <si>
    <t>ONLINE STATEMENT REPORT-25 AUG  2026</t>
  </si>
  <si>
    <t>MOHAMMAD AADIL AHMAD</t>
  </si>
  <si>
    <t>MD ARIF</t>
  </si>
  <si>
    <t xml:space="preserve">ASHWANI SHARMA </t>
  </si>
  <si>
    <t>REC AKB 22/8</t>
  </si>
  <si>
    <t>P EXP OWNER</t>
  </si>
  <si>
    <t>OWNER EXP</t>
  </si>
  <si>
    <t>ONLINE STATEMENT REPORT-26 AUG  2026</t>
  </si>
  <si>
    <t>VAIBHAV SRIVASTAV</t>
  </si>
  <si>
    <t>MOHD NIYAZ</t>
  </si>
  <si>
    <t>MUKESH SHARMA</t>
  </si>
  <si>
    <t>AJAZ ANSARI</t>
  </si>
  <si>
    <t>SULAIMAN SIDDIQUI</t>
  </si>
  <si>
    <t>AD AKB FLIGHT 27/8</t>
  </si>
  <si>
    <t xml:space="preserve">ALIM SALARY </t>
  </si>
  <si>
    <t>ONLINE STATEMENT REPORT-27 AUG  2026</t>
  </si>
  <si>
    <t>MD ADIL</t>
  </si>
  <si>
    <t>BHANU PRATAP</t>
  </si>
  <si>
    <t xml:space="preserve">AKB FLIGHT + CURRENCY + CASH PAY </t>
  </si>
  <si>
    <t>ARJUN SINGH KUSHWAHA</t>
  </si>
  <si>
    <t>ARUN KUMAR</t>
  </si>
  <si>
    <t>RAM NIVASH RAM</t>
  </si>
  <si>
    <t>RAJNATH YADAV</t>
  </si>
  <si>
    <t>CHANDRAWATIM SINGH</t>
  </si>
  <si>
    <t xml:space="preserve">AJEET </t>
  </si>
  <si>
    <t>JAVED AKHTAR</t>
  </si>
  <si>
    <t>VIPIN YADAV</t>
  </si>
  <si>
    <t>SHAMSHIR KHAN</t>
  </si>
  <si>
    <t>DIPAK KUMAR JAISAWAL</t>
  </si>
  <si>
    <t>ONLINE STATEMENT REPORT-28 AUG  2026</t>
  </si>
  <si>
    <t>CREDIT CARD PAYMENT</t>
  </si>
  <si>
    <t>AD TQ PAYMENT</t>
  </si>
  <si>
    <t>TQ</t>
  </si>
  <si>
    <t xml:space="preserve">ETIOS SERVICE </t>
  </si>
  <si>
    <t>ETIOS SERVICE</t>
  </si>
  <si>
    <t xml:space="preserve">DEEPAK OMAN </t>
  </si>
  <si>
    <t>P EXP HOME</t>
  </si>
  <si>
    <t xml:space="preserve">CURRENCY CHEST PYMENT </t>
  </si>
  <si>
    <t>ONLINE STATEMENT REPORT-29 AUG  2026</t>
  </si>
  <si>
    <t>JAI PRAKASH LAL SRI</t>
  </si>
  <si>
    <t>JAIRAM</t>
  </si>
  <si>
    <t>ETIOS 29/8</t>
  </si>
  <si>
    <t>AD TICKET YTSK 30/8</t>
  </si>
  <si>
    <t>OIL ETIOS</t>
  </si>
  <si>
    <t>AKBI TICKET</t>
  </si>
  <si>
    <t>REC YTSK 25/8</t>
  </si>
  <si>
    <t>ONLINE STATEMENT REPORT-30 AUG  2026</t>
  </si>
  <si>
    <t xml:space="preserve">MOHAMMAD SAHIL </t>
  </si>
  <si>
    <t>AVADHESH K RAI</t>
  </si>
  <si>
    <t>SIMA DEVI</t>
  </si>
  <si>
    <t>ADITYA PATY RAI</t>
  </si>
  <si>
    <t xml:space="preserve">SUSMA </t>
  </si>
  <si>
    <t>PRAVEEN KUMAR SINGH</t>
  </si>
  <si>
    <t>AKB + YTSK 1604</t>
  </si>
  <si>
    <t>AKB FIGHT</t>
  </si>
  <si>
    <t>AD TQ REFUND 28/8</t>
  </si>
  <si>
    <t>ETIOS VNS AIRPORT</t>
  </si>
  <si>
    <t>REC YTSK 1604 29/8</t>
  </si>
  <si>
    <t>AKB+YTSK</t>
  </si>
  <si>
    <t>AD TICKET YTSK 1/9</t>
  </si>
  <si>
    <t>RITESH VISHWAKARMA</t>
  </si>
  <si>
    <t>SHANKER JEE VERMA</t>
  </si>
  <si>
    <t>DEENANATH VIND</t>
  </si>
  <si>
    <t>ASHISH KUMAR VERMA</t>
  </si>
  <si>
    <t>AJIT K SRIVASTAVA</t>
  </si>
  <si>
    <t>AFZAL</t>
  </si>
  <si>
    <t>RAJU JAISWAL</t>
  </si>
  <si>
    <t>ONLINE STATEMENT REPORT-31 AUG  2026</t>
  </si>
  <si>
    <t>RAJKUMAR PRASAD</t>
  </si>
  <si>
    <t>MEESHO</t>
  </si>
  <si>
    <t>L38R</t>
  </si>
  <si>
    <t>AXIS BANK</t>
  </si>
  <si>
    <t>TAHZIV AHMAD</t>
  </si>
  <si>
    <t xml:space="preserve">CASH AJIT BHAIYA </t>
  </si>
  <si>
    <t>REC AKB 17/8</t>
  </si>
  <si>
    <t>REC AKB 30/8</t>
  </si>
  <si>
    <t>AKB FLIGHT 29/8</t>
  </si>
  <si>
    <t>AD REF 22/1</t>
  </si>
  <si>
    <t xml:space="preserve">HDFC CREDIT CARD PAYMENT </t>
  </si>
  <si>
    <t xml:space="preserve">RABBANI AXIS CARD </t>
  </si>
  <si>
    <t>ONLINE STATEMENT REPORT-01 SEP  2026</t>
  </si>
  <si>
    <t>KAJAL MAURYA</t>
  </si>
  <si>
    <t xml:space="preserve">RITIK KUMAR GUPTA </t>
  </si>
  <si>
    <t>MS PRATIMA</t>
  </si>
  <si>
    <t>JITENDRA YADAV</t>
  </si>
  <si>
    <t xml:space="preserve">VASHIM AKRAM </t>
  </si>
  <si>
    <t>ASLAM HANDLOOM</t>
  </si>
  <si>
    <t xml:space="preserve">JAI PRAKASH LAL </t>
  </si>
  <si>
    <t>MR RAKESH K SINGH</t>
  </si>
  <si>
    <t>RAVIVO AIR TICKET</t>
  </si>
  <si>
    <t>GULAM YAZDANI</t>
  </si>
  <si>
    <t>REC AKB 29/8</t>
  </si>
  <si>
    <t xml:space="preserve">INNOVA OIL </t>
  </si>
  <si>
    <t xml:space="preserve">LIGHT MISTRI </t>
  </si>
  <si>
    <t>ONLINE STATEMENT REPORT- 02-SET  2026</t>
  </si>
  <si>
    <t>AMIT KUMAR RAI</t>
  </si>
  <si>
    <t>MOHAMMAD SAEED</t>
  </si>
  <si>
    <t>MR DIPAK SAINI</t>
  </si>
  <si>
    <t>AZIZUDDIN ANSARI</t>
  </si>
  <si>
    <t>GAJENDRA PRASAD GUPTA</t>
  </si>
  <si>
    <t>DEEP ARUN</t>
  </si>
  <si>
    <t>REC GOLU 4/8 AD-700</t>
  </si>
  <si>
    <t>MOHAMMAD SALMAN</t>
  </si>
  <si>
    <t>HINA FARHAN</t>
  </si>
  <si>
    <t>OMJEE VERMA</t>
  </si>
  <si>
    <t>BHARAT AUTO</t>
  </si>
  <si>
    <t>REC AKB FLIGHT 1/9</t>
  </si>
  <si>
    <t>ETIOS OIL VNS AIRPORT</t>
  </si>
  <si>
    <t>ONLINE STATEMENT REPORT- 3 SEP  2026</t>
  </si>
  <si>
    <t>S</t>
  </si>
  <si>
    <t>ONLINE STATEMENT REPORT-04 SEP  2026</t>
  </si>
  <si>
    <t xml:space="preserve">ABON HAZARIKA </t>
  </si>
  <si>
    <t>MR ANSHU AGRAWAL</t>
  </si>
  <si>
    <t>ASIF ALI</t>
  </si>
  <si>
    <t>CHANDRESHVAR</t>
  </si>
  <si>
    <t>CHANDAN RAJBHAR</t>
  </si>
  <si>
    <t>SAMEER RAI</t>
  </si>
  <si>
    <t>MOHD ILIYAS</t>
  </si>
  <si>
    <t>REC AKB 1/9</t>
  </si>
  <si>
    <t>AD TICKET YTSK 5/9</t>
  </si>
  <si>
    <t xml:space="preserve">CURRENCY REFUND </t>
  </si>
  <si>
    <t>MIX VEHICLE PAYMENT</t>
  </si>
  <si>
    <t xml:space="preserve">P EXP SIR </t>
  </si>
  <si>
    <t xml:space="preserve">BIKE OIL P EXP </t>
  </si>
  <si>
    <t>ONLINE STATEMENT REPORT-05 SEP  2026</t>
  </si>
  <si>
    <t>SAURABH KUMAR</t>
  </si>
  <si>
    <t>ANITA TIWARI</t>
  </si>
  <si>
    <t xml:space="preserve">JAIRAM </t>
  </si>
  <si>
    <t>NAEEM AHMAD</t>
  </si>
  <si>
    <t>BASUDEV S KUSHWAHA</t>
  </si>
  <si>
    <t>IRA BHUBNESHWAR</t>
  </si>
  <si>
    <t xml:space="preserve">AKB+YTSK </t>
  </si>
  <si>
    <t>HOTAL ( PURI )</t>
  </si>
  <si>
    <t xml:space="preserve">PURI PACKAGE </t>
  </si>
  <si>
    <t>OIL HONDA CITY+ INNOVA (PURI PACKAGE)</t>
  </si>
  <si>
    <t xml:space="preserve">BANK CHARGE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</si>
</sst>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 * #,##0_ ;_ * \-#,##0_ ;_ * &quot;-&quot;??_ ;_ @_ "/>
    <numFmt numFmtId="167" formatCode="_ * #,##0.0_ ;_ * \-#,##0.0_ ;_ * &quot;-&quot;??_ ;_ @_ "/>
    <numFmt numFmtId="168" formatCode="0000"/>
    <numFmt numFmtId="169" formatCode="[$-F800]dddd\,\ mmmm\ dd\,\ yyyy"/>
    <numFmt numFmtId="170" formatCode="_ [$₹-439]* #,##0.00_ ;_ [$₹-439]* \-#,##0.00_ ;_ [$₹-439]* &quot;-&quot;??_ ;_ @_ "/>
    <numFmt numFmtId="171" formatCode="&quot;₹&quot;\ #,##0.00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36"/>
      <color theme="1"/>
      <name val="ADLaM Display"/>
    </font>
    <font>
      <b/>
      <sz val="2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masis MT Pro Black"/>
      <family val="1"/>
    </font>
    <font>
      <b/>
      <sz val="16"/>
      <color theme="1"/>
      <name val="Arial Black"/>
      <family val="2"/>
    </font>
    <font>
      <sz val="11"/>
      <color theme="1"/>
      <name val="ADLaM Display"/>
    </font>
    <font>
      <b/>
      <sz val="10"/>
      <color theme="1"/>
      <name val="ADLaM Display"/>
    </font>
    <font>
      <sz val="1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0"/>
      <name val="Aptos Narrow"/>
      <family val="2"/>
      <scheme val="minor"/>
    </font>
    <font>
      <sz val="18"/>
      <color theme="1"/>
      <name val="Abadi"/>
      <family val="2"/>
    </font>
    <font>
      <sz val="16"/>
      <color theme="1"/>
      <name val="Aptos Narrow"/>
      <family val="2"/>
      <scheme val="minor"/>
    </font>
    <font>
      <b/>
      <sz val="16"/>
      <color theme="1"/>
      <name val="Aptos ExtraBold"/>
      <family val="2"/>
    </font>
    <font>
      <b/>
      <sz val="12"/>
      <color rgb="FFFF0000"/>
      <name val="Aptos Narrow"/>
      <family val="2"/>
      <scheme val="minor"/>
    </font>
    <font>
      <sz val="11"/>
      <color theme="1"/>
      <name val="Aharoni"/>
      <charset val="177"/>
    </font>
    <font>
      <b/>
      <sz val="12"/>
      <color theme="1"/>
      <name val="Aharoni"/>
      <charset val="177"/>
    </font>
    <font>
      <sz val="11"/>
      <color theme="1"/>
      <name val="Amasis MT Pro Black"/>
      <family val="1"/>
    </font>
    <font>
      <b/>
      <sz val="11"/>
      <color theme="1"/>
      <name val="Amasis MT Pro Medium"/>
      <family val="1"/>
    </font>
    <font>
      <b/>
      <sz val="12"/>
      <color theme="1"/>
      <name val="ADLaM Display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139">
    <xf numFmtId="0" fontId="0" fillId="0" borderId="0" xfId="0"/>
    <xf numFmtId="0" fontId="6" fillId="5" borderId="1" xfId="0" applyFont="1" applyFill="1" applyBorder="1" applyAlignment="1">
      <alignment horizontal="center"/>
    </xf>
    <xf numFmtId="166" fontId="6" fillId="5" borderId="1" xfId="1" applyNumberFormat="1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164" fontId="7" fillId="6" borderId="1" xfId="1" applyNumberFormat="1" applyFont="1" applyFill="1" applyBorder="1" applyAlignment="1">
      <alignment horizontal="center"/>
    </xf>
    <xf numFmtId="15" fontId="7" fillId="0" borderId="1" xfId="0" applyNumberFormat="1" applyFont="1" applyBorder="1" applyAlignment="1">
      <alignment horizontal="center"/>
    </xf>
    <xf numFmtId="167" fontId="7" fillId="0" borderId="1" xfId="1" applyNumberFormat="1" applyFont="1" applyBorder="1" applyAlignment="1">
      <alignment horizontal="center"/>
    </xf>
    <xf numFmtId="166" fontId="7" fillId="6" borderId="1" xfId="1" applyNumberFormat="1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/>
    </xf>
    <xf numFmtId="0" fontId="7" fillId="0" borderId="1" xfId="0" applyFont="1" applyBorder="1"/>
    <xf numFmtId="0" fontId="6" fillId="0" borderId="1" xfId="0" applyFont="1" applyBorder="1" applyAlignment="1">
      <alignment horizontal="center"/>
    </xf>
    <xf numFmtId="166" fontId="7" fillId="7" borderId="1" xfId="1" applyNumberFormat="1" applyFont="1" applyFill="1" applyBorder="1" applyAlignment="1">
      <alignment horizontal="center"/>
    </xf>
    <xf numFmtId="167" fontId="7" fillId="0" borderId="1" xfId="1" applyNumberFormat="1" applyFont="1" applyBorder="1"/>
    <xf numFmtId="0" fontId="7" fillId="0" borderId="1" xfId="0" applyFont="1" applyBorder="1" applyAlignment="1">
      <alignment horizontal="center"/>
    </xf>
    <xf numFmtId="165" fontId="7" fillId="6" borderId="1" xfId="1" applyFont="1" applyFill="1" applyBorder="1" applyAlignment="1">
      <alignment horizontal="center"/>
    </xf>
    <xf numFmtId="0" fontId="7" fillId="6" borderId="1" xfId="0" quotePrefix="1" applyFont="1" applyFill="1" applyBorder="1" applyAlignment="1">
      <alignment horizontal="center"/>
    </xf>
    <xf numFmtId="166" fontId="7" fillId="0" borderId="1" xfId="1" applyNumberFormat="1" applyFont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166" fontId="7" fillId="9" borderId="1" xfId="1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166" fontId="6" fillId="5" borderId="1" xfId="1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168" fontId="7" fillId="6" borderId="1" xfId="0" applyNumberFormat="1" applyFont="1" applyFill="1" applyBorder="1" applyAlignment="1">
      <alignment horizontal="center" vertical="center"/>
    </xf>
    <xf numFmtId="166" fontId="7" fillId="6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6" fillId="7" borderId="1" xfId="0" applyFont="1" applyFill="1" applyBorder="1" applyAlignment="1">
      <alignment horizontal="center" vertical="center"/>
    </xf>
    <xf numFmtId="166" fontId="7" fillId="11" borderId="1" xfId="1" applyNumberFormat="1" applyFont="1" applyFill="1" applyBorder="1" applyAlignment="1">
      <alignment horizontal="center" vertical="center"/>
    </xf>
    <xf numFmtId="166" fontId="7" fillId="7" borderId="1" xfId="1" applyNumberFormat="1" applyFont="1" applyFill="1" applyBorder="1" applyAlignment="1">
      <alignment horizontal="center" vertical="center"/>
    </xf>
    <xf numFmtId="0" fontId="0" fillId="0" borderId="1" xfId="0" applyBorder="1"/>
    <xf numFmtId="166" fontId="0" fillId="0" borderId="0" xfId="1" applyNumberFormat="1" applyFont="1"/>
    <xf numFmtId="0" fontId="7" fillId="12" borderId="1" xfId="0" applyFont="1" applyFill="1" applyBorder="1" applyAlignment="1">
      <alignment horizontal="center"/>
    </xf>
    <xf numFmtId="164" fontId="7" fillId="12" borderId="1" xfId="1" applyNumberFormat="1" applyFont="1" applyFill="1" applyBorder="1" applyAlignment="1">
      <alignment horizontal="center"/>
    </xf>
    <xf numFmtId="0" fontId="10" fillId="6" borderId="0" xfId="0" applyFont="1" applyFill="1" applyAlignment="1">
      <alignment horizontal="center"/>
    </xf>
    <xf numFmtId="0" fontId="7" fillId="13" borderId="1" xfId="0" applyFont="1" applyFill="1" applyBorder="1" applyAlignment="1">
      <alignment horizontal="center"/>
    </xf>
    <xf numFmtId="164" fontId="7" fillId="13" borderId="1" xfId="1" applyNumberFormat="1" applyFont="1" applyFill="1" applyBorder="1" applyAlignment="1">
      <alignment horizontal="center"/>
    </xf>
    <xf numFmtId="0" fontId="10" fillId="6" borderId="0" xfId="0" applyFont="1" applyFill="1"/>
    <xf numFmtId="0" fontId="0" fillId="6" borderId="0" xfId="0" applyFill="1"/>
    <xf numFmtId="166" fontId="0" fillId="6" borderId="0" xfId="1" applyNumberFormat="1" applyFont="1" applyFill="1"/>
    <xf numFmtId="0" fontId="7" fillId="14" borderId="1" xfId="0" applyFont="1" applyFill="1" applyBorder="1" applyAlignment="1">
      <alignment horizontal="center"/>
    </xf>
    <xf numFmtId="164" fontId="7" fillId="14" borderId="1" xfId="1" applyNumberFormat="1" applyFont="1" applyFill="1" applyBorder="1" applyAlignment="1">
      <alignment horizontal="center"/>
    </xf>
    <xf numFmtId="0" fontId="5" fillId="15" borderId="0" xfId="0" applyFont="1" applyFill="1"/>
    <xf numFmtId="0" fontId="12" fillId="6" borderId="0" xfId="0" applyFont="1" applyFill="1"/>
    <xf numFmtId="0" fontId="7" fillId="6" borderId="0" xfId="0" applyFont="1" applyFill="1"/>
    <xf numFmtId="166" fontId="7" fillId="6" borderId="0" xfId="1" applyNumberFormat="1" applyFont="1" applyFill="1"/>
    <xf numFmtId="0" fontId="6" fillId="6" borderId="0" xfId="0" applyFont="1" applyFill="1"/>
    <xf numFmtId="0" fontId="6" fillId="16" borderId="1" xfId="0" applyFont="1" applyFill="1" applyBorder="1" applyAlignment="1">
      <alignment horizontal="center"/>
    </xf>
    <xf numFmtId="164" fontId="7" fillId="16" borderId="1" xfId="1" applyNumberFormat="1" applyFont="1" applyFill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164" fontId="7" fillId="6" borderId="1" xfId="1" applyNumberFormat="1" applyFont="1" applyFill="1" applyBorder="1" applyAlignment="1">
      <alignment horizontal="center" vertical="center"/>
    </xf>
    <xf numFmtId="168" fontId="7" fillId="6" borderId="1" xfId="0" applyNumberFormat="1" applyFont="1" applyFill="1" applyBorder="1" applyAlignment="1">
      <alignment horizontal="center"/>
    </xf>
    <xf numFmtId="164" fontId="6" fillId="5" borderId="1" xfId="1" applyNumberFormat="1" applyFont="1" applyFill="1" applyBorder="1" applyAlignment="1">
      <alignment horizontal="center" vertical="center"/>
    </xf>
    <xf numFmtId="164" fontId="7" fillId="11" borderId="1" xfId="1" applyNumberFormat="1" applyFont="1" applyFill="1" applyBorder="1" applyAlignment="1">
      <alignment horizontal="center" vertical="center"/>
    </xf>
    <xf numFmtId="15" fontId="7" fillId="11" borderId="1" xfId="1" applyNumberFormat="1" applyFont="1" applyFill="1" applyBorder="1" applyAlignment="1">
      <alignment horizontal="center" vertical="center"/>
    </xf>
    <xf numFmtId="164" fontId="7" fillId="7" borderId="1" xfId="1" applyNumberFormat="1" applyFont="1" applyFill="1" applyBorder="1" applyAlignment="1">
      <alignment horizontal="center"/>
    </xf>
    <xf numFmtId="164" fontId="7" fillId="9" borderId="1" xfId="1" applyNumberFormat="1" applyFont="1" applyFill="1" applyBorder="1" applyAlignment="1">
      <alignment horizontal="center"/>
    </xf>
    <xf numFmtId="168" fontId="7" fillId="6" borderId="1" xfId="0" quotePrefix="1" applyNumberFormat="1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/>
    </xf>
    <xf numFmtId="0" fontId="7" fillId="17" borderId="1" xfId="0" applyFont="1" applyFill="1" applyBorder="1" applyAlignment="1">
      <alignment horizontal="center"/>
    </xf>
    <xf numFmtId="164" fontId="7" fillId="17" borderId="1" xfId="1" applyNumberFormat="1" applyFont="1" applyFill="1" applyBorder="1" applyAlignment="1">
      <alignment horizontal="center"/>
    </xf>
    <xf numFmtId="169" fontId="7" fillId="6" borderId="1" xfId="0" applyNumberFormat="1" applyFont="1" applyFill="1" applyBorder="1" applyAlignment="1">
      <alignment horizontal="center"/>
    </xf>
    <xf numFmtId="0" fontId="14" fillId="6" borderId="1" xfId="2" applyFont="1" applyFill="1" applyBorder="1" applyAlignment="1">
      <alignment horizontal="center"/>
    </xf>
    <xf numFmtId="14" fontId="7" fillId="6" borderId="1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64" fontId="0" fillId="0" borderId="0" xfId="0" applyNumberFormat="1"/>
    <xf numFmtId="170" fontId="7" fillId="6" borderId="1" xfId="1" applyNumberFormat="1" applyFont="1" applyFill="1" applyBorder="1" applyAlignment="1">
      <alignment horizontal="center"/>
    </xf>
    <xf numFmtId="0" fontId="7" fillId="9" borderId="1" xfId="1" applyNumberFormat="1" applyFont="1" applyFill="1" applyBorder="1" applyAlignment="1">
      <alignment horizontal="center"/>
    </xf>
    <xf numFmtId="0" fontId="7" fillId="6" borderId="1" xfId="1" applyNumberFormat="1" applyFont="1" applyFill="1" applyBorder="1" applyAlignment="1">
      <alignment horizontal="center"/>
    </xf>
    <xf numFmtId="0" fontId="7" fillId="7" borderId="1" xfId="1" applyNumberFormat="1" applyFont="1" applyFill="1" applyBorder="1" applyAlignment="1">
      <alignment horizontal="center"/>
    </xf>
    <xf numFmtId="170" fontId="7" fillId="12" borderId="1" xfId="1" applyNumberFormat="1" applyFont="1" applyFill="1" applyBorder="1" applyAlignment="1">
      <alignment horizontal="center"/>
    </xf>
    <xf numFmtId="170" fontId="7" fillId="13" borderId="1" xfId="1" applyNumberFormat="1" applyFont="1" applyFill="1" applyBorder="1" applyAlignment="1">
      <alignment horizontal="center"/>
    </xf>
    <xf numFmtId="170" fontId="7" fillId="14" borderId="1" xfId="1" applyNumberFormat="1" applyFont="1" applyFill="1" applyBorder="1" applyAlignment="1">
      <alignment horizontal="center"/>
    </xf>
    <xf numFmtId="170" fontId="7" fillId="16" borderId="1" xfId="1" applyNumberFormat="1" applyFont="1" applyFill="1" applyBorder="1" applyAlignment="1">
      <alignment horizontal="center"/>
    </xf>
    <xf numFmtId="170" fontId="7" fillId="0" borderId="1" xfId="0" applyNumberFormat="1" applyFont="1" applyBorder="1" applyAlignment="1">
      <alignment horizontal="center"/>
    </xf>
    <xf numFmtId="170" fontId="7" fillId="11" borderId="1" xfId="1" applyNumberFormat="1" applyFont="1" applyFill="1" applyBorder="1" applyAlignment="1">
      <alignment horizontal="center" vertical="center"/>
    </xf>
    <xf numFmtId="44" fontId="7" fillId="0" borderId="1" xfId="0" applyNumberFormat="1" applyFont="1" applyBorder="1" applyAlignment="1">
      <alignment horizontal="center"/>
    </xf>
    <xf numFmtId="44" fontId="7" fillId="12" borderId="1" xfId="1" applyNumberFormat="1" applyFont="1" applyFill="1" applyBorder="1" applyAlignment="1">
      <alignment horizontal="center"/>
    </xf>
    <xf numFmtId="44" fontId="7" fillId="13" borderId="1" xfId="1" applyNumberFormat="1" applyFont="1" applyFill="1" applyBorder="1" applyAlignment="1">
      <alignment horizontal="center"/>
    </xf>
    <xf numFmtId="44" fontId="7" fillId="14" borderId="1" xfId="1" applyNumberFormat="1" applyFont="1" applyFill="1" applyBorder="1" applyAlignment="1">
      <alignment horizontal="center"/>
    </xf>
    <xf numFmtId="44" fontId="7" fillId="16" borderId="1" xfId="1" applyNumberFormat="1" applyFont="1" applyFill="1" applyBorder="1" applyAlignment="1">
      <alignment horizontal="center"/>
    </xf>
    <xf numFmtId="44" fontId="7" fillId="6" borderId="1" xfId="1" applyNumberFormat="1" applyFont="1" applyFill="1" applyBorder="1" applyAlignment="1">
      <alignment horizontal="center"/>
    </xf>
    <xf numFmtId="44" fontId="7" fillId="7" borderId="1" xfId="1" applyNumberFormat="1" applyFont="1" applyFill="1" applyBorder="1" applyAlignment="1">
      <alignment horizontal="center"/>
    </xf>
    <xf numFmtId="44" fontId="7" fillId="9" borderId="1" xfId="1" applyNumberFormat="1" applyFont="1" applyFill="1" applyBorder="1" applyAlignment="1">
      <alignment horizontal="center"/>
    </xf>
    <xf numFmtId="44" fontId="7" fillId="11" borderId="1" xfId="1" applyNumberFormat="1" applyFont="1" applyFill="1" applyBorder="1" applyAlignment="1">
      <alignment horizontal="center" vertical="center"/>
    </xf>
    <xf numFmtId="44" fontId="7" fillId="6" borderId="1" xfId="1" applyNumberFormat="1" applyFont="1" applyFill="1" applyBorder="1" applyAlignment="1">
      <alignment horizontal="center" vertical="center"/>
    </xf>
    <xf numFmtId="44" fontId="18" fillId="6" borderId="1" xfId="1" applyNumberFormat="1" applyFont="1" applyFill="1" applyBorder="1" applyAlignment="1">
      <alignment horizontal="center"/>
    </xf>
    <xf numFmtId="0" fontId="7" fillId="18" borderId="1" xfId="0" applyFont="1" applyFill="1" applyBorder="1" applyAlignment="1">
      <alignment horizontal="center"/>
    </xf>
    <xf numFmtId="0" fontId="7" fillId="18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7" fillId="6" borderId="1" xfId="0" applyFont="1" applyFill="1" applyBorder="1"/>
    <xf numFmtId="0" fontId="6" fillId="6" borderId="1" xfId="0" applyFont="1" applyFill="1" applyBorder="1"/>
    <xf numFmtId="0" fontId="0" fillId="0" borderId="4" xfId="0" applyBorder="1"/>
    <xf numFmtId="0" fontId="19" fillId="0" borderId="1" xfId="0" applyFont="1" applyBorder="1" applyAlignment="1">
      <alignment horizontal="center"/>
    </xf>
    <xf numFmtId="0" fontId="19" fillId="13" borderId="1" xfId="0" applyFont="1" applyFill="1" applyBorder="1" applyAlignment="1">
      <alignment horizontal="center"/>
    </xf>
    <xf numFmtId="44" fontId="7" fillId="13" borderId="1" xfId="1" applyNumberFormat="1" applyFont="1" applyFill="1" applyBorder="1"/>
    <xf numFmtId="0" fontId="20" fillId="19" borderId="1" xfId="0" applyFont="1" applyFill="1" applyBorder="1" applyAlignment="1">
      <alignment horizontal="center"/>
    </xf>
    <xf numFmtId="44" fontId="7" fillId="19" borderId="1" xfId="1" applyNumberFormat="1" applyFont="1" applyFill="1" applyBorder="1"/>
    <xf numFmtId="0" fontId="19" fillId="14" borderId="1" xfId="0" applyFont="1" applyFill="1" applyBorder="1" applyAlignment="1">
      <alignment horizontal="center"/>
    </xf>
    <xf numFmtId="44" fontId="0" fillId="0" borderId="0" xfId="0" applyNumberFormat="1"/>
    <xf numFmtId="171" fontId="2" fillId="20" borderId="1" xfId="0" applyNumberFormat="1" applyFont="1" applyFill="1" applyBorder="1" applyProtection="1">
      <protection locked="0"/>
    </xf>
    <xf numFmtId="0" fontId="7" fillId="2" borderId="1" xfId="0" applyFont="1" applyFill="1" applyBorder="1" applyAlignment="1">
      <alignment horizontal="center"/>
    </xf>
    <xf numFmtId="0" fontId="21" fillId="21" borderId="0" xfId="0" applyFont="1" applyFill="1"/>
    <xf numFmtId="0" fontId="21" fillId="21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13" borderId="0" xfId="0" applyFont="1" applyFill="1" applyAlignment="1">
      <alignment horizontal="center"/>
    </xf>
    <xf numFmtId="0" fontId="21" fillId="6" borderId="0" xfId="0" applyFont="1" applyFill="1" applyAlignment="1">
      <alignment horizontal="center"/>
    </xf>
    <xf numFmtId="0" fontId="5" fillId="6" borderId="0" xfId="0" applyFont="1" applyFill="1"/>
    <xf numFmtId="0" fontId="22" fillId="0" borderId="0" xfId="0" applyFont="1" applyAlignment="1">
      <alignment horizontal="center"/>
    </xf>
    <xf numFmtId="14" fontId="7" fillId="6" borderId="1" xfId="1" applyNumberFormat="1" applyFont="1" applyFill="1" applyBorder="1" applyAlignment="1">
      <alignment horizontal="center"/>
    </xf>
    <xf numFmtId="2" fontId="7" fillId="6" borderId="1" xfId="1" applyNumberFormat="1" applyFont="1" applyFill="1" applyBorder="1" applyAlignment="1">
      <alignment horizontal="center"/>
    </xf>
    <xf numFmtId="0" fontId="6" fillId="0" borderId="0" xfId="2" applyFont="1" applyAlignment="1">
      <alignment horizontal="center"/>
    </xf>
    <xf numFmtId="44" fontId="7" fillId="4" borderId="1" xfId="1" applyNumberFormat="1" applyFont="1" applyFill="1" applyBorder="1" applyAlignment="1">
      <alignment horizontal="center"/>
    </xf>
    <xf numFmtId="2" fontId="7" fillId="7" borderId="1" xfId="1" applyNumberFormat="1" applyFont="1" applyFill="1" applyBorder="1" applyAlignment="1">
      <alignment horizontal="center"/>
    </xf>
    <xf numFmtId="0" fontId="23" fillId="13" borderId="1" xfId="0" applyFont="1" applyFill="1" applyBorder="1" applyAlignment="1">
      <alignment horizontal="center"/>
    </xf>
    <xf numFmtId="0" fontId="6" fillId="13" borderId="1" xfId="0" applyFont="1" applyFill="1" applyBorder="1" applyAlignment="1">
      <alignment horizontal="center"/>
    </xf>
    <xf numFmtId="0" fontId="11" fillId="6" borderId="0" xfId="0" applyFont="1" applyFill="1" applyAlignment="1">
      <alignment horizontal="center"/>
    </xf>
    <xf numFmtId="0" fontId="15" fillId="2" borderId="1" xfId="0" applyFont="1" applyFill="1" applyBorder="1" applyAlignment="1">
      <alignment horizontal="left" vertical="center"/>
    </xf>
    <xf numFmtId="0" fontId="16" fillId="3" borderId="2" xfId="0" applyFont="1" applyFill="1" applyBorder="1" applyAlignment="1">
      <alignment horizontal="center"/>
    </xf>
    <xf numFmtId="0" fontId="16" fillId="3" borderId="3" xfId="0" applyFont="1" applyFill="1" applyBorder="1" applyAlignment="1">
      <alignment horizontal="center"/>
    </xf>
    <xf numFmtId="0" fontId="16" fillId="3" borderId="4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/>
    </xf>
    <xf numFmtId="0" fontId="9" fillId="10" borderId="2" xfId="0" applyFont="1" applyFill="1" applyBorder="1" applyAlignment="1">
      <alignment horizontal="center"/>
    </xf>
    <xf numFmtId="0" fontId="9" fillId="10" borderId="3" xfId="0" applyFont="1" applyFill="1" applyBorder="1" applyAlignment="1">
      <alignment horizontal="center"/>
    </xf>
    <xf numFmtId="0" fontId="9" fillId="10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17" fillId="10" borderId="2" xfId="0" applyFont="1" applyFill="1" applyBorder="1" applyAlignment="1">
      <alignment horizontal="center"/>
    </xf>
    <xf numFmtId="0" fontId="17" fillId="10" borderId="3" xfId="0" applyFont="1" applyFill="1" applyBorder="1" applyAlignment="1">
      <alignment horizontal="center"/>
    </xf>
    <xf numFmtId="0" fontId="17" fillId="10" borderId="4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144" Type="http://schemas.openxmlformats.org/officeDocument/2006/relationships/calcChain" Target="calcChain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worksheet" Target="worksheets/sheet14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4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5C9A8-DC24-45F3-B1A0-FDB0F8A18C83}">
  <dimension ref="A1:K31"/>
  <sheetViews>
    <sheetView topLeftCell="A3" workbookViewId="0">
      <selection activeCell="K5" sqref="K5"/>
    </sheetView>
  </sheetViews>
  <sheetFormatPr defaultRowHeight="15" x14ac:dyDescent="0.25"/>
  <cols>
    <col min="1" max="1" width="4.42578125" bestFit="1" customWidth="1"/>
    <col min="2" max="2" width="22.42578125" bestFit="1" customWidth="1"/>
    <col min="3" max="3" width="12.710937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1" customWidth="1"/>
  </cols>
  <sheetData>
    <row r="1" spans="1:11" ht="48.75" x14ac:dyDescent="0.25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1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34</v>
      </c>
      <c r="C5" s="4">
        <v>51000</v>
      </c>
      <c r="D5" s="5">
        <v>46144</v>
      </c>
      <c r="E5" s="6">
        <v>0</v>
      </c>
      <c r="F5" s="3" t="s">
        <v>14</v>
      </c>
      <c r="G5" s="3">
        <v>32</v>
      </c>
      <c r="H5" s="7">
        <v>0</v>
      </c>
      <c r="I5" s="3" t="s">
        <v>15</v>
      </c>
      <c r="J5" s="5">
        <f>+D5-1</f>
        <v>46143</v>
      </c>
      <c r="K5" s="8"/>
    </row>
    <row r="6" spans="1:11" ht="18.75" x14ac:dyDescent="0.3">
      <c r="A6" s="9"/>
      <c r="B6" s="10" t="s">
        <v>16</v>
      </c>
      <c r="C6" s="11">
        <f>SUM(C5:C5)</f>
        <v>51000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4" x14ac:dyDescent="0.4">
      <c r="A8" s="122" t="s">
        <v>35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75" x14ac:dyDescent="0.25">
      <c r="A9" s="3">
        <v>2</v>
      </c>
      <c r="B9" s="3"/>
      <c r="C9" s="4"/>
      <c r="D9" s="5">
        <f t="shared" ref="D9:D21" si="0">+D8</f>
        <v>0</v>
      </c>
      <c r="E9" s="14">
        <v>0</v>
      </c>
      <c r="F9" s="13" t="s">
        <v>18</v>
      </c>
      <c r="G9" s="15"/>
      <c r="H9" s="16">
        <v>0</v>
      </c>
      <c r="I9" s="3" t="s">
        <v>19</v>
      </c>
      <c r="J9" s="5">
        <f t="shared" ref="J9:J21" si="1">+D9+1</f>
        <v>1</v>
      </c>
      <c r="K9" s="13"/>
    </row>
    <row r="10" spans="1:11" ht="15.75" x14ac:dyDescent="0.25">
      <c r="A10" s="3">
        <v>3</v>
      </c>
      <c r="B10" s="3"/>
      <c r="C10" s="4"/>
      <c r="D10" s="5">
        <f t="shared" si="0"/>
        <v>0</v>
      </c>
      <c r="E10" s="14">
        <v>0</v>
      </c>
      <c r="F10" s="13" t="s">
        <v>18</v>
      </c>
      <c r="G10" s="15"/>
      <c r="H10" s="16">
        <v>0</v>
      </c>
      <c r="I10" s="3" t="s">
        <v>15</v>
      </c>
      <c r="J10" s="5">
        <f t="shared" si="1"/>
        <v>1</v>
      </c>
      <c r="K10" s="13"/>
    </row>
    <row r="11" spans="1:11" ht="15.75" x14ac:dyDescent="0.25">
      <c r="A11" s="3">
        <v>4</v>
      </c>
      <c r="B11" s="3"/>
      <c r="C11" s="4"/>
      <c r="D11" s="5">
        <f t="shared" si="0"/>
        <v>0</v>
      </c>
      <c r="E11" s="14">
        <v>0</v>
      </c>
      <c r="F11" s="13" t="s">
        <v>18</v>
      </c>
      <c r="G11" s="15"/>
      <c r="H11" s="16">
        <v>0</v>
      </c>
      <c r="I11" s="3" t="s">
        <v>15</v>
      </c>
      <c r="J11" s="5">
        <f t="shared" si="1"/>
        <v>1</v>
      </c>
      <c r="K11" s="13"/>
    </row>
    <row r="12" spans="1:11" ht="15.75" x14ac:dyDescent="0.25">
      <c r="A12" s="3">
        <v>5</v>
      </c>
      <c r="B12" s="3"/>
      <c r="C12" s="4"/>
      <c r="D12" s="5">
        <f t="shared" si="0"/>
        <v>0</v>
      </c>
      <c r="E12" s="14">
        <v>0</v>
      </c>
      <c r="F12" s="13" t="s">
        <v>18</v>
      </c>
      <c r="G12" s="15"/>
      <c r="H12" s="16">
        <v>0</v>
      </c>
      <c r="I12" s="3" t="s">
        <v>15</v>
      </c>
      <c r="J12" s="5">
        <f t="shared" si="1"/>
        <v>1</v>
      </c>
      <c r="K12" s="13"/>
    </row>
    <row r="13" spans="1:11" ht="15.75" x14ac:dyDescent="0.25">
      <c r="A13" s="3">
        <v>6</v>
      </c>
      <c r="B13" s="3"/>
      <c r="C13" s="4"/>
      <c r="D13" s="5">
        <f t="shared" si="0"/>
        <v>0</v>
      </c>
      <c r="E13" s="14">
        <v>0</v>
      </c>
      <c r="F13" s="13" t="s">
        <v>18</v>
      </c>
      <c r="G13" s="15"/>
      <c r="H13" s="16">
        <v>0</v>
      </c>
      <c r="I13" s="3" t="s">
        <v>15</v>
      </c>
      <c r="J13" s="5">
        <f t="shared" si="1"/>
        <v>1</v>
      </c>
      <c r="K13" s="13"/>
    </row>
    <row r="14" spans="1:11" ht="15.75" x14ac:dyDescent="0.25">
      <c r="A14" s="3">
        <v>7</v>
      </c>
      <c r="B14" s="3"/>
      <c r="C14" s="4"/>
      <c r="D14" s="5">
        <f t="shared" si="0"/>
        <v>0</v>
      </c>
      <c r="E14" s="14">
        <v>0</v>
      </c>
      <c r="F14" s="13" t="s">
        <v>18</v>
      </c>
      <c r="G14" s="15"/>
      <c r="H14" s="16">
        <v>0</v>
      </c>
      <c r="I14" s="3" t="s">
        <v>15</v>
      </c>
      <c r="J14" s="5">
        <f t="shared" si="1"/>
        <v>1</v>
      </c>
      <c r="K14" s="13"/>
    </row>
    <row r="15" spans="1:11" ht="15.75" x14ac:dyDescent="0.25">
      <c r="A15" s="3">
        <v>8</v>
      </c>
      <c r="B15" s="3"/>
      <c r="C15" s="4"/>
      <c r="D15" s="5">
        <f t="shared" si="0"/>
        <v>0</v>
      </c>
      <c r="E15" s="14">
        <v>0</v>
      </c>
      <c r="F15" s="13" t="s">
        <v>18</v>
      </c>
      <c r="G15" s="15"/>
      <c r="H15" s="16">
        <v>0</v>
      </c>
      <c r="I15" s="3" t="s">
        <v>15</v>
      </c>
      <c r="J15" s="5">
        <f t="shared" si="1"/>
        <v>1</v>
      </c>
      <c r="K15" s="13"/>
    </row>
    <row r="16" spans="1:11" ht="15.75" x14ac:dyDescent="0.25">
      <c r="A16" s="3">
        <v>9</v>
      </c>
      <c r="B16" s="3"/>
      <c r="C16" s="4"/>
      <c r="D16" s="5">
        <f t="shared" si="0"/>
        <v>0</v>
      </c>
      <c r="E16" s="14">
        <v>0</v>
      </c>
      <c r="F16" s="13" t="s">
        <v>18</v>
      </c>
      <c r="G16" s="15"/>
      <c r="H16" s="16">
        <v>0</v>
      </c>
      <c r="I16" s="3" t="s">
        <v>15</v>
      </c>
      <c r="J16" s="5">
        <f t="shared" si="1"/>
        <v>1</v>
      </c>
      <c r="K16" s="13"/>
    </row>
    <row r="17" spans="1:11" ht="15.75" x14ac:dyDescent="0.25">
      <c r="A17" s="3">
        <v>10</v>
      </c>
      <c r="B17" s="3"/>
      <c r="C17" s="4"/>
      <c r="D17" s="5">
        <f t="shared" si="0"/>
        <v>0</v>
      </c>
      <c r="E17" s="14">
        <v>0</v>
      </c>
      <c r="F17" s="13" t="s">
        <v>18</v>
      </c>
      <c r="G17" s="15"/>
      <c r="H17" s="16">
        <v>0</v>
      </c>
      <c r="I17" s="3" t="s">
        <v>15</v>
      </c>
      <c r="J17" s="5">
        <f t="shared" si="1"/>
        <v>1</v>
      </c>
      <c r="K17" s="13"/>
    </row>
    <row r="18" spans="1:11" ht="15.75" x14ac:dyDescent="0.25">
      <c r="A18" s="3">
        <v>11</v>
      </c>
      <c r="B18" s="3"/>
      <c r="C18" s="4"/>
      <c r="D18" s="5">
        <f t="shared" si="0"/>
        <v>0</v>
      </c>
      <c r="E18" s="14">
        <v>0</v>
      </c>
      <c r="F18" s="13" t="s">
        <v>18</v>
      </c>
      <c r="G18" s="15"/>
      <c r="H18" s="16">
        <v>0</v>
      </c>
      <c r="I18" s="3" t="s">
        <v>15</v>
      </c>
      <c r="J18" s="5">
        <f t="shared" si="1"/>
        <v>1</v>
      </c>
      <c r="K18" s="13"/>
    </row>
    <row r="19" spans="1:11" ht="15.75" x14ac:dyDescent="0.25">
      <c r="A19" s="3">
        <v>12</v>
      </c>
      <c r="B19" s="3"/>
      <c r="C19" s="4"/>
      <c r="D19" s="5">
        <f t="shared" si="0"/>
        <v>0</v>
      </c>
      <c r="E19" s="14">
        <v>0</v>
      </c>
      <c r="F19" s="13" t="s">
        <v>18</v>
      </c>
      <c r="G19" s="15"/>
      <c r="H19" s="16">
        <v>0</v>
      </c>
      <c r="I19" s="3" t="s">
        <v>15</v>
      </c>
      <c r="J19" s="5">
        <f t="shared" si="1"/>
        <v>1</v>
      </c>
      <c r="K19" s="13"/>
    </row>
    <row r="20" spans="1:11" ht="15.75" x14ac:dyDescent="0.25">
      <c r="A20" s="3">
        <v>13</v>
      </c>
      <c r="B20" s="3"/>
      <c r="C20" s="4"/>
      <c r="D20" s="5">
        <f t="shared" si="0"/>
        <v>0</v>
      </c>
      <c r="E20" s="14">
        <v>0</v>
      </c>
      <c r="F20" s="13" t="s">
        <v>18</v>
      </c>
      <c r="G20" s="15"/>
      <c r="H20" s="16">
        <v>0</v>
      </c>
      <c r="I20" s="3" t="s">
        <v>15</v>
      </c>
      <c r="J20" s="5">
        <f t="shared" si="1"/>
        <v>1</v>
      </c>
      <c r="K20" s="13"/>
    </row>
    <row r="21" spans="1:11" ht="15.75" x14ac:dyDescent="0.25">
      <c r="A21" s="3">
        <v>14</v>
      </c>
      <c r="B21" s="3"/>
      <c r="C21" s="4"/>
      <c r="D21" s="5">
        <f t="shared" si="0"/>
        <v>0</v>
      </c>
      <c r="E21" s="14">
        <v>0</v>
      </c>
      <c r="F21" s="13" t="s">
        <v>18</v>
      </c>
      <c r="G21" s="15"/>
      <c r="H21" s="16">
        <v>0</v>
      </c>
      <c r="I21" s="3" t="s">
        <v>15</v>
      </c>
      <c r="J21" s="5">
        <f t="shared" si="1"/>
        <v>1</v>
      </c>
      <c r="K21" s="13"/>
    </row>
    <row r="22" spans="1:11" ht="18.75" x14ac:dyDescent="0.3">
      <c r="A22" s="3"/>
      <c r="B22" s="17" t="s">
        <v>16</v>
      </c>
      <c r="C22" s="18">
        <f>SUM(C8:C21)</f>
        <v>0</v>
      </c>
      <c r="D22" s="3"/>
      <c r="E22" s="3"/>
      <c r="F22" s="13"/>
      <c r="G22" s="13"/>
      <c r="H22" s="11"/>
      <c r="I22" s="3"/>
      <c r="J22" s="3"/>
      <c r="K22" s="3"/>
    </row>
    <row r="23" spans="1:11" ht="24.75" x14ac:dyDescent="0.5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.75" x14ac:dyDescent="0.3">
      <c r="A24" s="19" t="s">
        <v>3</v>
      </c>
      <c r="B24" s="19" t="s">
        <v>21</v>
      </c>
      <c r="C24" s="2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" customHeight="1" x14ac:dyDescent="0.25">
      <c r="A25" s="8">
        <v>1</v>
      </c>
      <c r="B25" s="8"/>
      <c r="C25" s="5"/>
      <c r="D25" s="5"/>
      <c r="E25" s="8"/>
      <c r="F25" s="8"/>
      <c r="G25" s="22"/>
      <c r="H25" s="23"/>
      <c r="I25" s="24"/>
      <c r="J25" s="3"/>
      <c r="K25" s="13"/>
    </row>
    <row r="26" spans="1:11" ht="18.75" x14ac:dyDescent="0.25">
      <c r="A26" s="8"/>
      <c r="B26" s="25" t="s">
        <v>27</v>
      </c>
      <c r="C26" s="26">
        <f>SUM(C25:C25)</f>
        <v>0</v>
      </c>
      <c r="D26" s="3"/>
      <c r="E26" s="8"/>
      <c r="F26" s="8"/>
      <c r="G26" s="8"/>
      <c r="H26" s="27">
        <v>0</v>
      </c>
      <c r="I26" s="24"/>
      <c r="J26" s="3"/>
      <c r="K26" s="28"/>
    </row>
    <row r="27" spans="1:11" x14ac:dyDescent="0.25">
      <c r="C27" s="29"/>
      <c r="H27" s="29"/>
    </row>
    <row r="28" spans="1:11" ht="16.5" x14ac:dyDescent="0.3">
      <c r="B28" s="30" t="s">
        <v>28</v>
      </c>
      <c r="C28" s="31">
        <v>0</v>
      </c>
      <c r="E28" s="32"/>
      <c r="F28" s="32"/>
      <c r="G28" s="116"/>
      <c r="H28" s="116"/>
    </row>
    <row r="29" spans="1:11" ht="16.5" x14ac:dyDescent="0.3">
      <c r="B29" s="33" t="s">
        <v>29</v>
      </c>
      <c r="C29" s="34">
        <v>0</v>
      </c>
      <c r="E29" s="35"/>
      <c r="F29" s="35"/>
      <c r="G29" s="36" t="s">
        <v>30</v>
      </c>
      <c r="H29" s="37"/>
    </row>
    <row r="30" spans="1:11" ht="24" x14ac:dyDescent="0.4">
      <c r="B30" s="38" t="s">
        <v>31</v>
      </c>
      <c r="C30" s="39">
        <v>0</v>
      </c>
      <c r="E30" s="40" t="s">
        <v>32</v>
      </c>
      <c r="F30" s="41"/>
      <c r="G30" s="42"/>
      <c r="H30" s="43"/>
      <c r="I30" s="42"/>
      <c r="J30" s="44"/>
    </row>
    <row r="31" spans="1:11" ht="18.75" x14ac:dyDescent="0.3">
      <c r="B31" s="45" t="s">
        <v>16</v>
      </c>
      <c r="C31" s="46">
        <f>SUM(C28:C30)</f>
        <v>0</v>
      </c>
      <c r="G31" s="36"/>
      <c r="H31" s="37"/>
      <c r="I31" s="36"/>
      <c r="J31" s="36"/>
    </row>
  </sheetData>
  <mergeCells count="6">
    <mergeCell ref="G28:H28"/>
    <mergeCell ref="A1:K1"/>
    <mergeCell ref="A2:K2"/>
    <mergeCell ref="A3:K3"/>
    <mergeCell ref="A8:K8"/>
    <mergeCell ref="A23:K2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77CD6-5626-485E-B153-9298D2551CBA}">
  <dimension ref="A1:K31"/>
  <sheetViews>
    <sheetView workbookViewId="0">
      <selection activeCell="J25" sqref="J25"/>
    </sheetView>
  </sheetViews>
  <sheetFormatPr defaultRowHeight="15" x14ac:dyDescent="0.25"/>
  <cols>
    <col min="1" max="1" width="4.42578125" bestFit="1" customWidth="1"/>
    <col min="2" max="2" width="28.42578125" customWidth="1"/>
    <col min="3" max="3" width="14.570312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9.42578125" customWidth="1"/>
    <col min="11" max="11" width="22.42578125" customWidth="1"/>
  </cols>
  <sheetData>
    <row r="1" spans="1:11" ht="48.75" x14ac:dyDescent="0.25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36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37</v>
      </c>
      <c r="C5" s="4">
        <v>180000</v>
      </c>
      <c r="D5" s="5">
        <v>46150</v>
      </c>
      <c r="E5" s="6">
        <v>0</v>
      </c>
      <c r="F5" s="3" t="s">
        <v>14</v>
      </c>
      <c r="G5" s="3">
        <v>5710</v>
      </c>
      <c r="H5" s="7">
        <v>0</v>
      </c>
      <c r="I5" s="3" t="s">
        <v>15</v>
      </c>
      <c r="J5" s="5">
        <f>+D5-1</f>
        <v>46149</v>
      </c>
      <c r="K5" s="8" t="s">
        <v>33</v>
      </c>
    </row>
    <row r="6" spans="1:11" ht="18.75" x14ac:dyDescent="0.3">
      <c r="A6" s="9"/>
      <c r="B6" s="10" t="s">
        <v>16</v>
      </c>
      <c r="C6" s="11">
        <f>SUM(C5:C5)</f>
        <v>180000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4" x14ac:dyDescent="0.4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75" x14ac:dyDescent="0.25">
      <c r="A9" s="3">
        <v>2</v>
      </c>
      <c r="B9" s="3"/>
      <c r="C9" s="4"/>
      <c r="D9" s="5">
        <f t="shared" ref="D9:D21" si="0">+D8</f>
        <v>0</v>
      </c>
      <c r="E9" s="14">
        <v>0</v>
      </c>
      <c r="F9" s="13" t="s">
        <v>18</v>
      </c>
      <c r="G9" s="15"/>
      <c r="H9" s="16">
        <v>0</v>
      </c>
      <c r="I9" s="3" t="s">
        <v>19</v>
      </c>
      <c r="J9" s="5">
        <f t="shared" ref="J9:J21" si="1">+D9+1</f>
        <v>1</v>
      </c>
      <c r="K9" s="13"/>
    </row>
    <row r="10" spans="1:11" ht="15.75" x14ac:dyDescent="0.25">
      <c r="A10" s="3">
        <v>3</v>
      </c>
      <c r="B10" s="3"/>
      <c r="C10" s="4"/>
      <c r="D10" s="5">
        <f t="shared" si="0"/>
        <v>0</v>
      </c>
      <c r="E10" s="14">
        <v>0</v>
      </c>
      <c r="F10" s="13" t="s">
        <v>18</v>
      </c>
      <c r="G10" s="15"/>
      <c r="H10" s="16">
        <v>0</v>
      </c>
      <c r="I10" s="3" t="s">
        <v>15</v>
      </c>
      <c r="J10" s="5">
        <f t="shared" si="1"/>
        <v>1</v>
      </c>
      <c r="K10" s="13"/>
    </row>
    <row r="11" spans="1:11" ht="15.75" x14ac:dyDescent="0.25">
      <c r="A11" s="3">
        <v>4</v>
      </c>
      <c r="B11" s="3"/>
      <c r="C11" s="4"/>
      <c r="D11" s="5">
        <f t="shared" si="0"/>
        <v>0</v>
      </c>
      <c r="E11" s="14">
        <v>0</v>
      </c>
      <c r="F11" s="13" t="s">
        <v>18</v>
      </c>
      <c r="G11" s="15"/>
      <c r="H11" s="16">
        <v>0</v>
      </c>
      <c r="I11" s="3" t="s">
        <v>15</v>
      </c>
      <c r="J11" s="5">
        <f t="shared" si="1"/>
        <v>1</v>
      </c>
      <c r="K11" s="13"/>
    </row>
    <row r="12" spans="1:11" ht="15.75" x14ac:dyDescent="0.25">
      <c r="A12" s="3">
        <v>5</v>
      </c>
      <c r="B12" s="3"/>
      <c r="C12" s="4"/>
      <c r="D12" s="5">
        <f t="shared" si="0"/>
        <v>0</v>
      </c>
      <c r="E12" s="14">
        <v>0</v>
      </c>
      <c r="F12" s="13" t="s">
        <v>18</v>
      </c>
      <c r="G12" s="15"/>
      <c r="H12" s="16">
        <v>0</v>
      </c>
      <c r="I12" s="3" t="s">
        <v>15</v>
      </c>
      <c r="J12" s="5">
        <f t="shared" si="1"/>
        <v>1</v>
      </c>
      <c r="K12" s="13"/>
    </row>
    <row r="13" spans="1:11" ht="15.75" x14ac:dyDescent="0.25">
      <c r="A13" s="3">
        <v>6</v>
      </c>
      <c r="B13" s="3"/>
      <c r="C13" s="4"/>
      <c r="D13" s="5">
        <f t="shared" si="0"/>
        <v>0</v>
      </c>
      <c r="E13" s="14">
        <v>0</v>
      </c>
      <c r="F13" s="13" t="s">
        <v>18</v>
      </c>
      <c r="G13" s="15"/>
      <c r="H13" s="16">
        <v>0</v>
      </c>
      <c r="I13" s="3" t="s">
        <v>15</v>
      </c>
      <c r="J13" s="5">
        <f t="shared" si="1"/>
        <v>1</v>
      </c>
      <c r="K13" s="13"/>
    </row>
    <row r="14" spans="1:11" ht="15.75" x14ac:dyDescent="0.25">
      <c r="A14" s="3">
        <v>7</v>
      </c>
      <c r="B14" s="3"/>
      <c r="C14" s="4"/>
      <c r="D14" s="5">
        <f t="shared" si="0"/>
        <v>0</v>
      </c>
      <c r="E14" s="14">
        <v>0</v>
      </c>
      <c r="F14" s="13" t="s">
        <v>18</v>
      </c>
      <c r="G14" s="15"/>
      <c r="H14" s="16">
        <v>0</v>
      </c>
      <c r="I14" s="3" t="s">
        <v>15</v>
      </c>
      <c r="J14" s="5">
        <f t="shared" si="1"/>
        <v>1</v>
      </c>
      <c r="K14" s="13"/>
    </row>
    <row r="15" spans="1:11" ht="15.75" x14ac:dyDescent="0.25">
      <c r="A15" s="3">
        <v>8</v>
      </c>
      <c r="B15" s="3"/>
      <c r="C15" s="4"/>
      <c r="D15" s="5">
        <f t="shared" si="0"/>
        <v>0</v>
      </c>
      <c r="E15" s="14">
        <v>0</v>
      </c>
      <c r="F15" s="13" t="s">
        <v>18</v>
      </c>
      <c r="G15" s="15"/>
      <c r="H15" s="16">
        <v>0</v>
      </c>
      <c r="I15" s="3" t="s">
        <v>15</v>
      </c>
      <c r="J15" s="5">
        <f t="shared" si="1"/>
        <v>1</v>
      </c>
      <c r="K15" s="13"/>
    </row>
    <row r="16" spans="1:11" ht="15.75" x14ac:dyDescent="0.25">
      <c r="A16" s="3">
        <v>9</v>
      </c>
      <c r="B16" s="3"/>
      <c r="C16" s="4"/>
      <c r="D16" s="5">
        <f t="shared" si="0"/>
        <v>0</v>
      </c>
      <c r="E16" s="14">
        <v>0</v>
      </c>
      <c r="F16" s="13" t="s">
        <v>18</v>
      </c>
      <c r="G16" s="15"/>
      <c r="H16" s="16">
        <v>0</v>
      </c>
      <c r="I16" s="3" t="s">
        <v>15</v>
      </c>
      <c r="J16" s="5">
        <f t="shared" si="1"/>
        <v>1</v>
      </c>
      <c r="K16" s="13"/>
    </row>
    <row r="17" spans="1:11" ht="15.75" x14ac:dyDescent="0.25">
      <c r="A17" s="3">
        <v>10</v>
      </c>
      <c r="B17" s="3"/>
      <c r="C17" s="4"/>
      <c r="D17" s="5">
        <f t="shared" si="0"/>
        <v>0</v>
      </c>
      <c r="E17" s="14">
        <v>0</v>
      </c>
      <c r="F17" s="13" t="s">
        <v>18</v>
      </c>
      <c r="G17" s="15"/>
      <c r="H17" s="16">
        <v>0</v>
      </c>
      <c r="I17" s="3" t="s">
        <v>15</v>
      </c>
      <c r="J17" s="5">
        <f t="shared" si="1"/>
        <v>1</v>
      </c>
      <c r="K17" s="13"/>
    </row>
    <row r="18" spans="1:11" ht="15.75" x14ac:dyDescent="0.25">
      <c r="A18" s="3">
        <v>11</v>
      </c>
      <c r="B18" s="3"/>
      <c r="C18" s="4"/>
      <c r="D18" s="5">
        <f t="shared" si="0"/>
        <v>0</v>
      </c>
      <c r="E18" s="14">
        <v>0</v>
      </c>
      <c r="F18" s="13" t="s">
        <v>18</v>
      </c>
      <c r="G18" s="15"/>
      <c r="H18" s="16">
        <v>0</v>
      </c>
      <c r="I18" s="3" t="s">
        <v>15</v>
      </c>
      <c r="J18" s="5">
        <f t="shared" si="1"/>
        <v>1</v>
      </c>
      <c r="K18" s="13"/>
    </row>
    <row r="19" spans="1:11" ht="15.75" x14ac:dyDescent="0.25">
      <c r="A19" s="3">
        <v>12</v>
      </c>
      <c r="B19" s="3"/>
      <c r="C19" s="4"/>
      <c r="D19" s="5">
        <f t="shared" si="0"/>
        <v>0</v>
      </c>
      <c r="E19" s="14">
        <v>0</v>
      </c>
      <c r="F19" s="13" t="s">
        <v>18</v>
      </c>
      <c r="G19" s="15"/>
      <c r="H19" s="16">
        <v>0</v>
      </c>
      <c r="I19" s="3" t="s">
        <v>15</v>
      </c>
      <c r="J19" s="5">
        <f t="shared" si="1"/>
        <v>1</v>
      </c>
      <c r="K19" s="13"/>
    </row>
    <row r="20" spans="1:11" ht="15.75" x14ac:dyDescent="0.25">
      <c r="A20" s="3">
        <v>13</v>
      </c>
      <c r="B20" s="3"/>
      <c r="C20" s="4"/>
      <c r="D20" s="5">
        <f t="shared" si="0"/>
        <v>0</v>
      </c>
      <c r="E20" s="14">
        <v>0</v>
      </c>
      <c r="F20" s="13" t="s">
        <v>18</v>
      </c>
      <c r="G20" s="15"/>
      <c r="H20" s="16">
        <v>0</v>
      </c>
      <c r="I20" s="3" t="s">
        <v>15</v>
      </c>
      <c r="J20" s="5">
        <f t="shared" si="1"/>
        <v>1</v>
      </c>
      <c r="K20" s="13"/>
    </row>
    <row r="21" spans="1:11" ht="15.75" x14ac:dyDescent="0.25">
      <c r="A21" s="3">
        <v>14</v>
      </c>
      <c r="B21" s="3"/>
      <c r="C21" s="4"/>
      <c r="D21" s="5">
        <f t="shared" si="0"/>
        <v>0</v>
      </c>
      <c r="E21" s="14">
        <v>0</v>
      </c>
      <c r="F21" s="13" t="s">
        <v>18</v>
      </c>
      <c r="G21" s="15"/>
      <c r="H21" s="16">
        <v>0</v>
      </c>
      <c r="I21" s="3" t="s">
        <v>15</v>
      </c>
      <c r="J21" s="5">
        <f t="shared" si="1"/>
        <v>1</v>
      </c>
      <c r="K21" s="13"/>
    </row>
    <row r="22" spans="1:11" ht="18.75" x14ac:dyDescent="0.3">
      <c r="A22" s="3"/>
      <c r="B22" s="17" t="s">
        <v>16</v>
      </c>
      <c r="C22" s="18">
        <f>SUM(C8:C21)</f>
        <v>0</v>
      </c>
      <c r="D22" s="3"/>
      <c r="E22" s="3"/>
      <c r="F22" s="13"/>
      <c r="G22" s="13"/>
      <c r="H22" s="11"/>
      <c r="I22" s="3"/>
      <c r="J22" s="3"/>
      <c r="K22" s="3"/>
    </row>
    <row r="23" spans="1:11" ht="24.75" x14ac:dyDescent="0.5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.75" x14ac:dyDescent="0.3">
      <c r="A24" s="19" t="s">
        <v>3</v>
      </c>
      <c r="B24" s="19" t="s">
        <v>21</v>
      </c>
      <c r="C24" s="2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75" x14ac:dyDescent="0.25">
      <c r="A25" s="8">
        <v>1</v>
      </c>
      <c r="B25" s="8" t="s">
        <v>38</v>
      </c>
      <c r="C25" s="47">
        <v>200000</v>
      </c>
      <c r="D25" s="5">
        <v>46150</v>
      </c>
      <c r="E25" s="8"/>
      <c r="F25" s="8"/>
      <c r="G25" s="22">
        <v>1</v>
      </c>
      <c r="H25" s="23"/>
      <c r="I25" s="24"/>
      <c r="J25" s="3"/>
      <c r="K25" s="13"/>
    </row>
    <row r="26" spans="1:11" ht="18.75" x14ac:dyDescent="0.25">
      <c r="A26" s="8"/>
      <c r="B26" s="25" t="s">
        <v>27</v>
      </c>
      <c r="C26" s="26">
        <f>SUM(C25:C25)</f>
        <v>200000</v>
      </c>
      <c r="D26" s="3"/>
      <c r="E26" s="8"/>
      <c r="F26" s="8"/>
      <c r="G26" s="8"/>
      <c r="H26" s="27">
        <v>0</v>
      </c>
      <c r="I26" s="24"/>
      <c r="J26" s="3"/>
      <c r="K26" s="28"/>
    </row>
    <row r="27" spans="1:11" x14ac:dyDescent="0.25">
      <c r="C27" s="29"/>
      <c r="H27" s="29"/>
    </row>
    <row r="28" spans="1:11" ht="16.5" x14ac:dyDescent="0.3">
      <c r="B28" s="30" t="s">
        <v>28</v>
      </c>
      <c r="C28" s="31">
        <v>0</v>
      </c>
      <c r="E28" s="32"/>
      <c r="F28" s="32"/>
      <c r="G28" s="116"/>
      <c r="H28" s="116"/>
    </row>
    <row r="29" spans="1:11" ht="16.5" x14ac:dyDescent="0.3">
      <c r="B29" s="33" t="s">
        <v>29</v>
      </c>
      <c r="C29" s="34">
        <v>0</v>
      </c>
      <c r="E29" s="35"/>
      <c r="F29" s="35"/>
      <c r="G29" s="36" t="s">
        <v>30</v>
      </c>
      <c r="H29" s="37"/>
    </row>
    <row r="30" spans="1:11" ht="24" x14ac:dyDescent="0.4">
      <c r="B30" s="38" t="s">
        <v>31</v>
      </c>
      <c r="C30" s="39">
        <v>0</v>
      </c>
      <c r="E30" s="40" t="s">
        <v>32</v>
      </c>
      <c r="F30" s="41"/>
      <c r="G30" s="42"/>
      <c r="H30" s="43"/>
      <c r="I30" s="42"/>
      <c r="J30" s="44"/>
    </row>
    <row r="31" spans="1:11" ht="18.75" x14ac:dyDescent="0.3">
      <c r="B31" s="45" t="s">
        <v>16</v>
      </c>
      <c r="C31" s="46">
        <f>SUM(C28:C30)</f>
        <v>0</v>
      </c>
      <c r="G31" s="36"/>
      <c r="H31" s="37"/>
      <c r="I31" s="36"/>
      <c r="J31" s="36"/>
    </row>
  </sheetData>
  <mergeCells count="6">
    <mergeCell ref="G28:H28"/>
    <mergeCell ref="A1:K1"/>
    <mergeCell ref="A2:K2"/>
    <mergeCell ref="A3:K3"/>
    <mergeCell ref="A8:K8"/>
    <mergeCell ref="A23:K2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82BAB-29A5-425E-831B-98281911FFF0}">
  <dimension ref="A1:K36"/>
  <sheetViews>
    <sheetView topLeftCell="A29" workbookViewId="0">
      <selection activeCell="F22" sqref="F22"/>
    </sheetView>
  </sheetViews>
  <sheetFormatPr defaultRowHeight="15" x14ac:dyDescent="0.25"/>
  <cols>
    <col min="1" max="1" width="4.42578125" bestFit="1" customWidth="1"/>
    <col min="2" max="2" width="29.5703125" customWidth="1"/>
    <col min="3" max="3" width="12.710937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2.28515625" customWidth="1"/>
    <col min="11" max="11" width="23.28515625" customWidth="1"/>
  </cols>
  <sheetData>
    <row r="1" spans="1:11" ht="48.75" x14ac:dyDescent="0.25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39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34</v>
      </c>
      <c r="C5" s="4">
        <v>30000</v>
      </c>
      <c r="D5" s="5" t="s">
        <v>40</v>
      </c>
      <c r="E5" s="6">
        <v>0</v>
      </c>
      <c r="F5" s="3" t="s">
        <v>14</v>
      </c>
      <c r="G5" s="3">
        <v>5240</v>
      </c>
      <c r="H5" s="7">
        <v>0</v>
      </c>
      <c r="I5" s="3" t="s">
        <v>15</v>
      </c>
      <c r="J5" s="5" t="e">
        <f>+D5-1</f>
        <v>#VALUE!</v>
      </c>
      <c r="K5" s="8" t="s">
        <v>33</v>
      </c>
    </row>
    <row r="6" spans="1:11" ht="15.75" x14ac:dyDescent="0.25">
      <c r="A6" s="3"/>
      <c r="B6" s="3"/>
      <c r="C6" s="4"/>
      <c r="D6" s="5"/>
      <c r="E6" s="6">
        <v>0</v>
      </c>
      <c r="F6" s="3" t="s">
        <v>14</v>
      </c>
      <c r="G6" s="3"/>
      <c r="H6" s="7">
        <v>0</v>
      </c>
      <c r="I6" s="3" t="s">
        <v>15</v>
      </c>
      <c r="J6" s="5"/>
      <c r="K6" s="8"/>
    </row>
    <row r="7" spans="1:11" ht="15.75" x14ac:dyDescent="0.25">
      <c r="A7" s="3"/>
      <c r="B7" s="3"/>
      <c r="C7" s="4"/>
      <c r="D7" s="5"/>
      <c r="E7" s="6">
        <v>0</v>
      </c>
      <c r="F7" s="3" t="s">
        <v>14</v>
      </c>
      <c r="G7" s="3"/>
      <c r="H7" s="7">
        <v>0</v>
      </c>
      <c r="I7" s="3" t="s">
        <v>15</v>
      </c>
      <c r="J7" s="5"/>
      <c r="K7" s="8"/>
    </row>
    <row r="8" spans="1:11" ht="15.75" x14ac:dyDescent="0.25">
      <c r="A8" s="3"/>
      <c r="B8" s="3"/>
      <c r="C8" s="4"/>
      <c r="D8" s="5"/>
      <c r="E8" s="6">
        <v>0</v>
      </c>
      <c r="F8" s="3" t="s">
        <v>14</v>
      </c>
      <c r="G8" s="3"/>
      <c r="H8" s="7">
        <v>0</v>
      </c>
      <c r="I8" s="3" t="s">
        <v>15</v>
      </c>
      <c r="J8" s="5"/>
      <c r="K8" s="8"/>
    </row>
    <row r="9" spans="1:11" ht="15.75" x14ac:dyDescent="0.25">
      <c r="A9" s="3"/>
      <c r="B9" s="3"/>
      <c r="C9" s="4"/>
      <c r="D9" s="5"/>
      <c r="E9" s="6">
        <v>0</v>
      </c>
      <c r="F9" s="3" t="s">
        <v>14</v>
      </c>
      <c r="G9" s="3"/>
      <c r="H9" s="7">
        <v>0</v>
      </c>
      <c r="I9" s="3" t="s">
        <v>15</v>
      </c>
      <c r="J9" s="5"/>
      <c r="K9" s="8"/>
    </row>
    <row r="10" spans="1:11" ht="15.75" x14ac:dyDescent="0.25">
      <c r="A10" s="3"/>
      <c r="B10" s="3"/>
      <c r="C10" s="4"/>
      <c r="D10" s="5"/>
      <c r="E10" s="6">
        <v>0</v>
      </c>
      <c r="F10" s="3" t="s">
        <v>14</v>
      </c>
      <c r="G10" s="3"/>
      <c r="H10" s="7">
        <v>0</v>
      </c>
      <c r="I10" s="3" t="s">
        <v>15</v>
      </c>
      <c r="J10" s="5"/>
      <c r="K10" s="8"/>
    </row>
    <row r="11" spans="1:11" ht="18.75" x14ac:dyDescent="0.3">
      <c r="A11" s="9"/>
      <c r="B11" s="10" t="s">
        <v>16</v>
      </c>
      <c r="C11" s="11">
        <f>SUM(C5:C10)</f>
        <v>30000</v>
      </c>
      <c r="D11" s="3"/>
      <c r="E11" s="12"/>
      <c r="F11" s="9"/>
      <c r="G11" s="13"/>
      <c r="H11" s="11">
        <f>SUM(H5:H5)</f>
        <v>0</v>
      </c>
      <c r="I11" s="9"/>
      <c r="J11" s="9"/>
      <c r="K11" s="9"/>
    </row>
    <row r="13" spans="1:11" ht="24" x14ac:dyDescent="0.4">
      <c r="A13" s="122" t="s">
        <v>17</v>
      </c>
      <c r="B13" s="123"/>
      <c r="C13" s="123"/>
      <c r="D13" s="123"/>
      <c r="E13" s="123"/>
      <c r="F13" s="123"/>
      <c r="G13" s="123"/>
      <c r="H13" s="123"/>
      <c r="I13" s="123"/>
      <c r="J13" s="123"/>
      <c r="K13" s="124"/>
    </row>
    <row r="14" spans="1:11" ht="15.75" x14ac:dyDescent="0.25">
      <c r="A14" s="3">
        <v>2</v>
      </c>
      <c r="B14" s="3"/>
      <c r="C14" s="4"/>
      <c r="D14" s="5">
        <f t="shared" ref="D14:D26" si="0">+D13</f>
        <v>0</v>
      </c>
      <c r="E14" s="14">
        <v>0</v>
      </c>
      <c r="F14" s="13" t="s">
        <v>18</v>
      </c>
      <c r="G14" s="15"/>
      <c r="H14" s="16">
        <v>0</v>
      </c>
      <c r="I14" s="3" t="s">
        <v>19</v>
      </c>
      <c r="J14" s="5">
        <f t="shared" ref="J14:J26" si="1">+D14+1</f>
        <v>1</v>
      </c>
      <c r="K14" s="13"/>
    </row>
    <row r="15" spans="1:11" ht="15.75" x14ac:dyDescent="0.25">
      <c r="A15" s="3">
        <v>3</v>
      </c>
      <c r="B15" s="3"/>
      <c r="C15" s="4"/>
      <c r="D15" s="5">
        <f t="shared" si="0"/>
        <v>0</v>
      </c>
      <c r="E15" s="14">
        <v>0</v>
      </c>
      <c r="F15" s="13" t="s">
        <v>18</v>
      </c>
      <c r="G15" s="15"/>
      <c r="H15" s="16">
        <v>0</v>
      </c>
      <c r="I15" s="3" t="s">
        <v>15</v>
      </c>
      <c r="J15" s="5">
        <f t="shared" si="1"/>
        <v>1</v>
      </c>
      <c r="K15" s="13"/>
    </row>
    <row r="16" spans="1:11" ht="15.75" x14ac:dyDescent="0.25">
      <c r="A16" s="3">
        <v>4</v>
      </c>
      <c r="B16" s="3"/>
      <c r="C16" s="4"/>
      <c r="D16" s="5">
        <f t="shared" si="0"/>
        <v>0</v>
      </c>
      <c r="E16" s="14">
        <v>0</v>
      </c>
      <c r="F16" s="13" t="s">
        <v>18</v>
      </c>
      <c r="G16" s="15"/>
      <c r="H16" s="16">
        <v>0</v>
      </c>
      <c r="I16" s="3" t="s">
        <v>15</v>
      </c>
      <c r="J16" s="5">
        <f t="shared" si="1"/>
        <v>1</v>
      </c>
      <c r="K16" s="13"/>
    </row>
    <row r="17" spans="1:11" ht="15.75" x14ac:dyDescent="0.25">
      <c r="A17" s="3">
        <v>5</v>
      </c>
      <c r="B17" s="3"/>
      <c r="C17" s="4"/>
      <c r="D17" s="5">
        <f t="shared" si="0"/>
        <v>0</v>
      </c>
      <c r="E17" s="14">
        <v>0</v>
      </c>
      <c r="F17" s="13" t="s">
        <v>18</v>
      </c>
      <c r="G17" s="15"/>
      <c r="H17" s="16">
        <v>0</v>
      </c>
      <c r="I17" s="3" t="s">
        <v>15</v>
      </c>
      <c r="J17" s="5">
        <f t="shared" si="1"/>
        <v>1</v>
      </c>
      <c r="K17" s="13"/>
    </row>
    <row r="18" spans="1:11" ht="15.75" x14ac:dyDescent="0.25">
      <c r="A18" s="3">
        <v>6</v>
      </c>
      <c r="B18" s="3"/>
      <c r="C18" s="4"/>
      <c r="D18" s="5">
        <f t="shared" si="0"/>
        <v>0</v>
      </c>
      <c r="E18" s="14">
        <v>0</v>
      </c>
      <c r="F18" s="13" t="s">
        <v>18</v>
      </c>
      <c r="G18" s="15"/>
      <c r="H18" s="16">
        <v>0</v>
      </c>
      <c r="I18" s="3" t="s">
        <v>15</v>
      </c>
      <c r="J18" s="5">
        <f t="shared" si="1"/>
        <v>1</v>
      </c>
      <c r="K18" s="13"/>
    </row>
    <row r="19" spans="1:11" ht="15.75" x14ac:dyDescent="0.25">
      <c r="A19" s="3">
        <v>7</v>
      </c>
      <c r="B19" s="3"/>
      <c r="C19" s="4"/>
      <c r="D19" s="5">
        <f t="shared" si="0"/>
        <v>0</v>
      </c>
      <c r="E19" s="14">
        <v>0</v>
      </c>
      <c r="F19" s="13" t="s">
        <v>18</v>
      </c>
      <c r="G19" s="15"/>
      <c r="H19" s="16">
        <v>0</v>
      </c>
      <c r="I19" s="3" t="s">
        <v>15</v>
      </c>
      <c r="J19" s="5">
        <f t="shared" si="1"/>
        <v>1</v>
      </c>
      <c r="K19" s="13"/>
    </row>
    <row r="20" spans="1:11" ht="15.75" x14ac:dyDescent="0.25">
      <c r="A20" s="3">
        <v>8</v>
      </c>
      <c r="B20" s="3"/>
      <c r="C20" s="4"/>
      <c r="D20" s="5">
        <f t="shared" si="0"/>
        <v>0</v>
      </c>
      <c r="E20" s="14">
        <v>0</v>
      </c>
      <c r="F20" s="13" t="s">
        <v>18</v>
      </c>
      <c r="G20" s="15"/>
      <c r="H20" s="16">
        <v>0</v>
      </c>
      <c r="I20" s="3" t="s">
        <v>15</v>
      </c>
      <c r="J20" s="5">
        <f t="shared" si="1"/>
        <v>1</v>
      </c>
      <c r="K20" s="13"/>
    </row>
    <row r="21" spans="1:11" ht="15.75" x14ac:dyDescent="0.25">
      <c r="A21" s="3">
        <v>9</v>
      </c>
      <c r="B21" s="3"/>
      <c r="C21" s="4"/>
      <c r="D21" s="5">
        <f t="shared" si="0"/>
        <v>0</v>
      </c>
      <c r="E21" s="14">
        <v>0</v>
      </c>
      <c r="F21" s="13" t="s">
        <v>18</v>
      </c>
      <c r="G21" s="15"/>
      <c r="H21" s="16">
        <v>0</v>
      </c>
      <c r="I21" s="3" t="s">
        <v>15</v>
      </c>
      <c r="J21" s="5">
        <f t="shared" si="1"/>
        <v>1</v>
      </c>
      <c r="K21" s="13"/>
    </row>
    <row r="22" spans="1:11" ht="15.75" x14ac:dyDescent="0.25">
      <c r="A22" s="3">
        <v>10</v>
      </c>
      <c r="B22" s="3"/>
      <c r="C22" s="4"/>
      <c r="D22" s="5">
        <f t="shared" si="0"/>
        <v>0</v>
      </c>
      <c r="E22" s="14">
        <v>0</v>
      </c>
      <c r="F22" s="13" t="s">
        <v>18</v>
      </c>
      <c r="G22" s="15"/>
      <c r="H22" s="16">
        <v>0</v>
      </c>
      <c r="I22" s="3" t="s">
        <v>15</v>
      </c>
      <c r="J22" s="5">
        <f t="shared" si="1"/>
        <v>1</v>
      </c>
      <c r="K22" s="13"/>
    </row>
    <row r="23" spans="1:11" ht="15.75" x14ac:dyDescent="0.25">
      <c r="A23" s="3">
        <v>11</v>
      </c>
      <c r="B23" s="3"/>
      <c r="C23" s="4"/>
      <c r="D23" s="5">
        <f t="shared" si="0"/>
        <v>0</v>
      </c>
      <c r="E23" s="14">
        <v>0</v>
      </c>
      <c r="F23" s="13" t="s">
        <v>18</v>
      </c>
      <c r="G23" s="15"/>
      <c r="H23" s="16">
        <v>0</v>
      </c>
      <c r="I23" s="3" t="s">
        <v>15</v>
      </c>
      <c r="J23" s="5">
        <f t="shared" si="1"/>
        <v>1</v>
      </c>
      <c r="K23" s="13"/>
    </row>
    <row r="24" spans="1:11" ht="15.75" x14ac:dyDescent="0.25">
      <c r="A24" s="3">
        <v>12</v>
      </c>
      <c r="B24" s="3"/>
      <c r="C24" s="4"/>
      <c r="D24" s="5">
        <f t="shared" si="0"/>
        <v>0</v>
      </c>
      <c r="E24" s="14">
        <v>0</v>
      </c>
      <c r="F24" s="13" t="s">
        <v>18</v>
      </c>
      <c r="G24" s="15"/>
      <c r="H24" s="16">
        <v>0</v>
      </c>
      <c r="I24" s="3" t="s">
        <v>15</v>
      </c>
      <c r="J24" s="5">
        <f t="shared" si="1"/>
        <v>1</v>
      </c>
      <c r="K24" s="13"/>
    </row>
    <row r="25" spans="1:11" ht="15.75" x14ac:dyDescent="0.25">
      <c r="A25" s="3">
        <v>13</v>
      </c>
      <c r="B25" s="3"/>
      <c r="C25" s="4"/>
      <c r="D25" s="5">
        <f t="shared" si="0"/>
        <v>0</v>
      </c>
      <c r="E25" s="14">
        <v>0</v>
      </c>
      <c r="F25" s="13" t="s">
        <v>18</v>
      </c>
      <c r="G25" s="15"/>
      <c r="H25" s="16">
        <v>0</v>
      </c>
      <c r="I25" s="3" t="s">
        <v>15</v>
      </c>
      <c r="J25" s="5">
        <f t="shared" si="1"/>
        <v>1</v>
      </c>
      <c r="K25" s="13"/>
    </row>
    <row r="26" spans="1:11" ht="15.75" x14ac:dyDescent="0.25">
      <c r="A26" s="3">
        <v>14</v>
      </c>
      <c r="B26" s="3"/>
      <c r="C26" s="4"/>
      <c r="D26" s="5">
        <f t="shared" si="0"/>
        <v>0</v>
      </c>
      <c r="E26" s="14">
        <v>0</v>
      </c>
      <c r="F26" s="13" t="s">
        <v>18</v>
      </c>
      <c r="G26" s="15"/>
      <c r="H26" s="16">
        <v>0</v>
      </c>
      <c r="I26" s="3" t="s">
        <v>15</v>
      </c>
      <c r="J26" s="5">
        <f t="shared" si="1"/>
        <v>1</v>
      </c>
      <c r="K26" s="13"/>
    </row>
    <row r="27" spans="1:11" ht="18.75" x14ac:dyDescent="0.3">
      <c r="A27" s="3"/>
      <c r="B27" s="17" t="s">
        <v>16</v>
      </c>
      <c r="C27" s="18">
        <f>SUM(C13:C26)</f>
        <v>0</v>
      </c>
      <c r="D27" s="3"/>
      <c r="E27" s="3"/>
      <c r="F27" s="13"/>
      <c r="G27" s="13"/>
      <c r="H27" s="11"/>
      <c r="I27" s="3"/>
      <c r="J27" s="3"/>
      <c r="K27" s="3"/>
    </row>
    <row r="28" spans="1:11" ht="24.75" x14ac:dyDescent="0.5">
      <c r="A28" s="125" t="s">
        <v>20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7"/>
    </row>
    <row r="29" spans="1:11" ht="18.75" x14ac:dyDescent="0.3">
      <c r="A29" s="19" t="s">
        <v>3</v>
      </c>
      <c r="B29" s="19" t="s">
        <v>21</v>
      </c>
      <c r="C29" s="20" t="s">
        <v>5</v>
      </c>
      <c r="D29" s="1" t="s">
        <v>22</v>
      </c>
      <c r="E29" s="19" t="s">
        <v>7</v>
      </c>
      <c r="F29" s="19" t="s">
        <v>8</v>
      </c>
      <c r="G29" s="19" t="s">
        <v>23</v>
      </c>
      <c r="H29" s="20" t="s">
        <v>24</v>
      </c>
      <c r="I29" s="19" t="s">
        <v>11</v>
      </c>
      <c r="J29" s="19" t="s">
        <v>25</v>
      </c>
      <c r="K29" s="21" t="s">
        <v>26</v>
      </c>
    </row>
    <row r="30" spans="1:11" ht="15.75" x14ac:dyDescent="0.25">
      <c r="A30" s="8">
        <v>1</v>
      </c>
      <c r="B30" s="8" t="s">
        <v>41</v>
      </c>
      <c r="C30" s="47">
        <v>25006</v>
      </c>
      <c r="D30" s="5">
        <v>46154</v>
      </c>
      <c r="E30" s="8"/>
      <c r="F30" s="8"/>
      <c r="G30" s="22">
        <v>210</v>
      </c>
      <c r="H30" s="23"/>
      <c r="I30" s="24"/>
      <c r="J30" s="3"/>
      <c r="K30" s="13" t="s">
        <v>42</v>
      </c>
    </row>
    <row r="31" spans="1:11" ht="18.75" x14ac:dyDescent="0.25">
      <c r="A31" s="8"/>
      <c r="B31" s="25" t="s">
        <v>27</v>
      </c>
      <c r="C31" s="26">
        <f>SUM(C30:C30)</f>
        <v>25006</v>
      </c>
      <c r="D31" s="3"/>
      <c r="E31" s="8"/>
      <c r="F31" s="8"/>
      <c r="G31" s="8"/>
      <c r="H31" s="27">
        <v>0</v>
      </c>
      <c r="I31" s="24"/>
      <c r="J31" s="3"/>
      <c r="K31" s="28"/>
    </row>
    <row r="32" spans="1:11" x14ac:dyDescent="0.25">
      <c r="C32" s="29"/>
      <c r="H32" s="29"/>
    </row>
    <row r="33" spans="2:10" ht="16.5" x14ac:dyDescent="0.3">
      <c r="B33" s="30" t="s">
        <v>28</v>
      </c>
      <c r="C33" s="31">
        <v>0</v>
      </c>
      <c r="E33" s="32"/>
      <c r="F33" s="32"/>
      <c r="G33" s="116"/>
      <c r="H33" s="116"/>
    </row>
    <row r="34" spans="2:10" ht="16.5" x14ac:dyDescent="0.3">
      <c r="B34" s="33" t="s">
        <v>29</v>
      </c>
      <c r="C34" s="34">
        <v>0</v>
      </c>
      <c r="E34" s="35"/>
      <c r="F34" s="35"/>
      <c r="G34" s="36" t="s">
        <v>30</v>
      </c>
      <c r="H34" s="37"/>
    </row>
    <row r="35" spans="2:10" ht="24" x14ac:dyDescent="0.4">
      <c r="B35" s="38" t="s">
        <v>31</v>
      </c>
      <c r="C35" s="39">
        <v>0</v>
      </c>
      <c r="E35" s="40" t="s">
        <v>32</v>
      </c>
      <c r="F35" s="41"/>
      <c r="G35" s="42"/>
      <c r="H35" s="43"/>
      <c r="I35" s="42"/>
      <c r="J35" s="44"/>
    </row>
    <row r="36" spans="2:10" ht="18.75" x14ac:dyDescent="0.3">
      <c r="B36" s="45" t="s">
        <v>16</v>
      </c>
      <c r="C36" s="46">
        <f>SUM(C33:C35)</f>
        <v>0</v>
      </c>
      <c r="G36" s="36"/>
      <c r="H36" s="37"/>
      <c r="I36" s="36"/>
      <c r="J36" s="36"/>
    </row>
  </sheetData>
  <mergeCells count="6">
    <mergeCell ref="G33:H33"/>
    <mergeCell ref="A1:K1"/>
    <mergeCell ref="A2:K2"/>
    <mergeCell ref="A3:K3"/>
    <mergeCell ref="A13:K13"/>
    <mergeCell ref="A28:K2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9017D-2FF4-434A-9CD0-0C57B1BE50E5}">
  <dimension ref="A1:K32"/>
  <sheetViews>
    <sheetView workbookViewId="0">
      <selection activeCell="A6" sqref="A6:XFD10"/>
    </sheetView>
  </sheetViews>
  <sheetFormatPr defaultRowHeight="15" x14ac:dyDescent="0.25"/>
  <cols>
    <col min="1" max="1" width="4.42578125" bestFit="1" customWidth="1"/>
    <col min="2" max="2" width="22.42578125" bestFit="1" customWidth="1"/>
    <col min="3" max="3" width="12.7109375" bestFit="1" customWidth="1"/>
    <col min="4" max="4" width="20.7109375" customWidth="1"/>
    <col min="5" max="5" width="9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4.7109375" customWidth="1"/>
  </cols>
  <sheetData>
    <row r="1" spans="1:11" ht="48.75" x14ac:dyDescent="0.25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43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45</v>
      </c>
      <c r="C5" s="4">
        <v>98000</v>
      </c>
      <c r="D5" s="5">
        <v>46155</v>
      </c>
      <c r="E5" s="6">
        <v>0</v>
      </c>
      <c r="F5" s="3" t="s">
        <v>14</v>
      </c>
      <c r="G5" s="3">
        <v>8502</v>
      </c>
      <c r="H5" s="7">
        <v>0</v>
      </c>
      <c r="I5" s="3" t="s">
        <v>15</v>
      </c>
      <c r="J5" s="5">
        <f>+D5-1</f>
        <v>46154</v>
      </c>
      <c r="K5" s="8" t="s">
        <v>46</v>
      </c>
    </row>
    <row r="6" spans="1:11" ht="18.75" x14ac:dyDescent="0.3">
      <c r="A6" s="9"/>
      <c r="B6" s="10" t="s">
        <v>16</v>
      </c>
      <c r="C6" s="11">
        <f>SUM(C5:C5)</f>
        <v>98000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4" x14ac:dyDescent="0.4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75" x14ac:dyDescent="0.25">
      <c r="A9" s="3">
        <v>2</v>
      </c>
      <c r="B9" s="3"/>
      <c r="C9" s="4"/>
      <c r="D9" s="5">
        <f t="shared" ref="D9:D21" si="0">+D8</f>
        <v>0</v>
      </c>
      <c r="E9" s="14">
        <v>0</v>
      </c>
      <c r="F9" s="13" t="s">
        <v>18</v>
      </c>
      <c r="G9" s="15"/>
      <c r="H9" s="16">
        <v>0</v>
      </c>
      <c r="I9" s="3" t="s">
        <v>19</v>
      </c>
      <c r="J9" s="5">
        <f t="shared" ref="J9:J21" si="1">+D9+1</f>
        <v>1</v>
      </c>
      <c r="K9" s="13"/>
    </row>
    <row r="10" spans="1:11" ht="15.75" x14ac:dyDescent="0.25">
      <c r="A10" s="3">
        <v>3</v>
      </c>
      <c r="B10" s="3"/>
      <c r="C10" s="4"/>
      <c r="D10" s="5">
        <f t="shared" si="0"/>
        <v>0</v>
      </c>
      <c r="E10" s="14">
        <v>0</v>
      </c>
      <c r="F10" s="13" t="s">
        <v>18</v>
      </c>
      <c r="G10" s="15"/>
      <c r="H10" s="16">
        <v>0</v>
      </c>
      <c r="I10" s="3" t="s">
        <v>15</v>
      </c>
      <c r="J10" s="5">
        <f t="shared" si="1"/>
        <v>1</v>
      </c>
      <c r="K10" s="13"/>
    </row>
    <row r="11" spans="1:11" ht="15.75" x14ac:dyDescent="0.25">
      <c r="A11" s="3">
        <v>4</v>
      </c>
      <c r="B11" s="3"/>
      <c r="C11" s="4"/>
      <c r="D11" s="5">
        <f t="shared" si="0"/>
        <v>0</v>
      </c>
      <c r="E11" s="14">
        <v>0</v>
      </c>
      <c r="F11" s="13" t="s">
        <v>18</v>
      </c>
      <c r="G11" s="15"/>
      <c r="H11" s="16">
        <v>0</v>
      </c>
      <c r="I11" s="3" t="s">
        <v>15</v>
      </c>
      <c r="J11" s="5">
        <f t="shared" si="1"/>
        <v>1</v>
      </c>
      <c r="K11" s="13"/>
    </row>
    <row r="12" spans="1:11" ht="15.75" x14ac:dyDescent="0.25">
      <c r="A12" s="3">
        <v>5</v>
      </c>
      <c r="B12" s="3"/>
      <c r="C12" s="4"/>
      <c r="D12" s="5">
        <f t="shared" si="0"/>
        <v>0</v>
      </c>
      <c r="E12" s="14">
        <v>0</v>
      </c>
      <c r="F12" s="13" t="s">
        <v>18</v>
      </c>
      <c r="G12" s="15"/>
      <c r="H12" s="16">
        <v>0</v>
      </c>
      <c r="I12" s="3" t="s">
        <v>15</v>
      </c>
      <c r="J12" s="5">
        <f t="shared" si="1"/>
        <v>1</v>
      </c>
      <c r="K12" s="13"/>
    </row>
    <row r="13" spans="1:11" ht="15.75" x14ac:dyDescent="0.25">
      <c r="A13" s="3">
        <v>6</v>
      </c>
      <c r="B13" s="3"/>
      <c r="C13" s="4"/>
      <c r="D13" s="5">
        <f t="shared" si="0"/>
        <v>0</v>
      </c>
      <c r="E13" s="14">
        <v>0</v>
      </c>
      <c r="F13" s="13" t="s">
        <v>18</v>
      </c>
      <c r="G13" s="15"/>
      <c r="H13" s="16">
        <v>0</v>
      </c>
      <c r="I13" s="3" t="s">
        <v>15</v>
      </c>
      <c r="J13" s="5">
        <f t="shared" si="1"/>
        <v>1</v>
      </c>
      <c r="K13" s="13"/>
    </row>
    <row r="14" spans="1:11" ht="15.75" x14ac:dyDescent="0.25">
      <c r="A14" s="3">
        <v>7</v>
      </c>
      <c r="B14" s="3"/>
      <c r="C14" s="4"/>
      <c r="D14" s="5">
        <f t="shared" si="0"/>
        <v>0</v>
      </c>
      <c r="E14" s="14">
        <v>0</v>
      </c>
      <c r="F14" s="13" t="s">
        <v>18</v>
      </c>
      <c r="G14" s="15"/>
      <c r="H14" s="16">
        <v>0</v>
      </c>
      <c r="I14" s="3" t="s">
        <v>15</v>
      </c>
      <c r="J14" s="5">
        <f t="shared" si="1"/>
        <v>1</v>
      </c>
      <c r="K14" s="13"/>
    </row>
    <row r="15" spans="1:11" ht="15.75" x14ac:dyDescent="0.25">
      <c r="A15" s="3">
        <v>8</v>
      </c>
      <c r="B15" s="3"/>
      <c r="C15" s="4"/>
      <c r="D15" s="5">
        <f t="shared" si="0"/>
        <v>0</v>
      </c>
      <c r="E15" s="14">
        <v>0</v>
      </c>
      <c r="F15" s="13" t="s">
        <v>18</v>
      </c>
      <c r="G15" s="15"/>
      <c r="H15" s="16">
        <v>0</v>
      </c>
      <c r="I15" s="3" t="s">
        <v>15</v>
      </c>
      <c r="J15" s="5">
        <f t="shared" si="1"/>
        <v>1</v>
      </c>
      <c r="K15" s="13"/>
    </row>
    <row r="16" spans="1:11" ht="15.75" x14ac:dyDescent="0.25">
      <c r="A16" s="3">
        <v>9</v>
      </c>
      <c r="B16" s="3"/>
      <c r="C16" s="4"/>
      <c r="D16" s="5">
        <f t="shared" si="0"/>
        <v>0</v>
      </c>
      <c r="E16" s="14">
        <v>0</v>
      </c>
      <c r="F16" s="13" t="s">
        <v>18</v>
      </c>
      <c r="G16" s="15"/>
      <c r="H16" s="16">
        <v>0</v>
      </c>
      <c r="I16" s="3" t="s">
        <v>15</v>
      </c>
      <c r="J16" s="5">
        <f t="shared" si="1"/>
        <v>1</v>
      </c>
      <c r="K16" s="13"/>
    </row>
    <row r="17" spans="1:11" ht="15.75" x14ac:dyDescent="0.25">
      <c r="A17" s="3">
        <v>10</v>
      </c>
      <c r="B17" s="3"/>
      <c r="C17" s="4"/>
      <c r="D17" s="5">
        <f t="shared" si="0"/>
        <v>0</v>
      </c>
      <c r="E17" s="14">
        <v>0</v>
      </c>
      <c r="F17" s="13" t="s">
        <v>18</v>
      </c>
      <c r="G17" s="15"/>
      <c r="H17" s="16">
        <v>0</v>
      </c>
      <c r="I17" s="3" t="s">
        <v>15</v>
      </c>
      <c r="J17" s="5">
        <f t="shared" si="1"/>
        <v>1</v>
      </c>
      <c r="K17" s="13"/>
    </row>
    <row r="18" spans="1:11" ht="15.75" x14ac:dyDescent="0.25">
      <c r="A18" s="3">
        <v>11</v>
      </c>
      <c r="B18" s="3"/>
      <c r="C18" s="4"/>
      <c r="D18" s="5">
        <f t="shared" si="0"/>
        <v>0</v>
      </c>
      <c r="E18" s="14">
        <v>0</v>
      </c>
      <c r="F18" s="13" t="s">
        <v>18</v>
      </c>
      <c r="G18" s="15"/>
      <c r="H18" s="16">
        <v>0</v>
      </c>
      <c r="I18" s="3" t="s">
        <v>15</v>
      </c>
      <c r="J18" s="5">
        <f t="shared" si="1"/>
        <v>1</v>
      </c>
      <c r="K18" s="13"/>
    </row>
    <row r="19" spans="1:11" ht="15.75" x14ac:dyDescent="0.25">
      <c r="A19" s="3">
        <v>12</v>
      </c>
      <c r="B19" s="3"/>
      <c r="C19" s="4"/>
      <c r="D19" s="5">
        <f t="shared" si="0"/>
        <v>0</v>
      </c>
      <c r="E19" s="14">
        <v>0</v>
      </c>
      <c r="F19" s="13" t="s">
        <v>18</v>
      </c>
      <c r="G19" s="15"/>
      <c r="H19" s="16">
        <v>0</v>
      </c>
      <c r="I19" s="3" t="s">
        <v>15</v>
      </c>
      <c r="J19" s="5">
        <f t="shared" si="1"/>
        <v>1</v>
      </c>
      <c r="K19" s="13"/>
    </row>
    <row r="20" spans="1:11" ht="15.75" x14ac:dyDescent="0.25">
      <c r="A20" s="3">
        <v>13</v>
      </c>
      <c r="B20" s="3"/>
      <c r="C20" s="4"/>
      <c r="D20" s="5">
        <f t="shared" si="0"/>
        <v>0</v>
      </c>
      <c r="E20" s="14">
        <v>0</v>
      </c>
      <c r="F20" s="13" t="s">
        <v>18</v>
      </c>
      <c r="G20" s="15"/>
      <c r="H20" s="16">
        <v>0</v>
      </c>
      <c r="I20" s="3" t="s">
        <v>15</v>
      </c>
      <c r="J20" s="5">
        <f t="shared" si="1"/>
        <v>1</v>
      </c>
      <c r="K20" s="13"/>
    </row>
    <row r="21" spans="1:11" ht="15.75" x14ac:dyDescent="0.25">
      <c r="A21" s="3">
        <v>14</v>
      </c>
      <c r="B21" s="3"/>
      <c r="C21" s="4"/>
      <c r="D21" s="5">
        <f t="shared" si="0"/>
        <v>0</v>
      </c>
      <c r="E21" s="14">
        <v>0</v>
      </c>
      <c r="F21" s="13" t="s">
        <v>18</v>
      </c>
      <c r="G21" s="15"/>
      <c r="H21" s="16">
        <v>0</v>
      </c>
      <c r="I21" s="3" t="s">
        <v>15</v>
      </c>
      <c r="J21" s="5">
        <f t="shared" si="1"/>
        <v>1</v>
      </c>
      <c r="K21" s="13"/>
    </row>
    <row r="22" spans="1:11" ht="18.75" x14ac:dyDescent="0.3">
      <c r="A22" s="3"/>
      <c r="B22" s="17" t="s">
        <v>16</v>
      </c>
      <c r="C22" s="18">
        <f>SUM(C8:C21)</f>
        <v>0</v>
      </c>
      <c r="D22" s="3"/>
      <c r="E22" s="3"/>
      <c r="F22" s="13"/>
      <c r="G22" s="13"/>
      <c r="H22" s="11"/>
      <c r="I22" s="3"/>
      <c r="J22" s="3"/>
      <c r="K22" s="3"/>
    </row>
    <row r="23" spans="1:11" ht="24.75" x14ac:dyDescent="0.5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.75" x14ac:dyDescent="0.3">
      <c r="A24" s="19" t="s">
        <v>3</v>
      </c>
      <c r="B24" s="19" t="s">
        <v>21</v>
      </c>
      <c r="C24" s="2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75" x14ac:dyDescent="0.25">
      <c r="A25" s="8">
        <v>1</v>
      </c>
      <c r="B25" s="8" t="s">
        <v>34</v>
      </c>
      <c r="C25" s="47">
        <v>1</v>
      </c>
      <c r="D25" s="5">
        <v>46155</v>
      </c>
      <c r="E25" s="8"/>
      <c r="F25" s="8"/>
      <c r="G25" s="22">
        <v>5609</v>
      </c>
      <c r="H25" s="23"/>
      <c r="I25" s="24"/>
      <c r="J25" s="3"/>
      <c r="K25" s="13"/>
    </row>
    <row r="26" spans="1:11" ht="15.75" x14ac:dyDescent="0.25">
      <c r="A26" s="8">
        <v>2</v>
      </c>
      <c r="B26" s="8" t="s">
        <v>44</v>
      </c>
      <c r="C26" s="48">
        <v>50000</v>
      </c>
      <c r="D26" s="5">
        <v>46155</v>
      </c>
      <c r="E26" s="8"/>
      <c r="F26" s="8"/>
      <c r="G26" s="22">
        <v>8072</v>
      </c>
      <c r="H26" s="23"/>
      <c r="I26" s="24"/>
      <c r="J26" s="13"/>
      <c r="K26" s="13"/>
    </row>
    <row r="27" spans="1:11" ht="18.75" x14ac:dyDescent="0.25">
      <c r="A27" s="8"/>
      <c r="B27" s="25" t="s">
        <v>27</v>
      </c>
      <c r="C27" s="26">
        <f>SUM(C25:C26)</f>
        <v>50001</v>
      </c>
      <c r="D27" s="3"/>
      <c r="E27" s="8"/>
      <c r="F27" s="8"/>
      <c r="G27" s="8"/>
      <c r="H27" s="27">
        <v>0</v>
      </c>
      <c r="I27" s="24"/>
      <c r="J27" s="3"/>
      <c r="K27" s="28"/>
    </row>
    <row r="28" spans="1:11" x14ac:dyDescent="0.25">
      <c r="C28" s="29"/>
      <c r="H28" s="29"/>
    </row>
    <row r="29" spans="1:11" ht="16.5" x14ac:dyDescent="0.3">
      <c r="B29" s="30" t="s">
        <v>28</v>
      </c>
      <c r="C29" s="31">
        <v>0</v>
      </c>
      <c r="E29" s="32"/>
      <c r="F29" s="32"/>
      <c r="G29" s="116"/>
      <c r="H29" s="116"/>
    </row>
    <row r="30" spans="1:11" ht="16.5" x14ac:dyDescent="0.3">
      <c r="B30" s="33" t="s">
        <v>29</v>
      </c>
      <c r="C30" s="34">
        <v>0</v>
      </c>
      <c r="E30" s="35"/>
      <c r="F30" s="35"/>
      <c r="G30" s="36" t="s">
        <v>30</v>
      </c>
      <c r="H30" s="37"/>
    </row>
    <row r="31" spans="1:11" ht="24" x14ac:dyDescent="0.4">
      <c r="B31" s="38" t="s">
        <v>31</v>
      </c>
      <c r="C31" s="39">
        <v>0</v>
      </c>
      <c r="E31" s="40" t="s">
        <v>32</v>
      </c>
      <c r="F31" s="41"/>
      <c r="G31" s="42"/>
      <c r="H31" s="43"/>
      <c r="I31" s="42"/>
      <c r="J31" s="44"/>
    </row>
    <row r="32" spans="1:11" ht="18.75" x14ac:dyDescent="0.3">
      <c r="B32" s="45" t="s">
        <v>16</v>
      </c>
      <c r="C32" s="46">
        <f>SUM(C29:C31)</f>
        <v>0</v>
      </c>
      <c r="G32" s="36"/>
      <c r="H32" s="37"/>
      <c r="I32" s="36"/>
      <c r="J32" s="36"/>
    </row>
  </sheetData>
  <mergeCells count="6">
    <mergeCell ref="G29:H29"/>
    <mergeCell ref="A1:K1"/>
    <mergeCell ref="A2:K2"/>
    <mergeCell ref="A3:K3"/>
    <mergeCell ref="A8:K8"/>
    <mergeCell ref="A23:K2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2B74-99A1-4503-B950-04D9B7CB102B}">
  <dimension ref="A1:K21"/>
  <sheetViews>
    <sheetView topLeftCell="A5" workbookViewId="0">
      <selection activeCell="M12" sqref="M12"/>
    </sheetView>
  </sheetViews>
  <sheetFormatPr defaultRowHeight="15" x14ac:dyDescent="0.25"/>
  <cols>
    <col min="1" max="1" width="4.42578125" bestFit="1" customWidth="1"/>
    <col min="2" max="2" width="25.42578125" customWidth="1"/>
    <col min="3" max="3" width="14.570312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8.7109375" customWidth="1"/>
  </cols>
  <sheetData>
    <row r="1" spans="1:11" ht="48.75" x14ac:dyDescent="0.25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47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50</v>
      </c>
      <c r="C5" s="4">
        <v>60000</v>
      </c>
      <c r="D5" s="5">
        <v>46156</v>
      </c>
      <c r="E5" s="6">
        <v>0</v>
      </c>
      <c r="F5" s="3" t="s">
        <v>14</v>
      </c>
      <c r="G5" s="49">
        <v>2</v>
      </c>
      <c r="H5" s="7">
        <v>0</v>
      </c>
      <c r="I5" s="3" t="s">
        <v>15</v>
      </c>
      <c r="J5" s="5">
        <f>+D5-1</f>
        <v>46155</v>
      </c>
      <c r="K5" s="8" t="s">
        <v>33</v>
      </c>
    </row>
    <row r="6" spans="1:11" ht="15.75" x14ac:dyDescent="0.25">
      <c r="A6" s="3">
        <v>2</v>
      </c>
      <c r="B6" s="3" t="s">
        <v>37</v>
      </c>
      <c r="C6" s="4">
        <v>140000</v>
      </c>
      <c r="D6" s="5">
        <v>46156</v>
      </c>
      <c r="E6" s="6">
        <v>0</v>
      </c>
      <c r="F6" s="3" t="s">
        <v>14</v>
      </c>
      <c r="G6" s="3">
        <v>6124</v>
      </c>
      <c r="H6" s="7">
        <v>0</v>
      </c>
      <c r="I6" s="3" t="s">
        <v>15</v>
      </c>
      <c r="J6" s="5"/>
      <c r="K6" s="8"/>
    </row>
    <row r="7" spans="1:11" ht="18.75" x14ac:dyDescent="0.3">
      <c r="A7" s="9"/>
      <c r="B7" s="10" t="s">
        <v>16</v>
      </c>
      <c r="C7" s="11">
        <f>SUM(C5:C6)</f>
        <v>200000</v>
      </c>
      <c r="D7" s="3"/>
      <c r="E7" s="12"/>
      <c r="F7" s="9"/>
      <c r="G7" s="13"/>
      <c r="H7" s="11">
        <f>SUM(H5:H5)</f>
        <v>0</v>
      </c>
      <c r="I7" s="9"/>
      <c r="J7" s="9"/>
      <c r="K7" s="9"/>
    </row>
    <row r="9" spans="1:11" ht="24" x14ac:dyDescent="0.4">
      <c r="A9" s="122" t="s">
        <v>17</v>
      </c>
      <c r="B9" s="123"/>
      <c r="C9" s="123"/>
      <c r="D9" s="123"/>
      <c r="E9" s="123"/>
      <c r="F9" s="123"/>
      <c r="G9" s="123"/>
      <c r="H9" s="123"/>
      <c r="I9" s="123"/>
      <c r="J9" s="123"/>
      <c r="K9" s="124"/>
    </row>
    <row r="10" spans="1:11" ht="15.75" x14ac:dyDescent="0.25">
      <c r="A10" s="3">
        <v>2</v>
      </c>
      <c r="B10" s="3" t="s">
        <v>76</v>
      </c>
      <c r="C10" s="4">
        <v>1000</v>
      </c>
      <c r="D10" s="5">
        <v>46156</v>
      </c>
      <c r="E10" s="14">
        <v>0</v>
      </c>
      <c r="F10" s="13" t="s">
        <v>18</v>
      </c>
      <c r="G10" s="15">
        <v>1630</v>
      </c>
      <c r="H10" s="16">
        <v>0</v>
      </c>
      <c r="I10" s="3" t="s">
        <v>19</v>
      </c>
      <c r="J10" s="5">
        <f t="shared" ref="J10" si="0">+D10+1</f>
        <v>46157</v>
      </c>
      <c r="K10" s="13" t="s">
        <v>77</v>
      </c>
    </row>
    <row r="11" spans="1:11" ht="18.75" x14ac:dyDescent="0.3">
      <c r="A11" s="3"/>
      <c r="B11" s="17" t="s">
        <v>16</v>
      </c>
      <c r="C11" s="18">
        <f>SUM(C9:C10)</f>
        <v>1000</v>
      </c>
      <c r="D11" s="3"/>
      <c r="E11" s="3"/>
      <c r="F11" s="13"/>
      <c r="G11" s="13"/>
      <c r="H11" s="11"/>
      <c r="I11" s="3"/>
      <c r="J11" s="3"/>
      <c r="K11" s="3"/>
    </row>
    <row r="12" spans="1:11" ht="24.75" x14ac:dyDescent="0.5">
      <c r="A12" s="125" t="s">
        <v>20</v>
      </c>
      <c r="B12" s="126"/>
      <c r="C12" s="126"/>
      <c r="D12" s="126"/>
      <c r="E12" s="126"/>
      <c r="F12" s="126"/>
      <c r="G12" s="126"/>
      <c r="H12" s="126"/>
      <c r="I12" s="126"/>
      <c r="J12" s="126"/>
      <c r="K12" s="127"/>
    </row>
    <row r="13" spans="1:11" ht="18.75" x14ac:dyDescent="0.3">
      <c r="A13" s="19" t="s">
        <v>3</v>
      </c>
      <c r="B13" s="19" t="s">
        <v>21</v>
      </c>
      <c r="C13" s="20" t="s">
        <v>5</v>
      </c>
      <c r="D13" s="1" t="s">
        <v>22</v>
      </c>
      <c r="E13" s="19" t="s">
        <v>7</v>
      </c>
      <c r="F13" s="19" t="s">
        <v>8</v>
      </c>
      <c r="G13" s="19" t="s">
        <v>23</v>
      </c>
      <c r="H13" s="20" t="s">
        <v>24</v>
      </c>
      <c r="I13" s="19" t="s">
        <v>11</v>
      </c>
      <c r="J13" s="19" t="s">
        <v>25</v>
      </c>
      <c r="K13" s="21" t="s">
        <v>26</v>
      </c>
    </row>
    <row r="14" spans="1:11" ht="15.75" x14ac:dyDescent="0.25">
      <c r="A14" s="8">
        <v>1</v>
      </c>
      <c r="B14" s="8" t="s">
        <v>48</v>
      </c>
      <c r="C14" s="47">
        <v>1002</v>
      </c>
      <c r="D14" s="5">
        <v>46156</v>
      </c>
      <c r="E14" s="8"/>
      <c r="F14" s="8"/>
      <c r="G14" s="22">
        <v>8188</v>
      </c>
      <c r="H14" s="23"/>
      <c r="I14" s="24"/>
      <c r="J14" s="3"/>
      <c r="K14" s="13"/>
    </row>
    <row r="15" spans="1:11" ht="15.75" x14ac:dyDescent="0.25">
      <c r="A15" s="8">
        <v>2</v>
      </c>
      <c r="B15" s="8" t="s">
        <v>49</v>
      </c>
      <c r="C15" s="48">
        <v>25006</v>
      </c>
      <c r="D15" s="5">
        <v>46156</v>
      </c>
      <c r="E15" s="8"/>
      <c r="F15" s="8"/>
      <c r="G15" s="22">
        <v>273</v>
      </c>
      <c r="H15" s="23"/>
      <c r="I15" s="24"/>
      <c r="J15" s="13"/>
      <c r="K15" s="13" t="s">
        <v>42</v>
      </c>
    </row>
    <row r="16" spans="1:11" ht="18.75" x14ac:dyDescent="0.25">
      <c r="A16" s="8"/>
      <c r="B16" s="25" t="s">
        <v>27</v>
      </c>
      <c r="C16" s="26">
        <f>SUM(C14:C15)</f>
        <v>26008</v>
      </c>
      <c r="D16" s="3"/>
      <c r="E16" s="8"/>
      <c r="F16" s="8"/>
      <c r="G16" s="8"/>
      <c r="H16" s="27">
        <v>0</v>
      </c>
      <c r="I16" s="24"/>
      <c r="J16" s="3"/>
      <c r="K16" s="28"/>
    </row>
    <row r="17" spans="2:10" x14ac:dyDescent="0.25">
      <c r="C17" s="29"/>
      <c r="H17" s="29"/>
    </row>
    <row r="18" spans="2:10" ht="16.5" x14ac:dyDescent="0.3">
      <c r="B18" s="30" t="s">
        <v>28</v>
      </c>
      <c r="C18" s="31">
        <v>0</v>
      </c>
      <c r="E18" s="32"/>
      <c r="F18" s="32"/>
      <c r="G18" s="116"/>
      <c r="H18" s="116"/>
    </row>
    <row r="19" spans="2:10" ht="16.5" x14ac:dyDescent="0.3">
      <c r="B19" s="33" t="s">
        <v>29</v>
      </c>
      <c r="C19" s="34">
        <v>0</v>
      </c>
      <c r="E19" s="35"/>
      <c r="F19" s="35"/>
      <c r="G19" s="36" t="s">
        <v>30</v>
      </c>
      <c r="H19" s="37"/>
    </row>
    <row r="20" spans="2:10" ht="24" x14ac:dyDescent="0.4">
      <c r="B20" s="38" t="s">
        <v>31</v>
      </c>
      <c r="C20" s="39">
        <v>0</v>
      </c>
      <c r="E20" s="40" t="s">
        <v>32</v>
      </c>
      <c r="F20" s="41"/>
      <c r="G20" s="42"/>
      <c r="H20" s="43"/>
      <c r="I20" s="42"/>
      <c r="J20" s="44"/>
    </row>
    <row r="21" spans="2:10" ht="18.75" x14ac:dyDescent="0.3">
      <c r="B21" s="45" t="s">
        <v>16</v>
      </c>
      <c r="C21" s="46">
        <f>SUM(C18:C20)</f>
        <v>0</v>
      </c>
      <c r="G21" s="36"/>
      <c r="H21" s="37"/>
      <c r="I21" s="36"/>
      <c r="J21" s="36"/>
    </row>
  </sheetData>
  <mergeCells count="6">
    <mergeCell ref="G18:H18"/>
    <mergeCell ref="A1:K1"/>
    <mergeCell ref="A2:K2"/>
    <mergeCell ref="A3:K3"/>
    <mergeCell ref="A9:K9"/>
    <mergeCell ref="A12:K1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C8944-4AAC-4534-B696-1A3AA27E8664}">
  <dimension ref="A1:K21"/>
  <sheetViews>
    <sheetView workbookViewId="0">
      <selection activeCell="K15" sqref="K15"/>
    </sheetView>
  </sheetViews>
  <sheetFormatPr defaultRowHeight="15" x14ac:dyDescent="0.25"/>
  <cols>
    <col min="1" max="1" width="4.42578125" bestFit="1" customWidth="1"/>
    <col min="2" max="2" width="22.42578125" bestFit="1" customWidth="1"/>
    <col min="3" max="3" width="14.4257812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6.5703125" customWidth="1"/>
  </cols>
  <sheetData>
    <row r="1" spans="1:11" ht="48.75" x14ac:dyDescent="0.25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55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4">
        <v>1000</v>
      </c>
      <c r="D5" s="5">
        <v>46157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46156</v>
      </c>
      <c r="K5" s="8" t="s">
        <v>33</v>
      </c>
    </row>
    <row r="6" spans="1:11" ht="18.75" x14ac:dyDescent="0.3">
      <c r="A6" s="9"/>
      <c r="B6" s="10" t="s">
        <v>16</v>
      </c>
      <c r="C6" s="11">
        <f>SUM(C5:C5)</f>
        <v>1000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4" x14ac:dyDescent="0.4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75" x14ac:dyDescent="0.25">
      <c r="A9" s="3">
        <v>2</v>
      </c>
      <c r="B9" s="3"/>
      <c r="C9" s="4"/>
      <c r="D9" s="5">
        <v>46157</v>
      </c>
      <c r="E9" s="14">
        <v>0</v>
      </c>
      <c r="F9" s="13" t="s">
        <v>18</v>
      </c>
      <c r="G9" s="15"/>
      <c r="H9" s="16">
        <v>0</v>
      </c>
      <c r="I9" s="3" t="s">
        <v>19</v>
      </c>
      <c r="J9" s="5">
        <f t="shared" ref="J9" si="0">+D9+1</f>
        <v>46158</v>
      </c>
      <c r="K9" s="13"/>
    </row>
    <row r="10" spans="1:11" ht="18.75" x14ac:dyDescent="0.3">
      <c r="A10" s="3"/>
      <c r="B10" s="17" t="s">
        <v>16</v>
      </c>
      <c r="C10" s="18">
        <f>SUM(C8:C9)</f>
        <v>0</v>
      </c>
      <c r="D10" s="3"/>
      <c r="E10" s="3"/>
      <c r="F10" s="13"/>
      <c r="G10" s="13"/>
      <c r="H10" s="11"/>
      <c r="I10" s="3"/>
      <c r="J10" s="3"/>
      <c r="K10" s="3"/>
    </row>
    <row r="11" spans="1:11" ht="24.75" x14ac:dyDescent="0.5">
      <c r="A11" s="125" t="s">
        <v>20</v>
      </c>
      <c r="B11" s="126"/>
      <c r="C11" s="126"/>
      <c r="D11" s="126"/>
      <c r="E11" s="126"/>
      <c r="F11" s="126"/>
      <c r="G11" s="126"/>
      <c r="H11" s="126"/>
      <c r="I11" s="126"/>
      <c r="J11" s="126"/>
      <c r="K11" s="127"/>
    </row>
    <row r="12" spans="1:11" ht="18.75" x14ac:dyDescent="0.3">
      <c r="A12" s="19" t="s">
        <v>3</v>
      </c>
      <c r="B12" s="19" t="s">
        <v>21</v>
      </c>
      <c r="C12" s="20" t="s">
        <v>5</v>
      </c>
      <c r="D12" s="1" t="s">
        <v>22</v>
      </c>
      <c r="E12" s="19" t="s">
        <v>7</v>
      </c>
      <c r="F12" s="19" t="s">
        <v>8</v>
      </c>
      <c r="G12" s="19" t="s">
        <v>23</v>
      </c>
      <c r="H12" s="20" t="s">
        <v>24</v>
      </c>
      <c r="I12" s="19" t="s">
        <v>11</v>
      </c>
      <c r="J12" s="19" t="s">
        <v>25</v>
      </c>
      <c r="K12" s="21" t="s">
        <v>26</v>
      </c>
    </row>
    <row r="13" spans="1:11" ht="15.75" x14ac:dyDescent="0.25">
      <c r="A13" s="8">
        <v>1</v>
      </c>
      <c r="B13" s="8" t="s">
        <v>44</v>
      </c>
      <c r="C13" s="47">
        <v>100000</v>
      </c>
      <c r="D13" s="5">
        <v>46157</v>
      </c>
      <c r="E13" s="8"/>
      <c r="F13" s="8"/>
      <c r="G13" s="22">
        <v>7831</v>
      </c>
      <c r="H13" s="23"/>
      <c r="I13" s="24"/>
      <c r="J13" s="3"/>
      <c r="K13" s="13" t="s">
        <v>68</v>
      </c>
    </row>
    <row r="14" spans="1:11" ht="15.75" x14ac:dyDescent="0.25">
      <c r="A14" s="8">
        <v>2</v>
      </c>
      <c r="B14" s="8" t="s">
        <v>44</v>
      </c>
      <c r="C14" s="48">
        <v>50000</v>
      </c>
      <c r="D14" s="5">
        <v>46157</v>
      </c>
      <c r="E14" s="8"/>
      <c r="F14" s="8"/>
      <c r="G14" s="22">
        <v>1139</v>
      </c>
      <c r="H14" s="23"/>
      <c r="I14" s="24"/>
      <c r="J14" s="13"/>
      <c r="K14" s="13" t="s">
        <v>68</v>
      </c>
    </row>
    <row r="15" spans="1:11" ht="15.75" x14ac:dyDescent="0.25">
      <c r="A15" s="8">
        <v>3</v>
      </c>
      <c r="B15" s="8" t="s">
        <v>52</v>
      </c>
      <c r="C15" s="48">
        <v>100000</v>
      </c>
      <c r="D15" s="5">
        <v>46157</v>
      </c>
      <c r="E15" s="8"/>
      <c r="F15" s="8"/>
      <c r="G15" s="22">
        <v>43</v>
      </c>
      <c r="H15" s="23"/>
      <c r="I15" s="24"/>
      <c r="J15" s="13"/>
      <c r="K15" s="13"/>
    </row>
    <row r="16" spans="1:11" ht="18.75" x14ac:dyDescent="0.25">
      <c r="A16" s="8"/>
      <c r="B16" s="25" t="s">
        <v>27</v>
      </c>
      <c r="C16" s="26">
        <f>SUM(C13:C15)</f>
        <v>250000</v>
      </c>
      <c r="D16" s="3"/>
      <c r="E16" s="8"/>
      <c r="F16" s="8"/>
      <c r="G16" s="8"/>
      <c r="H16" s="27">
        <v>0</v>
      </c>
      <c r="I16" s="24"/>
      <c r="J16" s="3"/>
      <c r="K16" s="28"/>
    </row>
    <row r="17" spans="2:10" x14ac:dyDescent="0.25">
      <c r="C17" s="29"/>
      <c r="H17" s="29"/>
    </row>
    <row r="18" spans="2:10" ht="16.5" x14ac:dyDescent="0.3">
      <c r="B18" s="30" t="s">
        <v>28</v>
      </c>
      <c r="C18" s="31">
        <v>0</v>
      </c>
      <c r="E18" s="32"/>
      <c r="F18" s="32"/>
      <c r="G18" s="116"/>
      <c r="H18" s="116"/>
    </row>
    <row r="19" spans="2:10" ht="16.5" x14ac:dyDescent="0.3">
      <c r="B19" s="33" t="s">
        <v>29</v>
      </c>
      <c r="C19" s="34">
        <v>0</v>
      </c>
      <c r="E19" s="35"/>
      <c r="F19" s="35"/>
      <c r="G19" s="36" t="s">
        <v>30</v>
      </c>
      <c r="H19" s="37"/>
    </row>
    <row r="20" spans="2:10" ht="24" x14ac:dyDescent="0.4">
      <c r="B20" s="38" t="s">
        <v>31</v>
      </c>
      <c r="C20" s="39">
        <v>0</v>
      </c>
      <c r="E20" s="40" t="s">
        <v>32</v>
      </c>
      <c r="F20" s="41"/>
      <c r="G20" s="42"/>
      <c r="H20" s="43"/>
      <c r="I20" s="42"/>
      <c r="J20" s="44"/>
    </row>
    <row r="21" spans="2:10" ht="18.75" x14ac:dyDescent="0.3">
      <c r="B21" s="45" t="s">
        <v>16</v>
      </c>
      <c r="C21" s="46">
        <f>SUM(C18:C20)</f>
        <v>0</v>
      </c>
      <c r="G21" s="36"/>
      <c r="H21" s="37"/>
      <c r="I21" s="36"/>
      <c r="J21" s="36"/>
    </row>
  </sheetData>
  <mergeCells count="6">
    <mergeCell ref="G18:H18"/>
    <mergeCell ref="A1:K1"/>
    <mergeCell ref="A2:K2"/>
    <mergeCell ref="A3:K3"/>
    <mergeCell ref="A8:K8"/>
    <mergeCell ref="A11:K1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DF1B5-7B8A-451B-9F35-92DA2D98DD9F}">
  <dimension ref="A1:K31"/>
  <sheetViews>
    <sheetView topLeftCell="A5" workbookViewId="0">
      <selection activeCell="M14" sqref="M14"/>
    </sheetView>
  </sheetViews>
  <sheetFormatPr defaultRowHeight="15" x14ac:dyDescent="0.25"/>
  <cols>
    <col min="1" max="1" width="4.42578125" bestFit="1" customWidth="1"/>
    <col min="2" max="2" width="22.42578125" bestFit="1" customWidth="1"/>
    <col min="3" max="3" width="11.42578125" bestFit="1" customWidth="1"/>
    <col min="4" max="4" width="14.5703125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2.85546875" customWidth="1"/>
  </cols>
  <sheetData>
    <row r="1" spans="1:11" ht="48.75" x14ac:dyDescent="0.25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54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/>
      <c r="C5" s="4"/>
      <c r="D5" s="5"/>
      <c r="E5" s="6">
        <v>0</v>
      </c>
      <c r="F5" s="3" t="s">
        <v>14</v>
      </c>
      <c r="G5" s="3"/>
      <c r="H5" s="7">
        <v>0</v>
      </c>
      <c r="I5" s="3" t="s">
        <v>15</v>
      </c>
      <c r="J5" s="5">
        <f>+D5-1</f>
        <v>-1</v>
      </c>
      <c r="K5" s="8" t="s">
        <v>33</v>
      </c>
    </row>
    <row r="6" spans="1:11" ht="18.75" x14ac:dyDescent="0.3">
      <c r="A6" s="9"/>
      <c r="B6" s="10" t="s">
        <v>16</v>
      </c>
      <c r="C6" s="1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4" x14ac:dyDescent="0.4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75" x14ac:dyDescent="0.25">
      <c r="A9" s="3">
        <v>2</v>
      </c>
      <c r="B9" s="3"/>
      <c r="C9" s="4"/>
      <c r="D9" s="5">
        <f t="shared" ref="D9:D21" si="0">+D8</f>
        <v>0</v>
      </c>
      <c r="E9" s="14">
        <v>0</v>
      </c>
      <c r="F9" s="13" t="s">
        <v>18</v>
      </c>
      <c r="G9" s="15"/>
      <c r="H9" s="16">
        <v>0</v>
      </c>
      <c r="I9" s="3" t="s">
        <v>19</v>
      </c>
      <c r="J9" s="5">
        <f t="shared" ref="J9:J21" si="1">+D9+1</f>
        <v>1</v>
      </c>
      <c r="K9" s="13"/>
    </row>
    <row r="10" spans="1:11" ht="15.75" x14ac:dyDescent="0.25">
      <c r="A10" s="3">
        <v>3</v>
      </c>
      <c r="B10" s="3"/>
      <c r="C10" s="4"/>
      <c r="D10" s="5">
        <f t="shared" si="0"/>
        <v>0</v>
      </c>
      <c r="E10" s="14">
        <v>0</v>
      </c>
      <c r="F10" s="13" t="s">
        <v>18</v>
      </c>
      <c r="G10" s="15"/>
      <c r="H10" s="16">
        <v>0</v>
      </c>
      <c r="I10" s="3" t="s">
        <v>15</v>
      </c>
      <c r="J10" s="5">
        <f t="shared" si="1"/>
        <v>1</v>
      </c>
      <c r="K10" s="13"/>
    </row>
    <row r="11" spans="1:11" ht="15.75" x14ac:dyDescent="0.25">
      <c r="A11" s="3">
        <v>4</v>
      </c>
      <c r="B11" s="3"/>
      <c r="C11" s="4"/>
      <c r="D11" s="5">
        <f t="shared" si="0"/>
        <v>0</v>
      </c>
      <c r="E11" s="14">
        <v>0</v>
      </c>
      <c r="F11" s="13" t="s">
        <v>18</v>
      </c>
      <c r="G11" s="15"/>
      <c r="H11" s="16">
        <v>0</v>
      </c>
      <c r="I11" s="3" t="s">
        <v>15</v>
      </c>
      <c r="J11" s="5">
        <f t="shared" si="1"/>
        <v>1</v>
      </c>
      <c r="K11" s="13"/>
    </row>
    <row r="12" spans="1:11" ht="15.75" x14ac:dyDescent="0.25">
      <c r="A12" s="3">
        <v>5</v>
      </c>
      <c r="B12" s="3"/>
      <c r="C12" s="4"/>
      <c r="D12" s="5">
        <f t="shared" si="0"/>
        <v>0</v>
      </c>
      <c r="E12" s="14">
        <v>0</v>
      </c>
      <c r="F12" s="13" t="s">
        <v>18</v>
      </c>
      <c r="G12" s="15"/>
      <c r="H12" s="16">
        <v>0</v>
      </c>
      <c r="I12" s="3" t="s">
        <v>15</v>
      </c>
      <c r="J12" s="5">
        <f t="shared" si="1"/>
        <v>1</v>
      </c>
      <c r="K12" s="13"/>
    </row>
    <row r="13" spans="1:11" ht="15.75" x14ac:dyDescent="0.25">
      <c r="A13" s="3">
        <v>6</v>
      </c>
      <c r="B13" s="3"/>
      <c r="C13" s="4"/>
      <c r="D13" s="5">
        <f t="shared" si="0"/>
        <v>0</v>
      </c>
      <c r="E13" s="14">
        <v>0</v>
      </c>
      <c r="F13" s="13" t="s">
        <v>18</v>
      </c>
      <c r="G13" s="15"/>
      <c r="H13" s="16">
        <v>0</v>
      </c>
      <c r="I13" s="3" t="s">
        <v>15</v>
      </c>
      <c r="J13" s="5">
        <f t="shared" si="1"/>
        <v>1</v>
      </c>
      <c r="K13" s="13"/>
    </row>
    <row r="14" spans="1:11" ht="15.75" x14ac:dyDescent="0.25">
      <c r="A14" s="3">
        <v>7</v>
      </c>
      <c r="B14" s="3"/>
      <c r="C14" s="4"/>
      <c r="D14" s="5">
        <f t="shared" si="0"/>
        <v>0</v>
      </c>
      <c r="E14" s="14">
        <v>0</v>
      </c>
      <c r="F14" s="13" t="s">
        <v>18</v>
      </c>
      <c r="G14" s="15"/>
      <c r="H14" s="16">
        <v>0</v>
      </c>
      <c r="I14" s="3" t="s">
        <v>15</v>
      </c>
      <c r="J14" s="5">
        <f t="shared" si="1"/>
        <v>1</v>
      </c>
      <c r="K14" s="13"/>
    </row>
    <row r="15" spans="1:11" ht="15.75" x14ac:dyDescent="0.25">
      <c r="A15" s="3">
        <v>8</v>
      </c>
      <c r="B15" s="3"/>
      <c r="C15" s="4"/>
      <c r="D15" s="5">
        <f t="shared" si="0"/>
        <v>0</v>
      </c>
      <c r="E15" s="14">
        <v>0</v>
      </c>
      <c r="F15" s="13" t="s">
        <v>18</v>
      </c>
      <c r="G15" s="15"/>
      <c r="H15" s="16">
        <v>0</v>
      </c>
      <c r="I15" s="3" t="s">
        <v>15</v>
      </c>
      <c r="J15" s="5">
        <f t="shared" si="1"/>
        <v>1</v>
      </c>
      <c r="K15" s="13"/>
    </row>
    <row r="16" spans="1:11" ht="15.75" x14ac:dyDescent="0.25">
      <c r="A16" s="3">
        <v>9</v>
      </c>
      <c r="B16" s="3"/>
      <c r="C16" s="4"/>
      <c r="D16" s="5">
        <f t="shared" si="0"/>
        <v>0</v>
      </c>
      <c r="E16" s="14">
        <v>0</v>
      </c>
      <c r="F16" s="13" t="s">
        <v>18</v>
      </c>
      <c r="G16" s="15"/>
      <c r="H16" s="16">
        <v>0</v>
      </c>
      <c r="I16" s="3" t="s">
        <v>15</v>
      </c>
      <c r="J16" s="5">
        <f t="shared" si="1"/>
        <v>1</v>
      </c>
      <c r="K16" s="13"/>
    </row>
    <row r="17" spans="1:11" ht="15.75" x14ac:dyDescent="0.25">
      <c r="A17" s="3">
        <v>10</v>
      </c>
      <c r="B17" s="3"/>
      <c r="C17" s="4"/>
      <c r="D17" s="5">
        <f t="shared" si="0"/>
        <v>0</v>
      </c>
      <c r="E17" s="14">
        <v>0</v>
      </c>
      <c r="F17" s="13" t="s">
        <v>18</v>
      </c>
      <c r="G17" s="15"/>
      <c r="H17" s="16">
        <v>0</v>
      </c>
      <c r="I17" s="3" t="s">
        <v>15</v>
      </c>
      <c r="J17" s="5">
        <f t="shared" si="1"/>
        <v>1</v>
      </c>
      <c r="K17" s="13"/>
    </row>
    <row r="18" spans="1:11" ht="15.75" x14ac:dyDescent="0.25">
      <c r="A18" s="3">
        <v>11</v>
      </c>
      <c r="B18" s="3"/>
      <c r="C18" s="4"/>
      <c r="D18" s="5">
        <f t="shared" si="0"/>
        <v>0</v>
      </c>
      <c r="E18" s="14">
        <v>0</v>
      </c>
      <c r="F18" s="13" t="s">
        <v>18</v>
      </c>
      <c r="G18" s="15"/>
      <c r="H18" s="16">
        <v>0</v>
      </c>
      <c r="I18" s="3" t="s">
        <v>15</v>
      </c>
      <c r="J18" s="5">
        <f t="shared" si="1"/>
        <v>1</v>
      </c>
      <c r="K18" s="13"/>
    </row>
    <row r="19" spans="1:11" ht="15.75" x14ac:dyDescent="0.25">
      <c r="A19" s="3">
        <v>12</v>
      </c>
      <c r="B19" s="3"/>
      <c r="C19" s="4"/>
      <c r="D19" s="5">
        <f t="shared" si="0"/>
        <v>0</v>
      </c>
      <c r="E19" s="14">
        <v>0</v>
      </c>
      <c r="F19" s="13" t="s">
        <v>18</v>
      </c>
      <c r="G19" s="15"/>
      <c r="H19" s="16">
        <v>0</v>
      </c>
      <c r="I19" s="3" t="s">
        <v>15</v>
      </c>
      <c r="J19" s="5">
        <f t="shared" si="1"/>
        <v>1</v>
      </c>
      <c r="K19" s="13"/>
    </row>
    <row r="20" spans="1:11" ht="15.75" x14ac:dyDescent="0.25">
      <c r="A20" s="3">
        <v>13</v>
      </c>
      <c r="B20" s="3"/>
      <c r="C20" s="4"/>
      <c r="D20" s="5">
        <f t="shared" si="0"/>
        <v>0</v>
      </c>
      <c r="E20" s="14">
        <v>0</v>
      </c>
      <c r="F20" s="13" t="s">
        <v>18</v>
      </c>
      <c r="G20" s="15"/>
      <c r="H20" s="16">
        <v>0</v>
      </c>
      <c r="I20" s="3" t="s">
        <v>15</v>
      </c>
      <c r="J20" s="5">
        <f t="shared" si="1"/>
        <v>1</v>
      </c>
      <c r="K20" s="13"/>
    </row>
    <row r="21" spans="1:11" ht="15.75" x14ac:dyDescent="0.25">
      <c r="A21" s="3">
        <v>14</v>
      </c>
      <c r="B21" s="3"/>
      <c r="C21" s="4"/>
      <c r="D21" s="5">
        <f t="shared" si="0"/>
        <v>0</v>
      </c>
      <c r="E21" s="14">
        <v>0</v>
      </c>
      <c r="F21" s="13" t="s">
        <v>18</v>
      </c>
      <c r="G21" s="15"/>
      <c r="H21" s="16">
        <v>0</v>
      </c>
      <c r="I21" s="3" t="s">
        <v>15</v>
      </c>
      <c r="J21" s="5">
        <f t="shared" si="1"/>
        <v>1</v>
      </c>
      <c r="K21" s="13"/>
    </row>
    <row r="22" spans="1:11" ht="18.75" x14ac:dyDescent="0.3">
      <c r="A22" s="3"/>
      <c r="B22" s="17" t="s">
        <v>16</v>
      </c>
      <c r="C22" s="18">
        <f>SUM(C8:C21)</f>
        <v>0</v>
      </c>
      <c r="D22" s="3"/>
      <c r="E22" s="3"/>
      <c r="F22" s="13"/>
      <c r="G22" s="13"/>
      <c r="H22" s="11"/>
      <c r="I22" s="3"/>
      <c r="J22" s="3"/>
      <c r="K22" s="3"/>
    </row>
    <row r="23" spans="1:11" ht="24.75" x14ac:dyDescent="0.5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.75" x14ac:dyDescent="0.3">
      <c r="A24" s="19" t="s">
        <v>3</v>
      </c>
      <c r="B24" s="19" t="s">
        <v>21</v>
      </c>
      <c r="C24" s="2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75" x14ac:dyDescent="0.25">
      <c r="A25" s="8">
        <v>1</v>
      </c>
      <c r="B25" s="8" t="s">
        <v>53</v>
      </c>
      <c r="C25" s="47">
        <v>2000</v>
      </c>
      <c r="D25" s="5">
        <v>46158</v>
      </c>
      <c r="E25" s="8"/>
      <c r="F25" s="8"/>
      <c r="G25" s="22">
        <v>8348</v>
      </c>
      <c r="H25" s="23"/>
      <c r="I25" s="24"/>
      <c r="J25" s="3"/>
      <c r="K25" s="13"/>
    </row>
    <row r="26" spans="1:11" ht="18.75" x14ac:dyDescent="0.25">
      <c r="A26" s="8"/>
      <c r="B26" s="25" t="s">
        <v>27</v>
      </c>
      <c r="C26" s="26">
        <f>SUM(C25:C25)</f>
        <v>2000</v>
      </c>
      <c r="D26" s="3"/>
      <c r="E26" s="8"/>
      <c r="F26" s="8"/>
      <c r="G26" s="8"/>
      <c r="H26" s="27">
        <v>0</v>
      </c>
      <c r="I26" s="24"/>
      <c r="J26" s="3"/>
      <c r="K26" s="28"/>
    </row>
    <row r="27" spans="1:11" x14ac:dyDescent="0.25">
      <c r="C27" s="29"/>
      <c r="H27" s="29"/>
    </row>
    <row r="28" spans="1:11" ht="16.5" x14ac:dyDescent="0.3">
      <c r="B28" s="30" t="s">
        <v>28</v>
      </c>
      <c r="C28" s="31">
        <v>0</v>
      </c>
      <c r="E28" s="32"/>
      <c r="F28" s="32"/>
      <c r="G28" s="116"/>
      <c r="H28" s="116"/>
    </row>
    <row r="29" spans="1:11" ht="16.5" x14ac:dyDescent="0.3">
      <c r="B29" s="33" t="s">
        <v>29</v>
      </c>
      <c r="C29" s="34">
        <v>0</v>
      </c>
      <c r="E29" s="35"/>
      <c r="F29" s="35"/>
      <c r="G29" s="36" t="s">
        <v>30</v>
      </c>
      <c r="H29" s="37"/>
    </row>
    <row r="30" spans="1:11" ht="24" x14ac:dyDescent="0.4">
      <c r="B30" s="38" t="s">
        <v>31</v>
      </c>
      <c r="C30" s="39">
        <v>0</v>
      </c>
      <c r="E30" s="40" t="s">
        <v>32</v>
      </c>
      <c r="F30" s="41"/>
      <c r="G30" s="42"/>
      <c r="H30" s="43"/>
      <c r="I30" s="42"/>
      <c r="J30" s="44"/>
    </row>
    <row r="31" spans="1:11" ht="18.75" x14ac:dyDescent="0.3">
      <c r="B31" s="45" t="s">
        <v>16</v>
      </c>
      <c r="C31" s="46">
        <f>SUM(C28:C30)</f>
        <v>0</v>
      </c>
      <c r="G31" s="36"/>
      <c r="H31" s="37"/>
      <c r="I31" s="36"/>
      <c r="J31" s="36"/>
    </row>
  </sheetData>
  <mergeCells count="6">
    <mergeCell ref="G28:H28"/>
    <mergeCell ref="A1:K1"/>
    <mergeCell ref="A2:K2"/>
    <mergeCell ref="A3:K3"/>
    <mergeCell ref="A8:K8"/>
    <mergeCell ref="A23:K2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CF8DD-BBDC-43E2-9A57-7424FE8EAB76}">
  <dimension ref="A1:K40"/>
  <sheetViews>
    <sheetView workbookViewId="0">
      <selection activeCell="J17" sqref="J17"/>
    </sheetView>
  </sheetViews>
  <sheetFormatPr defaultRowHeight="15" x14ac:dyDescent="0.25"/>
  <cols>
    <col min="1" max="1" width="4.42578125" bestFit="1" customWidth="1"/>
    <col min="2" max="2" width="27" customWidth="1"/>
    <col min="3" max="3" width="18.7109375" customWidth="1"/>
    <col min="4" max="4" width="19.140625" customWidth="1"/>
    <col min="5" max="5" width="11.42578125" bestFit="1" customWidth="1"/>
    <col min="6" max="6" width="6.85546875" bestFit="1" customWidth="1"/>
    <col min="7" max="7" width="10.42578125" customWidth="1"/>
    <col min="8" max="8" width="11.42578125" customWidth="1"/>
    <col min="9" max="9" width="10.140625" customWidth="1"/>
    <col min="10" max="10" width="15.85546875" customWidth="1"/>
    <col min="11" max="11" width="21.85546875" customWidth="1"/>
  </cols>
  <sheetData>
    <row r="1" spans="1:11" ht="48.75" x14ac:dyDescent="0.25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56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4">
        <v>103</v>
      </c>
      <c r="D5" s="5">
        <v>46160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46159</v>
      </c>
      <c r="K5" s="8" t="s">
        <v>33</v>
      </c>
    </row>
    <row r="6" spans="1:11" ht="15.75" x14ac:dyDescent="0.25">
      <c r="A6" s="3">
        <v>2</v>
      </c>
      <c r="B6" s="3"/>
      <c r="C6" s="4">
        <v>0</v>
      </c>
      <c r="D6" s="5"/>
      <c r="E6" s="6"/>
      <c r="F6" s="3"/>
      <c r="G6" s="49"/>
      <c r="H6" s="7"/>
      <c r="I6" s="3"/>
      <c r="J6" s="5"/>
      <c r="K6" s="8"/>
    </row>
    <row r="7" spans="1:11" ht="15.75" x14ac:dyDescent="0.25">
      <c r="A7" s="3">
        <v>3</v>
      </c>
      <c r="B7" s="3"/>
      <c r="C7" s="4">
        <v>0</v>
      </c>
      <c r="D7" s="5"/>
      <c r="E7" s="6"/>
      <c r="F7" s="3"/>
      <c r="G7" s="49"/>
      <c r="H7" s="7"/>
      <c r="I7" s="3"/>
      <c r="J7" s="5"/>
      <c r="K7" s="8"/>
    </row>
    <row r="8" spans="1:11" ht="15.75" x14ac:dyDescent="0.25">
      <c r="A8" s="3">
        <v>4</v>
      </c>
      <c r="B8" s="3"/>
      <c r="C8" s="4">
        <v>0</v>
      </c>
      <c r="D8" s="5"/>
      <c r="E8" s="6"/>
      <c r="F8" s="3"/>
      <c r="G8" s="49"/>
      <c r="H8" s="7"/>
      <c r="I8" s="3"/>
      <c r="J8" s="5"/>
      <c r="K8" s="8"/>
    </row>
    <row r="9" spans="1:11" ht="15.75" x14ac:dyDescent="0.25">
      <c r="A9" s="3">
        <v>5</v>
      </c>
      <c r="B9" s="3"/>
      <c r="C9" s="4">
        <v>0</v>
      </c>
      <c r="D9" s="5"/>
      <c r="E9" s="6"/>
      <c r="F9" s="3"/>
      <c r="G9" s="49"/>
      <c r="H9" s="7"/>
      <c r="I9" s="3"/>
      <c r="J9" s="5"/>
      <c r="K9" s="8"/>
    </row>
    <row r="10" spans="1:11" ht="18.75" x14ac:dyDescent="0.3">
      <c r="A10" s="9"/>
      <c r="B10" s="10" t="s">
        <v>16</v>
      </c>
      <c r="C10" s="53">
        <f>SUM(C5:C5)</f>
        <v>103</v>
      </c>
      <c r="D10" s="3"/>
      <c r="E10" s="12"/>
      <c r="F10" s="9"/>
      <c r="G10" s="13"/>
      <c r="H10" s="11">
        <f>SUM(H5:H5)</f>
        <v>0</v>
      </c>
      <c r="I10" s="9"/>
      <c r="J10" s="9"/>
      <c r="K10" s="9"/>
    </row>
    <row r="12" spans="1:11" ht="24" x14ac:dyDescent="0.4">
      <c r="A12" s="122" t="s">
        <v>17</v>
      </c>
      <c r="B12" s="123"/>
      <c r="C12" s="123"/>
      <c r="D12" s="123"/>
      <c r="E12" s="123"/>
      <c r="F12" s="123"/>
      <c r="G12" s="123"/>
      <c r="H12" s="123"/>
      <c r="I12" s="123"/>
      <c r="J12" s="123"/>
      <c r="K12" s="124"/>
    </row>
    <row r="13" spans="1:11" ht="15.75" x14ac:dyDescent="0.25">
      <c r="A13" s="3">
        <v>2</v>
      </c>
      <c r="B13" s="3" t="s">
        <v>78</v>
      </c>
      <c r="C13" s="4">
        <v>4440</v>
      </c>
      <c r="D13" s="5">
        <v>46170</v>
      </c>
      <c r="E13" s="14">
        <v>0</v>
      </c>
      <c r="F13" s="13" t="s">
        <v>18</v>
      </c>
      <c r="G13" s="15">
        <v>6584</v>
      </c>
      <c r="H13" s="16">
        <v>0</v>
      </c>
      <c r="I13" s="3" t="s">
        <v>19</v>
      </c>
      <c r="J13" s="5">
        <f t="shared" ref="J13:J25" si="0">+D13+1</f>
        <v>46171</v>
      </c>
      <c r="K13" s="13"/>
    </row>
    <row r="14" spans="1:11" ht="15.75" x14ac:dyDescent="0.25">
      <c r="A14" s="3">
        <v>3</v>
      </c>
      <c r="B14" s="3" t="s">
        <v>79</v>
      </c>
      <c r="C14" s="4">
        <v>18600</v>
      </c>
      <c r="D14" s="5">
        <f t="shared" ref="D14:D25" si="1">+D13</f>
        <v>46170</v>
      </c>
      <c r="E14" s="14">
        <v>0</v>
      </c>
      <c r="F14" s="13" t="s">
        <v>18</v>
      </c>
      <c r="G14" s="15">
        <v>8887</v>
      </c>
      <c r="H14" s="16">
        <v>0</v>
      </c>
      <c r="I14" s="3" t="s">
        <v>15</v>
      </c>
      <c r="J14" s="5">
        <f t="shared" si="0"/>
        <v>46171</v>
      </c>
      <c r="K14" s="13"/>
    </row>
    <row r="15" spans="1:11" ht="15.75" x14ac:dyDescent="0.25">
      <c r="A15" s="3">
        <v>4</v>
      </c>
      <c r="B15" s="3" t="s">
        <v>80</v>
      </c>
      <c r="C15" s="4">
        <v>1670</v>
      </c>
      <c r="D15" s="5">
        <f t="shared" si="1"/>
        <v>46170</v>
      </c>
      <c r="E15" s="14">
        <v>0</v>
      </c>
      <c r="F15" s="13" t="s">
        <v>18</v>
      </c>
      <c r="G15" s="15">
        <v>3291</v>
      </c>
      <c r="H15" s="16">
        <v>0</v>
      </c>
      <c r="I15" s="3" t="s">
        <v>15</v>
      </c>
      <c r="J15" s="5">
        <f t="shared" si="0"/>
        <v>46171</v>
      </c>
      <c r="K15" s="13"/>
    </row>
    <row r="16" spans="1:11" ht="15.75" x14ac:dyDescent="0.25">
      <c r="A16" s="3">
        <v>5</v>
      </c>
      <c r="B16" s="3" t="s">
        <v>81</v>
      </c>
      <c r="C16" s="4">
        <v>11000</v>
      </c>
      <c r="D16" s="5">
        <f t="shared" si="1"/>
        <v>46170</v>
      </c>
      <c r="E16" s="14">
        <v>0</v>
      </c>
      <c r="F16" s="13" t="s">
        <v>18</v>
      </c>
      <c r="G16" s="15">
        <v>6805</v>
      </c>
      <c r="H16" s="16">
        <v>0</v>
      </c>
      <c r="I16" s="3" t="s">
        <v>15</v>
      </c>
      <c r="J16" s="5">
        <f t="shared" si="0"/>
        <v>46171</v>
      </c>
      <c r="K16" s="13" t="s">
        <v>82</v>
      </c>
    </row>
    <row r="17" spans="1:11" ht="15.75" x14ac:dyDescent="0.25">
      <c r="A17" s="3">
        <v>6</v>
      </c>
      <c r="B17" s="3"/>
      <c r="C17" s="4">
        <v>0</v>
      </c>
      <c r="D17" s="5">
        <f t="shared" si="1"/>
        <v>46170</v>
      </c>
      <c r="E17" s="14">
        <v>0</v>
      </c>
      <c r="F17" s="13" t="s">
        <v>18</v>
      </c>
      <c r="G17" s="15"/>
      <c r="H17" s="16">
        <v>0</v>
      </c>
      <c r="I17" s="3" t="s">
        <v>15</v>
      </c>
      <c r="J17" s="5">
        <f t="shared" si="0"/>
        <v>46171</v>
      </c>
      <c r="K17" s="13"/>
    </row>
    <row r="18" spans="1:11" ht="15.75" x14ac:dyDescent="0.25">
      <c r="A18" s="3">
        <v>7</v>
      </c>
      <c r="B18" s="3"/>
      <c r="C18" s="4">
        <v>0</v>
      </c>
      <c r="D18" s="5">
        <f t="shared" si="1"/>
        <v>46170</v>
      </c>
      <c r="E18" s="14">
        <v>0</v>
      </c>
      <c r="F18" s="13" t="s">
        <v>18</v>
      </c>
      <c r="G18" s="15"/>
      <c r="H18" s="16">
        <v>0</v>
      </c>
      <c r="I18" s="3" t="s">
        <v>15</v>
      </c>
      <c r="J18" s="5">
        <f t="shared" si="0"/>
        <v>46171</v>
      </c>
      <c r="K18" s="13"/>
    </row>
    <row r="19" spans="1:11" ht="15.75" x14ac:dyDescent="0.25">
      <c r="A19" s="3">
        <v>8</v>
      </c>
      <c r="B19" s="3"/>
      <c r="C19" s="4">
        <v>0</v>
      </c>
      <c r="D19" s="5">
        <f t="shared" si="1"/>
        <v>46170</v>
      </c>
      <c r="E19" s="14">
        <v>0</v>
      </c>
      <c r="F19" s="13" t="s">
        <v>18</v>
      </c>
      <c r="G19" s="15"/>
      <c r="H19" s="16">
        <v>0</v>
      </c>
      <c r="I19" s="3" t="s">
        <v>15</v>
      </c>
      <c r="J19" s="5">
        <f t="shared" si="0"/>
        <v>46171</v>
      </c>
      <c r="K19" s="13"/>
    </row>
    <row r="20" spans="1:11" ht="15.75" x14ac:dyDescent="0.25">
      <c r="A20" s="3">
        <v>9</v>
      </c>
      <c r="B20" s="3"/>
      <c r="C20" s="4">
        <v>0</v>
      </c>
      <c r="D20" s="5">
        <f t="shared" si="1"/>
        <v>46170</v>
      </c>
      <c r="E20" s="14">
        <v>0</v>
      </c>
      <c r="F20" s="13" t="s">
        <v>18</v>
      </c>
      <c r="G20" s="15"/>
      <c r="H20" s="16">
        <v>0</v>
      </c>
      <c r="I20" s="3" t="s">
        <v>15</v>
      </c>
      <c r="J20" s="5">
        <f t="shared" si="0"/>
        <v>46171</v>
      </c>
      <c r="K20" s="13"/>
    </row>
    <row r="21" spans="1:11" ht="15.75" x14ac:dyDescent="0.25">
      <c r="A21" s="3">
        <v>10</v>
      </c>
      <c r="B21" s="3"/>
      <c r="C21" s="4">
        <v>0</v>
      </c>
      <c r="D21" s="5">
        <f t="shared" si="1"/>
        <v>46170</v>
      </c>
      <c r="E21" s="14">
        <v>0</v>
      </c>
      <c r="F21" s="13" t="s">
        <v>18</v>
      </c>
      <c r="G21" s="15"/>
      <c r="H21" s="16">
        <v>0</v>
      </c>
      <c r="I21" s="3" t="s">
        <v>15</v>
      </c>
      <c r="J21" s="5">
        <f t="shared" si="0"/>
        <v>46171</v>
      </c>
      <c r="K21" s="13"/>
    </row>
    <row r="22" spans="1:11" ht="15.75" x14ac:dyDescent="0.25">
      <c r="A22" s="3">
        <v>11</v>
      </c>
      <c r="B22" s="3"/>
      <c r="C22" s="4">
        <v>0</v>
      </c>
      <c r="D22" s="5">
        <f t="shared" si="1"/>
        <v>46170</v>
      </c>
      <c r="E22" s="14">
        <v>0</v>
      </c>
      <c r="F22" s="13" t="s">
        <v>18</v>
      </c>
      <c r="G22" s="15"/>
      <c r="H22" s="16">
        <v>0</v>
      </c>
      <c r="I22" s="3" t="s">
        <v>15</v>
      </c>
      <c r="J22" s="5">
        <f t="shared" si="0"/>
        <v>46171</v>
      </c>
      <c r="K22" s="13"/>
    </row>
    <row r="23" spans="1:11" ht="15.75" x14ac:dyDescent="0.25">
      <c r="A23" s="3">
        <v>12</v>
      </c>
      <c r="B23" s="3"/>
      <c r="C23" s="4">
        <v>0</v>
      </c>
      <c r="D23" s="5">
        <f t="shared" si="1"/>
        <v>46170</v>
      </c>
      <c r="E23" s="14">
        <v>0</v>
      </c>
      <c r="F23" s="13" t="s">
        <v>18</v>
      </c>
      <c r="G23" s="15"/>
      <c r="H23" s="16">
        <v>0</v>
      </c>
      <c r="I23" s="3" t="s">
        <v>15</v>
      </c>
      <c r="J23" s="5">
        <f t="shared" si="0"/>
        <v>46171</v>
      </c>
      <c r="K23" s="13"/>
    </row>
    <row r="24" spans="1:11" ht="15.75" x14ac:dyDescent="0.25">
      <c r="A24" s="3">
        <v>13</v>
      </c>
      <c r="B24" s="3"/>
      <c r="C24" s="4">
        <v>0</v>
      </c>
      <c r="D24" s="5">
        <f t="shared" si="1"/>
        <v>46170</v>
      </c>
      <c r="E24" s="14">
        <v>0</v>
      </c>
      <c r="F24" s="13" t="s">
        <v>18</v>
      </c>
      <c r="G24" s="15"/>
      <c r="H24" s="16">
        <v>0</v>
      </c>
      <c r="I24" s="3" t="s">
        <v>15</v>
      </c>
      <c r="J24" s="5">
        <f t="shared" si="0"/>
        <v>46171</v>
      </c>
      <c r="K24" s="13"/>
    </row>
    <row r="25" spans="1:11" ht="15.75" x14ac:dyDescent="0.25">
      <c r="A25" s="3">
        <v>14</v>
      </c>
      <c r="B25" s="3"/>
      <c r="C25" s="4">
        <v>0</v>
      </c>
      <c r="D25" s="5">
        <f t="shared" si="1"/>
        <v>46170</v>
      </c>
      <c r="E25" s="14">
        <v>0</v>
      </c>
      <c r="F25" s="13" t="s">
        <v>18</v>
      </c>
      <c r="G25" s="15"/>
      <c r="H25" s="16">
        <v>0</v>
      </c>
      <c r="I25" s="3" t="s">
        <v>15</v>
      </c>
      <c r="J25" s="5">
        <f t="shared" si="0"/>
        <v>46171</v>
      </c>
      <c r="K25" s="13"/>
    </row>
    <row r="26" spans="1:11" ht="18.75" x14ac:dyDescent="0.3">
      <c r="A26" s="3"/>
      <c r="B26" s="17" t="s">
        <v>16</v>
      </c>
      <c r="C26" s="54">
        <f>SUM(C13:C25)</f>
        <v>35710</v>
      </c>
      <c r="D26" s="3"/>
      <c r="E26" s="3"/>
      <c r="F26" s="13"/>
      <c r="G26" s="13"/>
      <c r="H26" s="11"/>
      <c r="I26" s="3"/>
      <c r="J26" s="3"/>
      <c r="K26" s="3"/>
    </row>
    <row r="27" spans="1:11" ht="24.75" x14ac:dyDescent="0.5">
      <c r="A27" s="125" t="s">
        <v>20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7"/>
    </row>
    <row r="28" spans="1:11" ht="18.75" x14ac:dyDescent="0.3">
      <c r="A28" s="19" t="s">
        <v>3</v>
      </c>
      <c r="B28" s="19" t="s">
        <v>21</v>
      </c>
      <c r="C28" s="50" t="s">
        <v>5</v>
      </c>
      <c r="D28" s="1" t="s">
        <v>22</v>
      </c>
      <c r="E28" s="19" t="s">
        <v>7</v>
      </c>
      <c r="F28" s="19" t="s">
        <v>8</v>
      </c>
      <c r="G28" s="19" t="s">
        <v>23</v>
      </c>
      <c r="H28" s="20" t="s">
        <v>24</v>
      </c>
      <c r="I28" s="19" t="s">
        <v>11</v>
      </c>
      <c r="J28" s="19" t="s">
        <v>25</v>
      </c>
      <c r="K28" s="21" t="s">
        <v>26</v>
      </c>
    </row>
    <row r="29" spans="1:11" ht="15.75" x14ac:dyDescent="0.25">
      <c r="A29" s="8">
        <v>1</v>
      </c>
      <c r="B29" s="8"/>
      <c r="C29" s="47">
        <v>0</v>
      </c>
      <c r="D29" s="5"/>
      <c r="E29" s="8"/>
      <c r="F29" s="8"/>
      <c r="G29" s="22"/>
      <c r="H29" s="23"/>
      <c r="I29" s="24"/>
      <c r="J29" s="3"/>
      <c r="K29" s="13"/>
    </row>
    <row r="30" spans="1:11" ht="15.75" x14ac:dyDescent="0.25">
      <c r="A30" s="8">
        <v>2</v>
      </c>
      <c r="B30" s="8"/>
      <c r="C30" s="47">
        <v>0</v>
      </c>
      <c r="D30" s="5"/>
      <c r="E30" s="8"/>
      <c r="F30" s="8"/>
      <c r="G30" s="22"/>
      <c r="H30" s="23"/>
      <c r="I30" s="24"/>
      <c r="J30" s="3"/>
      <c r="K30" s="13"/>
    </row>
    <row r="31" spans="1:11" ht="15.75" x14ac:dyDescent="0.25">
      <c r="A31" s="8">
        <v>3</v>
      </c>
      <c r="B31" s="8"/>
      <c r="C31" s="47">
        <v>0</v>
      </c>
      <c r="D31" s="5"/>
      <c r="E31" s="8"/>
      <c r="F31" s="8"/>
      <c r="G31" s="22"/>
      <c r="H31" s="23"/>
      <c r="I31" s="24"/>
      <c r="J31" s="3"/>
      <c r="K31" s="13"/>
    </row>
    <row r="32" spans="1:11" ht="15.75" x14ac:dyDescent="0.25">
      <c r="A32" s="8">
        <v>4</v>
      </c>
      <c r="B32" s="8"/>
      <c r="C32" s="47">
        <v>0</v>
      </c>
      <c r="D32" s="5"/>
      <c r="E32" s="8"/>
      <c r="F32" s="8"/>
      <c r="G32" s="22"/>
      <c r="H32" s="23"/>
      <c r="I32" s="24"/>
      <c r="J32" s="3"/>
      <c r="K32" s="13"/>
    </row>
    <row r="33" spans="1:11" ht="15.75" x14ac:dyDescent="0.25">
      <c r="A33" s="8">
        <v>5</v>
      </c>
      <c r="B33" s="8"/>
      <c r="C33" s="47">
        <v>0</v>
      </c>
      <c r="D33" s="5"/>
      <c r="E33" s="8"/>
      <c r="F33" s="8"/>
      <c r="G33" s="22"/>
      <c r="H33" s="23"/>
      <c r="I33" s="24"/>
      <c r="J33" s="3"/>
      <c r="K33" s="13"/>
    </row>
    <row r="34" spans="1:11" ht="15.75" x14ac:dyDescent="0.25">
      <c r="A34" s="8">
        <v>6</v>
      </c>
      <c r="B34" s="8"/>
      <c r="C34" s="47">
        <v>0</v>
      </c>
      <c r="D34" s="5"/>
      <c r="E34" s="8"/>
      <c r="F34" s="8"/>
      <c r="G34" s="22"/>
      <c r="H34" s="23"/>
      <c r="I34" s="24"/>
      <c r="J34" s="3"/>
      <c r="K34" s="13"/>
    </row>
    <row r="35" spans="1:11" ht="18.75" x14ac:dyDescent="0.25">
      <c r="A35" s="8"/>
      <c r="B35" s="25" t="s">
        <v>27</v>
      </c>
      <c r="C35" s="52"/>
      <c r="D35" s="3"/>
      <c r="E35" s="8"/>
      <c r="F35" s="8"/>
      <c r="G35" s="8"/>
      <c r="H35" s="27">
        <v>0</v>
      </c>
      <c r="I35" s="24"/>
      <c r="J35" s="3"/>
      <c r="K35" s="28"/>
    </row>
    <row r="36" spans="1:11" x14ac:dyDescent="0.25">
      <c r="C36" s="29"/>
      <c r="H36" s="29"/>
    </row>
    <row r="37" spans="1:11" ht="16.5" x14ac:dyDescent="0.3">
      <c r="B37" s="30" t="s">
        <v>28</v>
      </c>
      <c r="C37" s="31">
        <v>0</v>
      </c>
      <c r="E37" s="32"/>
      <c r="F37" s="32"/>
      <c r="G37" s="116"/>
      <c r="H37" s="116"/>
    </row>
    <row r="38" spans="1:11" ht="16.5" x14ac:dyDescent="0.3">
      <c r="B38" s="33" t="s">
        <v>29</v>
      </c>
      <c r="C38" s="34">
        <v>0</v>
      </c>
      <c r="E38" s="35"/>
      <c r="F38" s="35"/>
      <c r="G38" s="36" t="s">
        <v>30</v>
      </c>
      <c r="H38" s="37"/>
    </row>
    <row r="39" spans="1:11" ht="24" x14ac:dyDescent="0.4">
      <c r="B39" s="38" t="s">
        <v>31</v>
      </c>
      <c r="C39" s="39">
        <v>0</v>
      </c>
      <c r="E39" s="40" t="s">
        <v>32</v>
      </c>
      <c r="F39" s="41"/>
      <c r="G39" s="42"/>
      <c r="H39" s="43"/>
      <c r="I39" s="42"/>
      <c r="J39" s="44"/>
    </row>
    <row r="40" spans="1:11" ht="18.75" x14ac:dyDescent="0.3">
      <c r="B40" s="45" t="s">
        <v>16</v>
      </c>
      <c r="C40" s="46">
        <f>SUM(C37:C39)</f>
        <v>0</v>
      </c>
      <c r="G40" s="36"/>
      <c r="H40" s="37"/>
      <c r="I40" s="36"/>
      <c r="J40" s="36"/>
    </row>
  </sheetData>
  <mergeCells count="6">
    <mergeCell ref="G37:H37"/>
    <mergeCell ref="A1:K1"/>
    <mergeCell ref="A2:K2"/>
    <mergeCell ref="A3:K3"/>
    <mergeCell ref="A12:K12"/>
    <mergeCell ref="A27:K27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D98A6-04C3-4957-9C16-4D3DF1D3AAA6}">
  <dimension ref="A1:K35"/>
  <sheetViews>
    <sheetView topLeftCell="A2" workbookViewId="0">
      <selection activeCell="B11" sqref="B11"/>
    </sheetView>
  </sheetViews>
  <sheetFormatPr defaultRowHeight="15" x14ac:dyDescent="0.25"/>
  <cols>
    <col min="1" max="1" width="4.42578125" bestFit="1" customWidth="1"/>
    <col min="2" max="2" width="24.7109375" customWidth="1"/>
    <col min="3" max="3" width="12.570312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9.140625" customWidth="1"/>
  </cols>
  <sheetData>
    <row r="1" spans="1:11" ht="48.75" x14ac:dyDescent="0.25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57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4">
        <v>35710</v>
      </c>
      <c r="D5" s="5">
        <v>46161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46160</v>
      </c>
      <c r="K5" s="8" t="s">
        <v>33</v>
      </c>
    </row>
    <row r="6" spans="1:11" ht="15.75" x14ac:dyDescent="0.25">
      <c r="A6" s="3">
        <v>2</v>
      </c>
      <c r="B6" s="3" t="s">
        <v>53</v>
      </c>
      <c r="C6" s="4">
        <v>10000</v>
      </c>
      <c r="D6" s="5">
        <v>46161</v>
      </c>
      <c r="E6" s="6">
        <v>0</v>
      </c>
      <c r="F6" s="3" t="s">
        <v>14</v>
      </c>
      <c r="G6" s="49">
        <v>2611</v>
      </c>
      <c r="H6" s="7">
        <v>0</v>
      </c>
      <c r="I6" s="3" t="s">
        <v>15</v>
      </c>
      <c r="J6" s="5">
        <f>+D6-1</f>
        <v>46160</v>
      </c>
      <c r="K6" s="8"/>
    </row>
    <row r="7" spans="1:11" ht="18.75" x14ac:dyDescent="0.3">
      <c r="A7" s="9"/>
      <c r="B7" s="10" t="s">
        <v>16</v>
      </c>
      <c r="C7" s="53">
        <f>SUM(C5:C5)</f>
        <v>35710</v>
      </c>
      <c r="D7" s="3"/>
      <c r="E7" s="12"/>
      <c r="F7" s="9"/>
      <c r="G7" s="13"/>
      <c r="H7" s="11">
        <f>SUM(H5:H5)</f>
        <v>0</v>
      </c>
      <c r="I7" s="9"/>
      <c r="J7" s="9"/>
      <c r="K7" s="9"/>
    </row>
    <row r="9" spans="1:11" ht="24" x14ac:dyDescent="0.4">
      <c r="A9" s="122" t="s">
        <v>17</v>
      </c>
      <c r="B9" s="123"/>
      <c r="C9" s="123"/>
      <c r="D9" s="123"/>
      <c r="E9" s="123"/>
      <c r="F9" s="123"/>
      <c r="G9" s="123"/>
      <c r="H9" s="123"/>
      <c r="I9" s="123"/>
      <c r="J9" s="123"/>
      <c r="K9" s="124"/>
    </row>
    <row r="10" spans="1:11" ht="15.75" x14ac:dyDescent="0.25">
      <c r="A10" s="3">
        <v>2</v>
      </c>
      <c r="B10" s="3" t="s">
        <v>83</v>
      </c>
      <c r="C10" s="4">
        <v>3000</v>
      </c>
      <c r="D10" s="5">
        <v>46161</v>
      </c>
      <c r="E10" s="14">
        <v>0</v>
      </c>
      <c r="F10" s="13" t="s">
        <v>18</v>
      </c>
      <c r="G10" s="15">
        <v>1428</v>
      </c>
      <c r="H10" s="16">
        <v>0</v>
      </c>
      <c r="I10" s="3" t="s">
        <v>19</v>
      </c>
      <c r="J10" s="5">
        <f t="shared" ref="J10:J22" si="0">+D10+1</f>
        <v>46162</v>
      </c>
      <c r="K10" s="13"/>
    </row>
    <row r="11" spans="1:11" ht="15.75" x14ac:dyDescent="0.25">
      <c r="A11" s="3">
        <v>3</v>
      </c>
      <c r="B11" s="3"/>
      <c r="C11" s="4">
        <v>0</v>
      </c>
      <c r="D11" s="5">
        <f t="shared" ref="D11:D22" si="1">+D10</f>
        <v>46161</v>
      </c>
      <c r="E11" s="14">
        <v>0</v>
      </c>
      <c r="F11" s="13" t="s">
        <v>18</v>
      </c>
      <c r="G11" s="15"/>
      <c r="H11" s="16">
        <v>0</v>
      </c>
      <c r="I11" s="3" t="s">
        <v>15</v>
      </c>
      <c r="J11" s="5">
        <f t="shared" si="0"/>
        <v>46162</v>
      </c>
      <c r="K11" s="13"/>
    </row>
    <row r="12" spans="1:11" ht="15.75" x14ac:dyDescent="0.25">
      <c r="A12" s="3">
        <v>4</v>
      </c>
      <c r="B12" s="3"/>
      <c r="C12" s="4">
        <v>0</v>
      </c>
      <c r="D12" s="5">
        <f t="shared" si="1"/>
        <v>46161</v>
      </c>
      <c r="E12" s="14">
        <v>0</v>
      </c>
      <c r="F12" s="13" t="s">
        <v>18</v>
      </c>
      <c r="G12" s="15"/>
      <c r="H12" s="16">
        <v>0</v>
      </c>
      <c r="I12" s="3" t="s">
        <v>15</v>
      </c>
      <c r="J12" s="5">
        <f t="shared" si="0"/>
        <v>46162</v>
      </c>
      <c r="K12" s="13"/>
    </row>
    <row r="13" spans="1:11" ht="15.75" x14ac:dyDescent="0.25">
      <c r="A13" s="3">
        <v>5</v>
      </c>
      <c r="B13" s="3"/>
      <c r="C13" s="4">
        <v>0</v>
      </c>
      <c r="D13" s="5">
        <f t="shared" si="1"/>
        <v>46161</v>
      </c>
      <c r="E13" s="14">
        <v>0</v>
      </c>
      <c r="F13" s="13" t="s">
        <v>18</v>
      </c>
      <c r="G13" s="15"/>
      <c r="H13" s="16">
        <v>0</v>
      </c>
      <c r="I13" s="3" t="s">
        <v>15</v>
      </c>
      <c r="J13" s="5">
        <f t="shared" si="0"/>
        <v>46162</v>
      </c>
      <c r="K13" s="13"/>
    </row>
    <row r="14" spans="1:11" ht="15.75" x14ac:dyDescent="0.25">
      <c r="A14" s="3">
        <v>6</v>
      </c>
      <c r="B14" s="3"/>
      <c r="C14" s="4">
        <v>0</v>
      </c>
      <c r="D14" s="5">
        <f t="shared" si="1"/>
        <v>46161</v>
      </c>
      <c r="E14" s="14">
        <v>0</v>
      </c>
      <c r="F14" s="13" t="s">
        <v>18</v>
      </c>
      <c r="G14" s="15"/>
      <c r="H14" s="16">
        <v>0</v>
      </c>
      <c r="I14" s="3" t="s">
        <v>15</v>
      </c>
      <c r="J14" s="5">
        <f t="shared" si="0"/>
        <v>46162</v>
      </c>
      <c r="K14" s="13"/>
    </row>
    <row r="15" spans="1:11" ht="15.75" x14ac:dyDescent="0.25">
      <c r="A15" s="3">
        <v>7</v>
      </c>
      <c r="B15" s="3"/>
      <c r="C15" s="4">
        <v>0</v>
      </c>
      <c r="D15" s="5">
        <f t="shared" si="1"/>
        <v>46161</v>
      </c>
      <c r="E15" s="14">
        <v>0</v>
      </c>
      <c r="F15" s="13" t="s">
        <v>18</v>
      </c>
      <c r="G15" s="15"/>
      <c r="H15" s="16">
        <v>0</v>
      </c>
      <c r="I15" s="3" t="s">
        <v>15</v>
      </c>
      <c r="J15" s="5">
        <f t="shared" si="0"/>
        <v>46162</v>
      </c>
      <c r="K15" s="13"/>
    </row>
    <row r="16" spans="1:11" ht="15.75" x14ac:dyDescent="0.25">
      <c r="A16" s="3">
        <v>8</v>
      </c>
      <c r="B16" s="3"/>
      <c r="C16" s="4">
        <v>0</v>
      </c>
      <c r="D16" s="5">
        <f t="shared" si="1"/>
        <v>46161</v>
      </c>
      <c r="E16" s="14">
        <v>0</v>
      </c>
      <c r="F16" s="13" t="s">
        <v>18</v>
      </c>
      <c r="G16" s="15"/>
      <c r="H16" s="16">
        <v>0</v>
      </c>
      <c r="I16" s="3" t="s">
        <v>15</v>
      </c>
      <c r="J16" s="5">
        <f t="shared" si="0"/>
        <v>46162</v>
      </c>
      <c r="K16" s="13"/>
    </row>
    <row r="17" spans="1:11" ht="15.75" x14ac:dyDescent="0.25">
      <c r="A17" s="3">
        <v>9</v>
      </c>
      <c r="B17" s="3"/>
      <c r="C17" s="4">
        <v>0</v>
      </c>
      <c r="D17" s="5">
        <f t="shared" si="1"/>
        <v>46161</v>
      </c>
      <c r="E17" s="14">
        <v>0</v>
      </c>
      <c r="F17" s="13" t="s">
        <v>18</v>
      </c>
      <c r="G17" s="15"/>
      <c r="H17" s="16">
        <v>0</v>
      </c>
      <c r="I17" s="3" t="s">
        <v>15</v>
      </c>
      <c r="J17" s="5">
        <f t="shared" si="0"/>
        <v>46162</v>
      </c>
      <c r="K17" s="13"/>
    </row>
    <row r="18" spans="1:11" ht="15.75" x14ac:dyDescent="0.25">
      <c r="A18" s="3">
        <v>10</v>
      </c>
      <c r="B18" s="3"/>
      <c r="C18" s="4">
        <v>0</v>
      </c>
      <c r="D18" s="5">
        <f t="shared" si="1"/>
        <v>46161</v>
      </c>
      <c r="E18" s="14">
        <v>0</v>
      </c>
      <c r="F18" s="13" t="s">
        <v>18</v>
      </c>
      <c r="G18" s="15"/>
      <c r="H18" s="16">
        <v>0</v>
      </c>
      <c r="I18" s="3" t="s">
        <v>15</v>
      </c>
      <c r="J18" s="5">
        <f t="shared" si="0"/>
        <v>46162</v>
      </c>
      <c r="K18" s="13"/>
    </row>
    <row r="19" spans="1:11" ht="15.75" x14ac:dyDescent="0.25">
      <c r="A19" s="3">
        <v>11</v>
      </c>
      <c r="B19" s="3"/>
      <c r="C19" s="4">
        <v>0</v>
      </c>
      <c r="D19" s="5">
        <f t="shared" si="1"/>
        <v>46161</v>
      </c>
      <c r="E19" s="14">
        <v>0</v>
      </c>
      <c r="F19" s="13" t="s">
        <v>18</v>
      </c>
      <c r="G19" s="15"/>
      <c r="H19" s="16">
        <v>0</v>
      </c>
      <c r="I19" s="3" t="s">
        <v>15</v>
      </c>
      <c r="J19" s="5">
        <f t="shared" si="0"/>
        <v>46162</v>
      </c>
      <c r="K19" s="13"/>
    </row>
    <row r="20" spans="1:11" ht="15.75" x14ac:dyDescent="0.25">
      <c r="A20" s="3">
        <v>12</v>
      </c>
      <c r="B20" s="3"/>
      <c r="C20" s="4">
        <v>0</v>
      </c>
      <c r="D20" s="5">
        <f t="shared" si="1"/>
        <v>46161</v>
      </c>
      <c r="E20" s="14">
        <v>0</v>
      </c>
      <c r="F20" s="13" t="s">
        <v>18</v>
      </c>
      <c r="G20" s="15"/>
      <c r="H20" s="16">
        <v>0</v>
      </c>
      <c r="I20" s="3" t="s">
        <v>15</v>
      </c>
      <c r="J20" s="5">
        <f t="shared" si="0"/>
        <v>46162</v>
      </c>
      <c r="K20" s="13"/>
    </row>
    <row r="21" spans="1:11" ht="15.75" x14ac:dyDescent="0.25">
      <c r="A21" s="3">
        <v>13</v>
      </c>
      <c r="B21" s="3"/>
      <c r="C21" s="4">
        <v>0</v>
      </c>
      <c r="D21" s="5">
        <f t="shared" si="1"/>
        <v>46161</v>
      </c>
      <c r="E21" s="14">
        <v>0</v>
      </c>
      <c r="F21" s="13" t="s">
        <v>18</v>
      </c>
      <c r="G21" s="15"/>
      <c r="H21" s="16">
        <v>0</v>
      </c>
      <c r="I21" s="3" t="s">
        <v>15</v>
      </c>
      <c r="J21" s="5">
        <f t="shared" si="0"/>
        <v>46162</v>
      </c>
      <c r="K21" s="13"/>
    </row>
    <row r="22" spans="1:11" ht="15.75" x14ac:dyDescent="0.25">
      <c r="A22" s="3">
        <v>14</v>
      </c>
      <c r="B22" s="3"/>
      <c r="C22" s="4">
        <v>0</v>
      </c>
      <c r="D22" s="5">
        <f t="shared" si="1"/>
        <v>46161</v>
      </c>
      <c r="E22" s="14">
        <v>0</v>
      </c>
      <c r="F22" s="13" t="s">
        <v>18</v>
      </c>
      <c r="G22" s="15"/>
      <c r="H22" s="16">
        <v>0</v>
      </c>
      <c r="I22" s="3" t="s">
        <v>15</v>
      </c>
      <c r="J22" s="5">
        <f t="shared" si="0"/>
        <v>46162</v>
      </c>
      <c r="K22" s="13"/>
    </row>
    <row r="23" spans="1:11" ht="18.75" x14ac:dyDescent="0.3">
      <c r="A23" s="3"/>
      <c r="B23" s="17" t="s">
        <v>16</v>
      </c>
      <c r="C23" s="54">
        <f>SUM(C10:C22)</f>
        <v>3000</v>
      </c>
      <c r="D23" s="3"/>
      <c r="E23" s="3"/>
      <c r="F23" s="13"/>
      <c r="G23" s="13"/>
      <c r="H23" s="11"/>
      <c r="I23" s="3"/>
      <c r="J23" s="3"/>
      <c r="K23" s="3"/>
    </row>
    <row r="24" spans="1:11" ht="24.75" x14ac:dyDescent="0.5">
      <c r="A24" s="125" t="s">
        <v>20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7"/>
    </row>
    <row r="25" spans="1:11" ht="18.75" x14ac:dyDescent="0.3">
      <c r="A25" s="19" t="s">
        <v>3</v>
      </c>
      <c r="B25" s="19" t="s">
        <v>21</v>
      </c>
      <c r="C25" s="50" t="s">
        <v>5</v>
      </c>
      <c r="D25" s="1" t="s">
        <v>22</v>
      </c>
      <c r="E25" s="19" t="s">
        <v>7</v>
      </c>
      <c r="F25" s="19" t="s">
        <v>8</v>
      </c>
      <c r="G25" s="19" t="s">
        <v>23</v>
      </c>
      <c r="H25" s="20" t="s">
        <v>24</v>
      </c>
      <c r="I25" s="19" t="s">
        <v>11</v>
      </c>
      <c r="J25" s="19" t="s">
        <v>25</v>
      </c>
      <c r="K25" s="21" t="s">
        <v>26</v>
      </c>
    </row>
    <row r="26" spans="1:11" ht="15.75" x14ac:dyDescent="0.25">
      <c r="A26" s="8">
        <v>1</v>
      </c>
      <c r="B26" s="8" t="s">
        <v>53</v>
      </c>
      <c r="C26" s="47">
        <v>10000</v>
      </c>
      <c r="D26" s="5">
        <v>46161</v>
      </c>
      <c r="E26" s="8"/>
      <c r="F26" s="8"/>
      <c r="G26" s="22">
        <v>7843</v>
      </c>
      <c r="H26" s="23"/>
      <c r="I26" s="24"/>
      <c r="J26" s="3"/>
      <c r="K26" s="13"/>
    </row>
    <row r="27" spans="1:11" ht="15.75" x14ac:dyDescent="0.25">
      <c r="A27" s="8">
        <v>2</v>
      </c>
      <c r="B27" s="8" t="s">
        <v>37</v>
      </c>
      <c r="C27" s="47">
        <v>10000</v>
      </c>
      <c r="D27" s="5">
        <v>46161</v>
      </c>
      <c r="E27" s="8"/>
      <c r="F27" s="8"/>
      <c r="G27" s="22">
        <v>9864</v>
      </c>
      <c r="H27" s="23"/>
      <c r="I27" s="24"/>
      <c r="J27" s="3"/>
      <c r="K27" s="13"/>
    </row>
    <row r="28" spans="1:11" ht="15.75" x14ac:dyDescent="0.25">
      <c r="A28" s="8">
        <v>3</v>
      </c>
      <c r="B28" s="8" t="s">
        <v>37</v>
      </c>
      <c r="C28" s="47">
        <v>30000</v>
      </c>
      <c r="D28" s="5">
        <v>46161</v>
      </c>
      <c r="E28" s="8"/>
      <c r="F28" s="8"/>
      <c r="G28" s="22">
        <v>7940</v>
      </c>
      <c r="H28" s="23"/>
      <c r="I28" s="24"/>
      <c r="J28" s="3"/>
      <c r="K28" s="13"/>
    </row>
    <row r="29" spans="1:11" ht="15.75" x14ac:dyDescent="0.25">
      <c r="A29" s="8">
        <v>4</v>
      </c>
      <c r="B29" s="8" t="s">
        <v>58</v>
      </c>
      <c r="C29" s="47">
        <v>2700</v>
      </c>
      <c r="D29" s="5">
        <v>46161</v>
      </c>
      <c r="E29" s="8"/>
      <c r="F29" s="8"/>
      <c r="G29" s="22">
        <v>8058</v>
      </c>
      <c r="H29" s="23"/>
      <c r="I29" s="24"/>
      <c r="J29" s="3"/>
      <c r="K29" s="13"/>
    </row>
    <row r="30" spans="1:11" ht="18.75" x14ac:dyDescent="0.25">
      <c r="A30" s="8"/>
      <c r="B30" s="25" t="s">
        <v>27</v>
      </c>
      <c r="C30" s="52"/>
      <c r="D30" s="3"/>
      <c r="E30" s="8"/>
      <c r="F30" s="8"/>
      <c r="G30" s="8"/>
      <c r="H30" s="27">
        <v>0</v>
      </c>
      <c r="I30" s="24"/>
      <c r="J30" s="3"/>
      <c r="K30" s="28"/>
    </row>
    <row r="31" spans="1:11" x14ac:dyDescent="0.25">
      <c r="C31" s="29"/>
      <c r="H31" s="29"/>
    </row>
    <row r="32" spans="1:11" ht="16.5" x14ac:dyDescent="0.3">
      <c r="B32" s="30" t="s">
        <v>28</v>
      </c>
      <c r="C32" s="31">
        <v>0</v>
      </c>
      <c r="E32" s="32"/>
      <c r="F32" s="32"/>
      <c r="G32" s="116"/>
      <c r="H32" s="116"/>
    </row>
    <row r="33" spans="2:10" ht="16.5" x14ac:dyDescent="0.3">
      <c r="B33" s="33" t="s">
        <v>29</v>
      </c>
      <c r="C33" s="34">
        <v>0</v>
      </c>
      <c r="E33" s="35"/>
      <c r="F33" s="35"/>
      <c r="G33" s="36" t="s">
        <v>30</v>
      </c>
      <c r="H33" s="37"/>
    </row>
    <row r="34" spans="2:10" ht="24" x14ac:dyDescent="0.4">
      <c r="B34" s="38" t="s">
        <v>31</v>
      </c>
      <c r="C34" s="39">
        <v>0</v>
      </c>
      <c r="E34" s="40" t="s">
        <v>32</v>
      </c>
      <c r="F34" s="41"/>
      <c r="G34" s="42"/>
      <c r="H34" s="43"/>
      <c r="I34" s="42"/>
      <c r="J34" s="44"/>
    </row>
    <row r="35" spans="2:10" ht="18.75" x14ac:dyDescent="0.3">
      <c r="B35" s="45" t="s">
        <v>16</v>
      </c>
      <c r="C35" s="46">
        <f>SUM(C32:C34)</f>
        <v>0</v>
      </c>
      <c r="G35" s="36"/>
      <c r="H35" s="37"/>
      <c r="I35" s="36"/>
      <c r="J35" s="36"/>
    </row>
  </sheetData>
  <mergeCells count="6">
    <mergeCell ref="G32:H32"/>
    <mergeCell ref="A1:K1"/>
    <mergeCell ref="A2:K2"/>
    <mergeCell ref="A3:K3"/>
    <mergeCell ref="A9:K9"/>
    <mergeCell ref="A24:K24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8647C-31AA-4079-8FBB-0E6B57D68B62}">
  <dimension ref="A1:K40"/>
  <sheetViews>
    <sheetView workbookViewId="0">
      <selection activeCell="D14" sqref="D14"/>
    </sheetView>
  </sheetViews>
  <sheetFormatPr defaultRowHeight="15" x14ac:dyDescent="0.25"/>
  <cols>
    <col min="1" max="1" width="4.42578125" bestFit="1" customWidth="1"/>
    <col min="2" max="2" width="16.7109375" bestFit="1" customWidth="1"/>
    <col min="3" max="3" width="11.8554687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3.5703125" customWidth="1"/>
  </cols>
  <sheetData>
    <row r="1" spans="1:11" ht="48.75" x14ac:dyDescent="0.25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59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4">
        <v>3000</v>
      </c>
      <c r="D5" s="5">
        <v>46162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46161</v>
      </c>
      <c r="K5" s="8" t="s">
        <v>33</v>
      </c>
    </row>
    <row r="6" spans="1:11" ht="15.75" x14ac:dyDescent="0.25">
      <c r="A6" s="3">
        <v>2</v>
      </c>
      <c r="B6" s="3"/>
      <c r="C6" s="4">
        <v>0</v>
      </c>
      <c r="D6" s="5"/>
      <c r="E6" s="6"/>
      <c r="F6" s="3"/>
      <c r="G6" s="49"/>
      <c r="H6" s="7"/>
      <c r="I6" s="3"/>
      <c r="J6" s="5"/>
      <c r="K6" s="8"/>
    </row>
    <row r="7" spans="1:11" ht="15.75" x14ac:dyDescent="0.25">
      <c r="A7" s="3">
        <v>3</v>
      </c>
      <c r="B7" s="3"/>
      <c r="C7" s="4">
        <v>0</v>
      </c>
      <c r="D7" s="5"/>
      <c r="E7" s="6"/>
      <c r="F7" s="3"/>
      <c r="G7" s="49"/>
      <c r="H7" s="7"/>
      <c r="I7" s="3"/>
      <c r="J7" s="5"/>
      <c r="K7" s="8"/>
    </row>
    <row r="8" spans="1:11" ht="15.75" x14ac:dyDescent="0.25">
      <c r="A8" s="3">
        <v>4</v>
      </c>
      <c r="B8" s="3"/>
      <c r="C8" s="4">
        <v>0</v>
      </c>
      <c r="D8" s="5"/>
      <c r="E8" s="6"/>
      <c r="F8" s="3"/>
      <c r="G8" s="49"/>
      <c r="H8" s="7"/>
      <c r="I8" s="3"/>
      <c r="J8" s="5"/>
      <c r="K8" s="8"/>
    </row>
    <row r="9" spans="1:11" ht="15.75" x14ac:dyDescent="0.25">
      <c r="A9" s="3">
        <v>5</v>
      </c>
      <c r="B9" s="3"/>
      <c r="C9" s="4">
        <v>0</v>
      </c>
      <c r="D9" s="5"/>
      <c r="E9" s="6"/>
      <c r="F9" s="3"/>
      <c r="G9" s="49"/>
      <c r="H9" s="7"/>
      <c r="I9" s="3"/>
      <c r="J9" s="5"/>
      <c r="K9" s="8"/>
    </row>
    <row r="10" spans="1:11" ht="18.75" x14ac:dyDescent="0.3">
      <c r="A10" s="9"/>
      <c r="B10" s="10" t="s">
        <v>16</v>
      </c>
      <c r="C10" s="53">
        <f>SUM(C5:C5)</f>
        <v>3000</v>
      </c>
      <c r="D10" s="3"/>
      <c r="E10" s="12"/>
      <c r="F10" s="9"/>
      <c r="G10" s="13"/>
      <c r="H10" s="11">
        <f>SUM(H5:H5)</f>
        <v>0</v>
      </c>
      <c r="I10" s="9"/>
      <c r="J10" s="9"/>
      <c r="K10" s="9"/>
    </row>
    <row r="12" spans="1:11" ht="24" x14ac:dyDescent="0.4">
      <c r="A12" s="122" t="s">
        <v>17</v>
      </c>
      <c r="B12" s="123"/>
      <c r="C12" s="123"/>
      <c r="D12" s="123"/>
      <c r="E12" s="123"/>
      <c r="F12" s="123"/>
      <c r="G12" s="123"/>
      <c r="H12" s="123"/>
      <c r="I12" s="123"/>
      <c r="J12" s="123"/>
      <c r="K12" s="124"/>
    </row>
    <row r="13" spans="1:11" ht="15.75" x14ac:dyDescent="0.25">
      <c r="A13" s="3">
        <v>2</v>
      </c>
      <c r="B13" s="3" t="s">
        <v>84</v>
      </c>
      <c r="C13" s="4">
        <v>735</v>
      </c>
      <c r="D13" s="5">
        <v>46162</v>
      </c>
      <c r="E13" s="14">
        <v>0</v>
      </c>
      <c r="F13" s="13" t="s">
        <v>18</v>
      </c>
      <c r="G13" s="15">
        <v>2467</v>
      </c>
      <c r="H13" s="16">
        <v>0</v>
      </c>
      <c r="I13" s="3" t="s">
        <v>19</v>
      </c>
      <c r="J13" s="5">
        <f t="shared" ref="J13:J25" si="0">+D13+1</f>
        <v>46163</v>
      </c>
      <c r="K13" s="13"/>
    </row>
    <row r="14" spans="1:11" ht="15.75" x14ac:dyDescent="0.25">
      <c r="A14" s="3">
        <v>3</v>
      </c>
      <c r="B14" s="3"/>
      <c r="C14" s="4">
        <v>0</v>
      </c>
      <c r="D14" s="5">
        <f t="shared" ref="D14:D25" si="1">+D13</f>
        <v>46162</v>
      </c>
      <c r="E14" s="14">
        <v>0</v>
      </c>
      <c r="F14" s="13" t="s">
        <v>18</v>
      </c>
      <c r="G14" s="15"/>
      <c r="H14" s="16">
        <v>0</v>
      </c>
      <c r="I14" s="3" t="s">
        <v>15</v>
      </c>
      <c r="J14" s="5">
        <f t="shared" si="0"/>
        <v>46163</v>
      </c>
      <c r="K14" s="13"/>
    </row>
    <row r="15" spans="1:11" ht="15.75" x14ac:dyDescent="0.25">
      <c r="A15" s="3">
        <v>4</v>
      </c>
      <c r="B15" s="3"/>
      <c r="C15" s="4">
        <v>0</v>
      </c>
      <c r="D15" s="5">
        <f t="shared" si="1"/>
        <v>46162</v>
      </c>
      <c r="E15" s="14">
        <v>0</v>
      </c>
      <c r="F15" s="13" t="s">
        <v>18</v>
      </c>
      <c r="G15" s="15"/>
      <c r="H15" s="16">
        <v>0</v>
      </c>
      <c r="I15" s="3" t="s">
        <v>15</v>
      </c>
      <c r="J15" s="5">
        <f t="shared" si="0"/>
        <v>46163</v>
      </c>
      <c r="K15" s="13"/>
    </row>
    <row r="16" spans="1:11" ht="15.75" x14ac:dyDescent="0.25">
      <c r="A16" s="3">
        <v>5</v>
      </c>
      <c r="B16" s="3"/>
      <c r="C16" s="4">
        <v>0</v>
      </c>
      <c r="D16" s="5">
        <f t="shared" si="1"/>
        <v>46162</v>
      </c>
      <c r="E16" s="14">
        <v>0</v>
      </c>
      <c r="F16" s="13" t="s">
        <v>18</v>
      </c>
      <c r="G16" s="15"/>
      <c r="H16" s="16">
        <v>0</v>
      </c>
      <c r="I16" s="3" t="s">
        <v>15</v>
      </c>
      <c r="J16" s="5">
        <f t="shared" si="0"/>
        <v>46163</v>
      </c>
      <c r="K16" s="13"/>
    </row>
    <row r="17" spans="1:11" ht="15.75" x14ac:dyDescent="0.25">
      <c r="A17" s="3">
        <v>6</v>
      </c>
      <c r="B17" s="3"/>
      <c r="C17" s="4">
        <v>0</v>
      </c>
      <c r="D17" s="5">
        <f t="shared" si="1"/>
        <v>46162</v>
      </c>
      <c r="E17" s="14">
        <v>0</v>
      </c>
      <c r="F17" s="13" t="s">
        <v>18</v>
      </c>
      <c r="G17" s="15"/>
      <c r="H17" s="16">
        <v>0</v>
      </c>
      <c r="I17" s="3" t="s">
        <v>15</v>
      </c>
      <c r="J17" s="5">
        <f t="shared" si="0"/>
        <v>46163</v>
      </c>
      <c r="K17" s="13"/>
    </row>
    <row r="18" spans="1:11" ht="15.75" x14ac:dyDescent="0.25">
      <c r="A18" s="3">
        <v>7</v>
      </c>
      <c r="B18" s="3"/>
      <c r="C18" s="4">
        <v>0</v>
      </c>
      <c r="D18" s="5">
        <f t="shared" si="1"/>
        <v>46162</v>
      </c>
      <c r="E18" s="14">
        <v>0</v>
      </c>
      <c r="F18" s="13" t="s">
        <v>18</v>
      </c>
      <c r="G18" s="15"/>
      <c r="H18" s="16">
        <v>0</v>
      </c>
      <c r="I18" s="3" t="s">
        <v>15</v>
      </c>
      <c r="J18" s="5">
        <f t="shared" si="0"/>
        <v>46163</v>
      </c>
      <c r="K18" s="13"/>
    </row>
    <row r="19" spans="1:11" ht="15.75" x14ac:dyDescent="0.25">
      <c r="A19" s="3">
        <v>8</v>
      </c>
      <c r="B19" s="3"/>
      <c r="C19" s="4">
        <v>0</v>
      </c>
      <c r="D19" s="5">
        <f t="shared" si="1"/>
        <v>46162</v>
      </c>
      <c r="E19" s="14">
        <v>0</v>
      </c>
      <c r="F19" s="13" t="s">
        <v>18</v>
      </c>
      <c r="G19" s="15"/>
      <c r="H19" s="16">
        <v>0</v>
      </c>
      <c r="I19" s="3" t="s">
        <v>15</v>
      </c>
      <c r="J19" s="5">
        <f t="shared" si="0"/>
        <v>46163</v>
      </c>
      <c r="K19" s="13"/>
    </row>
    <row r="20" spans="1:11" ht="15.75" x14ac:dyDescent="0.25">
      <c r="A20" s="3">
        <v>9</v>
      </c>
      <c r="B20" s="3"/>
      <c r="C20" s="4">
        <v>0</v>
      </c>
      <c r="D20" s="5">
        <f t="shared" si="1"/>
        <v>46162</v>
      </c>
      <c r="E20" s="14">
        <v>0</v>
      </c>
      <c r="F20" s="13" t="s">
        <v>18</v>
      </c>
      <c r="G20" s="15"/>
      <c r="H20" s="16">
        <v>0</v>
      </c>
      <c r="I20" s="3" t="s">
        <v>15</v>
      </c>
      <c r="J20" s="5">
        <f t="shared" si="0"/>
        <v>46163</v>
      </c>
      <c r="K20" s="13"/>
    </row>
    <row r="21" spans="1:11" ht="15.75" x14ac:dyDescent="0.25">
      <c r="A21" s="3">
        <v>10</v>
      </c>
      <c r="B21" s="3"/>
      <c r="C21" s="4">
        <v>0</v>
      </c>
      <c r="D21" s="5">
        <f t="shared" si="1"/>
        <v>46162</v>
      </c>
      <c r="E21" s="14">
        <v>0</v>
      </c>
      <c r="F21" s="13" t="s">
        <v>18</v>
      </c>
      <c r="G21" s="15"/>
      <c r="H21" s="16">
        <v>0</v>
      </c>
      <c r="I21" s="3" t="s">
        <v>15</v>
      </c>
      <c r="J21" s="5">
        <f t="shared" si="0"/>
        <v>46163</v>
      </c>
      <c r="K21" s="13"/>
    </row>
    <row r="22" spans="1:11" ht="15.75" x14ac:dyDescent="0.25">
      <c r="A22" s="3">
        <v>11</v>
      </c>
      <c r="B22" s="3"/>
      <c r="C22" s="4">
        <v>0</v>
      </c>
      <c r="D22" s="5">
        <f t="shared" si="1"/>
        <v>46162</v>
      </c>
      <c r="E22" s="14">
        <v>0</v>
      </c>
      <c r="F22" s="13" t="s">
        <v>18</v>
      </c>
      <c r="G22" s="15"/>
      <c r="H22" s="16">
        <v>0</v>
      </c>
      <c r="I22" s="3" t="s">
        <v>15</v>
      </c>
      <c r="J22" s="5">
        <f t="shared" si="0"/>
        <v>46163</v>
      </c>
      <c r="K22" s="13"/>
    </row>
    <row r="23" spans="1:11" ht="15.75" x14ac:dyDescent="0.25">
      <c r="A23" s="3">
        <v>12</v>
      </c>
      <c r="B23" s="3"/>
      <c r="C23" s="4">
        <v>0</v>
      </c>
      <c r="D23" s="5">
        <f t="shared" si="1"/>
        <v>46162</v>
      </c>
      <c r="E23" s="14">
        <v>0</v>
      </c>
      <c r="F23" s="13" t="s">
        <v>18</v>
      </c>
      <c r="G23" s="15"/>
      <c r="H23" s="16">
        <v>0</v>
      </c>
      <c r="I23" s="3" t="s">
        <v>15</v>
      </c>
      <c r="J23" s="5">
        <f t="shared" si="0"/>
        <v>46163</v>
      </c>
      <c r="K23" s="13"/>
    </row>
    <row r="24" spans="1:11" ht="15.75" x14ac:dyDescent="0.25">
      <c r="A24" s="3">
        <v>13</v>
      </c>
      <c r="B24" s="3"/>
      <c r="C24" s="4">
        <v>0</v>
      </c>
      <c r="D24" s="5">
        <f t="shared" si="1"/>
        <v>46162</v>
      </c>
      <c r="E24" s="14">
        <v>0</v>
      </c>
      <c r="F24" s="13" t="s">
        <v>18</v>
      </c>
      <c r="G24" s="15"/>
      <c r="H24" s="16">
        <v>0</v>
      </c>
      <c r="I24" s="3" t="s">
        <v>15</v>
      </c>
      <c r="J24" s="5">
        <f t="shared" si="0"/>
        <v>46163</v>
      </c>
      <c r="K24" s="13"/>
    </row>
    <row r="25" spans="1:11" ht="15.75" x14ac:dyDescent="0.25">
      <c r="A25" s="3">
        <v>14</v>
      </c>
      <c r="B25" s="3"/>
      <c r="C25" s="4">
        <v>0</v>
      </c>
      <c r="D25" s="5">
        <f t="shared" si="1"/>
        <v>46162</v>
      </c>
      <c r="E25" s="14">
        <v>0</v>
      </c>
      <c r="F25" s="13" t="s">
        <v>18</v>
      </c>
      <c r="G25" s="15"/>
      <c r="H25" s="16">
        <v>0</v>
      </c>
      <c r="I25" s="3" t="s">
        <v>15</v>
      </c>
      <c r="J25" s="5">
        <f t="shared" si="0"/>
        <v>46163</v>
      </c>
      <c r="K25" s="13"/>
    </row>
    <row r="26" spans="1:11" ht="18.75" x14ac:dyDescent="0.3">
      <c r="A26" s="3"/>
      <c r="B26" s="17" t="s">
        <v>16</v>
      </c>
      <c r="C26" s="54">
        <f>SUM(C13:C25)</f>
        <v>735</v>
      </c>
      <c r="D26" s="3"/>
      <c r="E26" s="3"/>
      <c r="F26" s="13"/>
      <c r="G26" s="13"/>
      <c r="H26" s="11"/>
      <c r="I26" s="3"/>
      <c r="J26" s="3"/>
      <c r="K26" s="3"/>
    </row>
    <row r="27" spans="1:11" ht="24.75" x14ac:dyDescent="0.5">
      <c r="A27" s="125" t="s">
        <v>20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7"/>
    </row>
    <row r="28" spans="1:11" ht="18.75" x14ac:dyDescent="0.3">
      <c r="A28" s="19" t="s">
        <v>3</v>
      </c>
      <c r="B28" s="19" t="s">
        <v>21</v>
      </c>
      <c r="C28" s="50" t="s">
        <v>5</v>
      </c>
      <c r="D28" s="1" t="s">
        <v>22</v>
      </c>
      <c r="E28" s="19" t="s">
        <v>7</v>
      </c>
      <c r="F28" s="19" t="s">
        <v>8</v>
      </c>
      <c r="G28" s="19" t="s">
        <v>23</v>
      </c>
      <c r="H28" s="20" t="s">
        <v>24</v>
      </c>
      <c r="I28" s="19" t="s">
        <v>11</v>
      </c>
      <c r="J28" s="19" t="s">
        <v>25</v>
      </c>
      <c r="K28" s="21" t="s">
        <v>26</v>
      </c>
    </row>
    <row r="29" spans="1:11" ht="15.75" x14ac:dyDescent="0.25">
      <c r="A29" s="8">
        <v>1</v>
      </c>
      <c r="B29" s="8"/>
      <c r="C29" s="47">
        <v>0</v>
      </c>
      <c r="D29" s="5"/>
      <c r="E29" s="8"/>
      <c r="F29" s="8"/>
      <c r="G29" s="22"/>
      <c r="H29" s="23"/>
      <c r="I29" s="24"/>
      <c r="J29" s="3"/>
      <c r="K29" s="13"/>
    </row>
    <row r="30" spans="1:11" ht="15.75" x14ac:dyDescent="0.25">
      <c r="A30" s="8">
        <v>2</v>
      </c>
      <c r="B30" s="8"/>
      <c r="C30" s="47">
        <v>0</v>
      </c>
      <c r="D30" s="5"/>
      <c r="E30" s="8"/>
      <c r="F30" s="8"/>
      <c r="G30" s="22"/>
      <c r="H30" s="23"/>
      <c r="I30" s="24"/>
      <c r="J30" s="3"/>
      <c r="K30" s="13"/>
    </row>
    <row r="31" spans="1:11" ht="15.75" x14ac:dyDescent="0.25">
      <c r="A31" s="8">
        <v>3</v>
      </c>
      <c r="B31" s="8"/>
      <c r="C31" s="47">
        <v>0</v>
      </c>
      <c r="D31" s="5"/>
      <c r="E31" s="8"/>
      <c r="F31" s="8"/>
      <c r="G31" s="22"/>
      <c r="H31" s="23"/>
      <c r="I31" s="24"/>
      <c r="J31" s="3"/>
      <c r="K31" s="13"/>
    </row>
    <row r="32" spans="1:11" ht="15.75" x14ac:dyDescent="0.25">
      <c r="A32" s="8">
        <v>4</v>
      </c>
      <c r="B32" s="8"/>
      <c r="C32" s="47">
        <v>0</v>
      </c>
      <c r="D32" s="5"/>
      <c r="E32" s="8"/>
      <c r="F32" s="8"/>
      <c r="G32" s="22"/>
      <c r="H32" s="23"/>
      <c r="I32" s="24"/>
      <c r="J32" s="3"/>
      <c r="K32" s="13"/>
    </row>
    <row r="33" spans="1:11" ht="15.75" x14ac:dyDescent="0.25">
      <c r="A33" s="8">
        <v>5</v>
      </c>
      <c r="B33" s="8"/>
      <c r="C33" s="47">
        <v>0</v>
      </c>
      <c r="D33" s="5"/>
      <c r="E33" s="8"/>
      <c r="F33" s="8"/>
      <c r="G33" s="22"/>
      <c r="H33" s="23"/>
      <c r="I33" s="24"/>
      <c r="J33" s="3"/>
      <c r="K33" s="13"/>
    </row>
    <row r="34" spans="1:11" ht="15.75" x14ac:dyDescent="0.25">
      <c r="A34" s="8">
        <v>6</v>
      </c>
      <c r="B34" s="8"/>
      <c r="C34" s="47">
        <v>0</v>
      </c>
      <c r="D34" s="5"/>
      <c r="E34" s="8"/>
      <c r="F34" s="8"/>
      <c r="G34" s="22"/>
      <c r="H34" s="23"/>
      <c r="I34" s="24"/>
      <c r="J34" s="3"/>
      <c r="K34" s="13"/>
    </row>
    <row r="35" spans="1:11" ht="18.75" x14ac:dyDescent="0.25">
      <c r="A35" s="8"/>
      <c r="B35" s="25" t="s">
        <v>27</v>
      </c>
      <c r="C35" s="52"/>
      <c r="D35" s="3"/>
      <c r="E35" s="8"/>
      <c r="F35" s="8"/>
      <c r="G35" s="8"/>
      <c r="H35" s="27">
        <v>0</v>
      </c>
      <c r="I35" s="24"/>
      <c r="J35" s="3"/>
      <c r="K35" s="28"/>
    </row>
    <row r="36" spans="1:11" x14ac:dyDescent="0.25">
      <c r="C36" s="29"/>
      <c r="H36" s="29"/>
    </row>
    <row r="37" spans="1:11" ht="16.5" x14ac:dyDescent="0.3">
      <c r="B37" s="30" t="s">
        <v>28</v>
      </c>
      <c r="C37" s="31">
        <v>0</v>
      </c>
      <c r="E37" s="32"/>
      <c r="F37" s="32"/>
      <c r="G37" s="116"/>
      <c r="H37" s="116"/>
    </row>
    <row r="38" spans="1:11" ht="16.5" x14ac:dyDescent="0.3">
      <c r="B38" s="33" t="s">
        <v>29</v>
      </c>
      <c r="C38" s="34">
        <v>0</v>
      </c>
      <c r="E38" s="35"/>
      <c r="F38" s="35"/>
      <c r="G38" s="36" t="s">
        <v>30</v>
      </c>
      <c r="H38" s="37"/>
    </row>
    <row r="39" spans="1:11" ht="24" x14ac:dyDescent="0.4">
      <c r="B39" s="38" t="s">
        <v>31</v>
      </c>
      <c r="C39" s="39">
        <v>0</v>
      </c>
      <c r="E39" s="40" t="s">
        <v>32</v>
      </c>
      <c r="F39" s="41"/>
      <c r="G39" s="42"/>
      <c r="H39" s="43"/>
      <c r="I39" s="42"/>
      <c r="J39" s="44"/>
    </row>
    <row r="40" spans="1:11" ht="18.75" x14ac:dyDescent="0.3">
      <c r="B40" s="45" t="s">
        <v>16</v>
      </c>
      <c r="C40" s="46">
        <f>SUM(C37:C39)</f>
        <v>0</v>
      </c>
      <c r="G40" s="36"/>
      <c r="H40" s="37"/>
      <c r="I40" s="36"/>
      <c r="J40" s="36"/>
    </row>
  </sheetData>
  <mergeCells count="6">
    <mergeCell ref="G37:H37"/>
    <mergeCell ref="A1:K1"/>
    <mergeCell ref="A2:K2"/>
    <mergeCell ref="A3:K3"/>
    <mergeCell ref="A12:K12"/>
    <mergeCell ref="A27:K27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B259F-982A-4264-A593-D3DE8A16FB17}">
  <dimension ref="A1:K40"/>
  <sheetViews>
    <sheetView workbookViewId="0">
      <selection activeCell="D8" sqref="D8"/>
    </sheetView>
  </sheetViews>
  <sheetFormatPr defaultRowHeight="15" x14ac:dyDescent="0.25"/>
  <cols>
    <col min="1" max="1" width="4.42578125" bestFit="1" customWidth="1"/>
    <col min="2" max="2" width="20.140625" customWidth="1"/>
    <col min="3" max="3" width="11.8554687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7.5703125" customWidth="1"/>
  </cols>
  <sheetData>
    <row r="1" spans="1:11" ht="48.75" x14ac:dyDescent="0.25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60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4">
        <v>735</v>
      </c>
      <c r="D5" s="5">
        <v>46163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46162</v>
      </c>
      <c r="K5" s="8" t="s">
        <v>33</v>
      </c>
    </row>
    <row r="6" spans="1:11" ht="15.75" x14ac:dyDescent="0.25">
      <c r="A6" s="3">
        <v>2</v>
      </c>
      <c r="B6" s="3"/>
      <c r="C6" s="4">
        <v>0</v>
      </c>
      <c r="D6" s="5"/>
      <c r="E6" s="6"/>
      <c r="F6" s="3"/>
      <c r="G6" s="49"/>
      <c r="H6" s="7"/>
      <c r="I6" s="3"/>
      <c r="J6" s="5"/>
      <c r="K6" s="8"/>
    </row>
    <row r="7" spans="1:11" ht="15.75" x14ac:dyDescent="0.25">
      <c r="A7" s="3">
        <v>3</v>
      </c>
      <c r="B7" s="3"/>
      <c r="C7" s="4">
        <v>0</v>
      </c>
      <c r="D7" s="5"/>
      <c r="E7" s="6"/>
      <c r="F7" s="3"/>
      <c r="G7" s="49"/>
      <c r="H7" s="7"/>
      <c r="I7" s="3"/>
      <c r="J7" s="5"/>
      <c r="K7" s="8"/>
    </row>
    <row r="8" spans="1:11" ht="15.75" x14ac:dyDescent="0.25">
      <c r="A8" s="3">
        <v>4</v>
      </c>
      <c r="B8" s="3"/>
      <c r="C8" s="4">
        <v>0</v>
      </c>
      <c r="D8" s="5"/>
      <c r="E8" s="6"/>
      <c r="F8" s="3"/>
      <c r="G8" s="49"/>
      <c r="H8" s="7"/>
      <c r="I8" s="3"/>
      <c r="J8" s="5"/>
      <c r="K8" s="8"/>
    </row>
    <row r="9" spans="1:11" ht="15.75" x14ac:dyDescent="0.25">
      <c r="A9" s="3">
        <v>5</v>
      </c>
      <c r="B9" s="3"/>
      <c r="C9" s="4">
        <v>0</v>
      </c>
      <c r="D9" s="5"/>
      <c r="E9" s="6"/>
      <c r="F9" s="3"/>
      <c r="G9" s="49"/>
      <c r="H9" s="7"/>
      <c r="I9" s="3"/>
      <c r="J9" s="5"/>
      <c r="K9" s="8"/>
    </row>
    <row r="10" spans="1:11" ht="18.75" x14ac:dyDescent="0.3">
      <c r="A10" s="9"/>
      <c r="B10" s="10" t="s">
        <v>16</v>
      </c>
      <c r="C10" s="53">
        <f>SUM(C5:C5)</f>
        <v>735</v>
      </c>
      <c r="D10" s="3"/>
      <c r="E10" s="12"/>
      <c r="F10" s="9"/>
      <c r="G10" s="13"/>
      <c r="H10" s="11">
        <f>SUM(H5:H5)</f>
        <v>0</v>
      </c>
      <c r="I10" s="9"/>
      <c r="J10" s="9"/>
      <c r="K10" s="9"/>
    </row>
    <row r="12" spans="1:11" ht="24" x14ac:dyDescent="0.4">
      <c r="A12" s="122" t="s">
        <v>17</v>
      </c>
      <c r="B12" s="123"/>
      <c r="C12" s="123"/>
      <c r="D12" s="123"/>
      <c r="E12" s="123"/>
      <c r="F12" s="123"/>
      <c r="G12" s="123"/>
      <c r="H12" s="123"/>
      <c r="I12" s="123"/>
      <c r="J12" s="123"/>
      <c r="K12" s="124"/>
    </row>
    <row r="13" spans="1:11" ht="15.75" x14ac:dyDescent="0.25">
      <c r="A13" s="3">
        <v>2</v>
      </c>
      <c r="B13" s="3"/>
      <c r="C13" s="4">
        <v>0</v>
      </c>
      <c r="D13" s="5">
        <f t="shared" ref="D13:D25" si="0">+D12</f>
        <v>0</v>
      </c>
      <c r="E13" s="14">
        <v>0</v>
      </c>
      <c r="F13" s="13" t="s">
        <v>18</v>
      </c>
      <c r="G13" s="15"/>
      <c r="H13" s="16">
        <v>0</v>
      </c>
      <c r="I13" s="3" t="s">
        <v>19</v>
      </c>
      <c r="J13" s="5">
        <f t="shared" ref="J13:J25" si="1">+D13+1</f>
        <v>1</v>
      </c>
      <c r="K13" s="13"/>
    </row>
    <row r="14" spans="1:11" ht="15.75" x14ac:dyDescent="0.25">
      <c r="A14" s="3">
        <v>3</v>
      </c>
      <c r="B14" s="3"/>
      <c r="C14" s="4">
        <v>0</v>
      </c>
      <c r="D14" s="5">
        <f t="shared" si="0"/>
        <v>0</v>
      </c>
      <c r="E14" s="14">
        <v>0</v>
      </c>
      <c r="F14" s="13" t="s">
        <v>18</v>
      </c>
      <c r="G14" s="15"/>
      <c r="H14" s="16">
        <v>0</v>
      </c>
      <c r="I14" s="3" t="s">
        <v>15</v>
      </c>
      <c r="J14" s="5">
        <f t="shared" si="1"/>
        <v>1</v>
      </c>
      <c r="K14" s="13"/>
    </row>
    <row r="15" spans="1:11" ht="15.75" x14ac:dyDescent="0.25">
      <c r="A15" s="3">
        <v>4</v>
      </c>
      <c r="B15" s="3"/>
      <c r="C15" s="4">
        <v>0</v>
      </c>
      <c r="D15" s="5">
        <f t="shared" si="0"/>
        <v>0</v>
      </c>
      <c r="E15" s="14">
        <v>0</v>
      </c>
      <c r="F15" s="13" t="s">
        <v>18</v>
      </c>
      <c r="G15" s="15"/>
      <c r="H15" s="16">
        <v>0</v>
      </c>
      <c r="I15" s="3" t="s">
        <v>15</v>
      </c>
      <c r="J15" s="5">
        <f t="shared" si="1"/>
        <v>1</v>
      </c>
      <c r="K15" s="13"/>
    </row>
    <row r="16" spans="1:11" ht="15.75" x14ac:dyDescent="0.25">
      <c r="A16" s="3">
        <v>5</v>
      </c>
      <c r="B16" s="3"/>
      <c r="C16" s="4">
        <v>0</v>
      </c>
      <c r="D16" s="5">
        <f t="shared" si="0"/>
        <v>0</v>
      </c>
      <c r="E16" s="14">
        <v>0</v>
      </c>
      <c r="F16" s="13" t="s">
        <v>18</v>
      </c>
      <c r="G16" s="15"/>
      <c r="H16" s="16">
        <v>0</v>
      </c>
      <c r="I16" s="3" t="s">
        <v>15</v>
      </c>
      <c r="J16" s="5">
        <f t="shared" si="1"/>
        <v>1</v>
      </c>
      <c r="K16" s="13"/>
    </row>
    <row r="17" spans="1:11" ht="15.75" x14ac:dyDescent="0.25">
      <c r="A17" s="3">
        <v>6</v>
      </c>
      <c r="B17" s="3"/>
      <c r="C17" s="4">
        <v>0</v>
      </c>
      <c r="D17" s="5">
        <f t="shared" si="0"/>
        <v>0</v>
      </c>
      <c r="E17" s="14">
        <v>0</v>
      </c>
      <c r="F17" s="13" t="s">
        <v>18</v>
      </c>
      <c r="G17" s="15"/>
      <c r="H17" s="16">
        <v>0</v>
      </c>
      <c r="I17" s="3" t="s">
        <v>15</v>
      </c>
      <c r="J17" s="5">
        <f t="shared" si="1"/>
        <v>1</v>
      </c>
      <c r="K17" s="13"/>
    </row>
    <row r="18" spans="1:11" ht="15.75" x14ac:dyDescent="0.25">
      <c r="A18" s="3">
        <v>7</v>
      </c>
      <c r="B18" s="3"/>
      <c r="C18" s="4">
        <v>0</v>
      </c>
      <c r="D18" s="5">
        <f t="shared" si="0"/>
        <v>0</v>
      </c>
      <c r="E18" s="14">
        <v>0</v>
      </c>
      <c r="F18" s="13" t="s">
        <v>18</v>
      </c>
      <c r="G18" s="15"/>
      <c r="H18" s="16">
        <v>0</v>
      </c>
      <c r="I18" s="3" t="s">
        <v>15</v>
      </c>
      <c r="J18" s="5">
        <f t="shared" si="1"/>
        <v>1</v>
      </c>
      <c r="K18" s="13"/>
    </row>
    <row r="19" spans="1:11" ht="15.75" x14ac:dyDescent="0.25">
      <c r="A19" s="3">
        <v>8</v>
      </c>
      <c r="B19" s="3"/>
      <c r="C19" s="4">
        <v>0</v>
      </c>
      <c r="D19" s="5">
        <f t="shared" si="0"/>
        <v>0</v>
      </c>
      <c r="E19" s="14">
        <v>0</v>
      </c>
      <c r="F19" s="13" t="s">
        <v>18</v>
      </c>
      <c r="G19" s="15"/>
      <c r="H19" s="16">
        <v>0</v>
      </c>
      <c r="I19" s="3" t="s">
        <v>15</v>
      </c>
      <c r="J19" s="5">
        <f t="shared" si="1"/>
        <v>1</v>
      </c>
      <c r="K19" s="13"/>
    </row>
    <row r="20" spans="1:11" ht="15.75" x14ac:dyDescent="0.25">
      <c r="A20" s="3">
        <v>9</v>
      </c>
      <c r="B20" s="3"/>
      <c r="C20" s="4">
        <v>0</v>
      </c>
      <c r="D20" s="5">
        <f t="shared" si="0"/>
        <v>0</v>
      </c>
      <c r="E20" s="14">
        <v>0</v>
      </c>
      <c r="F20" s="13" t="s">
        <v>18</v>
      </c>
      <c r="G20" s="15"/>
      <c r="H20" s="16">
        <v>0</v>
      </c>
      <c r="I20" s="3" t="s">
        <v>15</v>
      </c>
      <c r="J20" s="5">
        <f t="shared" si="1"/>
        <v>1</v>
      </c>
      <c r="K20" s="13"/>
    </row>
    <row r="21" spans="1:11" ht="15.75" x14ac:dyDescent="0.25">
      <c r="A21" s="3">
        <v>10</v>
      </c>
      <c r="B21" s="3"/>
      <c r="C21" s="4">
        <v>0</v>
      </c>
      <c r="D21" s="5">
        <f t="shared" si="0"/>
        <v>0</v>
      </c>
      <c r="E21" s="14">
        <v>0</v>
      </c>
      <c r="F21" s="13" t="s">
        <v>18</v>
      </c>
      <c r="G21" s="15"/>
      <c r="H21" s="16">
        <v>0</v>
      </c>
      <c r="I21" s="3" t="s">
        <v>15</v>
      </c>
      <c r="J21" s="5">
        <f t="shared" si="1"/>
        <v>1</v>
      </c>
      <c r="K21" s="13"/>
    </row>
    <row r="22" spans="1:11" ht="15.75" x14ac:dyDescent="0.25">
      <c r="A22" s="3">
        <v>11</v>
      </c>
      <c r="B22" s="3"/>
      <c r="C22" s="4">
        <v>0</v>
      </c>
      <c r="D22" s="5">
        <f t="shared" si="0"/>
        <v>0</v>
      </c>
      <c r="E22" s="14">
        <v>0</v>
      </c>
      <c r="F22" s="13" t="s">
        <v>18</v>
      </c>
      <c r="G22" s="15"/>
      <c r="H22" s="16">
        <v>0</v>
      </c>
      <c r="I22" s="3" t="s">
        <v>15</v>
      </c>
      <c r="J22" s="5">
        <f t="shared" si="1"/>
        <v>1</v>
      </c>
      <c r="K22" s="13"/>
    </row>
    <row r="23" spans="1:11" ht="15.75" x14ac:dyDescent="0.25">
      <c r="A23" s="3">
        <v>12</v>
      </c>
      <c r="B23" s="3"/>
      <c r="C23" s="4">
        <v>0</v>
      </c>
      <c r="D23" s="5">
        <f t="shared" si="0"/>
        <v>0</v>
      </c>
      <c r="E23" s="14">
        <v>0</v>
      </c>
      <c r="F23" s="13" t="s">
        <v>18</v>
      </c>
      <c r="G23" s="15"/>
      <c r="H23" s="16">
        <v>0</v>
      </c>
      <c r="I23" s="3" t="s">
        <v>15</v>
      </c>
      <c r="J23" s="5">
        <f t="shared" si="1"/>
        <v>1</v>
      </c>
      <c r="K23" s="13"/>
    </row>
    <row r="24" spans="1:11" ht="15.75" x14ac:dyDescent="0.25">
      <c r="A24" s="3">
        <v>13</v>
      </c>
      <c r="B24" s="3"/>
      <c r="C24" s="4">
        <v>0</v>
      </c>
      <c r="D24" s="5">
        <f t="shared" si="0"/>
        <v>0</v>
      </c>
      <c r="E24" s="14">
        <v>0</v>
      </c>
      <c r="F24" s="13" t="s">
        <v>18</v>
      </c>
      <c r="G24" s="15"/>
      <c r="H24" s="16">
        <v>0</v>
      </c>
      <c r="I24" s="3" t="s">
        <v>15</v>
      </c>
      <c r="J24" s="5">
        <f t="shared" si="1"/>
        <v>1</v>
      </c>
      <c r="K24" s="13"/>
    </row>
    <row r="25" spans="1:11" ht="15.75" x14ac:dyDescent="0.25">
      <c r="A25" s="3">
        <v>14</v>
      </c>
      <c r="B25" s="3"/>
      <c r="C25" s="4">
        <v>0</v>
      </c>
      <c r="D25" s="5">
        <f t="shared" si="0"/>
        <v>0</v>
      </c>
      <c r="E25" s="14">
        <v>0</v>
      </c>
      <c r="F25" s="13" t="s">
        <v>18</v>
      </c>
      <c r="G25" s="15"/>
      <c r="H25" s="16">
        <v>0</v>
      </c>
      <c r="I25" s="3" t="s">
        <v>15</v>
      </c>
      <c r="J25" s="5">
        <f t="shared" si="1"/>
        <v>1</v>
      </c>
      <c r="K25" s="13"/>
    </row>
    <row r="26" spans="1:11" ht="18.75" x14ac:dyDescent="0.3">
      <c r="A26" s="3"/>
      <c r="B26" s="17" t="s">
        <v>16</v>
      </c>
      <c r="C26" s="54">
        <f>SUM(C13:C25)</f>
        <v>0</v>
      </c>
      <c r="D26" s="3"/>
      <c r="E26" s="3"/>
      <c r="F26" s="13"/>
      <c r="G26" s="13"/>
      <c r="H26" s="11"/>
      <c r="I26" s="3"/>
      <c r="J26" s="3"/>
      <c r="K26" s="3"/>
    </row>
    <row r="27" spans="1:11" ht="24.75" x14ac:dyDescent="0.5">
      <c r="A27" s="125" t="s">
        <v>20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7"/>
    </row>
    <row r="28" spans="1:11" ht="18.75" x14ac:dyDescent="0.3">
      <c r="A28" s="19" t="s">
        <v>3</v>
      </c>
      <c r="B28" s="19" t="s">
        <v>21</v>
      </c>
      <c r="C28" s="50" t="s">
        <v>5</v>
      </c>
      <c r="D28" s="1" t="s">
        <v>22</v>
      </c>
      <c r="E28" s="19" t="s">
        <v>7</v>
      </c>
      <c r="F28" s="19" t="s">
        <v>8</v>
      </c>
      <c r="G28" s="19" t="s">
        <v>23</v>
      </c>
      <c r="H28" s="20" t="s">
        <v>24</v>
      </c>
      <c r="I28" s="19" t="s">
        <v>11</v>
      </c>
      <c r="J28" s="19" t="s">
        <v>25</v>
      </c>
      <c r="K28" s="21" t="s">
        <v>26</v>
      </c>
    </row>
    <row r="29" spans="1:11" ht="15.75" x14ac:dyDescent="0.25">
      <c r="A29" s="8">
        <v>1</v>
      </c>
      <c r="B29" s="8"/>
      <c r="C29" s="47">
        <v>0</v>
      </c>
      <c r="D29" s="5"/>
      <c r="E29" s="8"/>
      <c r="F29" s="8"/>
      <c r="G29" s="22"/>
      <c r="H29" s="23"/>
      <c r="I29" s="24"/>
      <c r="J29" s="3"/>
      <c r="K29" s="13"/>
    </row>
    <row r="30" spans="1:11" ht="15.75" x14ac:dyDescent="0.25">
      <c r="A30" s="8">
        <v>2</v>
      </c>
      <c r="B30" s="8"/>
      <c r="C30" s="47">
        <v>0</v>
      </c>
      <c r="D30" s="5"/>
      <c r="E30" s="8"/>
      <c r="F30" s="8"/>
      <c r="G30" s="22"/>
      <c r="H30" s="23"/>
      <c r="I30" s="24"/>
      <c r="J30" s="3"/>
      <c r="K30" s="13"/>
    </row>
    <row r="31" spans="1:11" ht="15.75" x14ac:dyDescent="0.25">
      <c r="A31" s="8">
        <v>3</v>
      </c>
      <c r="B31" s="8"/>
      <c r="C31" s="47">
        <v>0</v>
      </c>
      <c r="D31" s="5"/>
      <c r="E31" s="8"/>
      <c r="F31" s="8"/>
      <c r="G31" s="22"/>
      <c r="H31" s="23"/>
      <c r="I31" s="24"/>
      <c r="J31" s="3"/>
      <c r="K31" s="13"/>
    </row>
    <row r="32" spans="1:11" ht="15.75" x14ac:dyDescent="0.25">
      <c r="A32" s="8">
        <v>4</v>
      </c>
      <c r="B32" s="8"/>
      <c r="C32" s="47">
        <v>0</v>
      </c>
      <c r="D32" s="5"/>
      <c r="E32" s="8"/>
      <c r="F32" s="8"/>
      <c r="G32" s="22"/>
      <c r="H32" s="23"/>
      <c r="I32" s="24"/>
      <c r="J32" s="3"/>
      <c r="K32" s="13"/>
    </row>
    <row r="33" spans="1:11" ht="15.75" x14ac:dyDescent="0.25">
      <c r="A33" s="8">
        <v>5</v>
      </c>
      <c r="B33" s="8"/>
      <c r="C33" s="47">
        <v>0</v>
      </c>
      <c r="D33" s="5"/>
      <c r="E33" s="8"/>
      <c r="F33" s="8"/>
      <c r="G33" s="22"/>
      <c r="H33" s="23"/>
      <c r="I33" s="24"/>
      <c r="J33" s="3"/>
      <c r="K33" s="13"/>
    </row>
    <row r="34" spans="1:11" ht="15.75" x14ac:dyDescent="0.25">
      <c r="A34" s="8">
        <v>6</v>
      </c>
      <c r="B34" s="8"/>
      <c r="C34" s="47">
        <v>0</v>
      </c>
      <c r="D34" s="5"/>
      <c r="E34" s="8"/>
      <c r="F34" s="8"/>
      <c r="G34" s="22"/>
      <c r="H34" s="23"/>
      <c r="I34" s="24"/>
      <c r="J34" s="3"/>
      <c r="K34" s="13"/>
    </row>
    <row r="35" spans="1:11" ht="18.75" x14ac:dyDescent="0.25">
      <c r="A35" s="8"/>
      <c r="B35" s="25" t="s">
        <v>27</v>
      </c>
      <c r="C35" s="52"/>
      <c r="D35" s="3"/>
      <c r="E35" s="8"/>
      <c r="F35" s="8"/>
      <c r="G35" s="8"/>
      <c r="H35" s="27">
        <v>0</v>
      </c>
      <c r="I35" s="24"/>
      <c r="J35" s="3"/>
      <c r="K35" s="28"/>
    </row>
    <row r="36" spans="1:11" x14ac:dyDescent="0.25">
      <c r="C36" s="29"/>
      <c r="H36" s="29"/>
    </row>
    <row r="37" spans="1:11" ht="16.5" x14ac:dyDescent="0.3">
      <c r="B37" s="30" t="s">
        <v>28</v>
      </c>
      <c r="C37" s="31">
        <v>0</v>
      </c>
      <c r="E37" s="32"/>
      <c r="F37" s="32"/>
      <c r="G37" s="116"/>
      <c r="H37" s="116"/>
    </row>
    <row r="38" spans="1:11" ht="16.5" x14ac:dyDescent="0.3">
      <c r="B38" s="33" t="s">
        <v>29</v>
      </c>
      <c r="C38" s="34">
        <v>0</v>
      </c>
      <c r="E38" s="35"/>
      <c r="F38" s="35"/>
      <c r="G38" s="36" t="s">
        <v>30</v>
      </c>
      <c r="H38" s="37"/>
    </row>
    <row r="39" spans="1:11" ht="24" x14ac:dyDescent="0.4">
      <c r="B39" s="38" t="s">
        <v>31</v>
      </c>
      <c r="C39" s="39">
        <v>0</v>
      </c>
      <c r="E39" s="40" t="s">
        <v>32</v>
      </c>
      <c r="F39" s="41"/>
      <c r="G39" s="42"/>
      <c r="H39" s="43"/>
      <c r="I39" s="42"/>
      <c r="J39" s="44"/>
    </row>
    <row r="40" spans="1:11" ht="18.75" x14ac:dyDescent="0.3">
      <c r="B40" s="45" t="s">
        <v>16</v>
      </c>
      <c r="C40" s="46">
        <f>SUM(C37:C39)</f>
        <v>0</v>
      </c>
      <c r="G40" s="36"/>
      <c r="H40" s="37"/>
      <c r="I40" s="36"/>
      <c r="J40" s="36"/>
    </row>
  </sheetData>
  <mergeCells count="6">
    <mergeCell ref="G37:H37"/>
    <mergeCell ref="A1:K1"/>
    <mergeCell ref="A2:K2"/>
    <mergeCell ref="A3:K3"/>
    <mergeCell ref="A12:K12"/>
    <mergeCell ref="A27:K27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FB72F-631F-4A65-B1D6-6A72683118CB}">
  <dimension ref="A1:K33"/>
  <sheetViews>
    <sheetView topLeftCell="A7" workbookViewId="0">
      <selection activeCell="M16" sqref="M16"/>
    </sheetView>
  </sheetViews>
  <sheetFormatPr defaultRowHeight="15" x14ac:dyDescent="0.25"/>
  <cols>
    <col min="1" max="1" width="4.42578125" bestFit="1" customWidth="1"/>
    <col min="2" max="2" width="22.28515625" customWidth="1"/>
    <col min="3" max="3" width="14.4257812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3.7109375" customWidth="1"/>
  </cols>
  <sheetData>
    <row r="1" spans="1:11" ht="48.75" x14ac:dyDescent="0.25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61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4">
        <v>0</v>
      </c>
      <c r="D5" s="5">
        <v>46164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46163</v>
      </c>
      <c r="K5" s="8" t="s">
        <v>33</v>
      </c>
    </row>
    <row r="6" spans="1:11" ht="15.75" x14ac:dyDescent="0.25">
      <c r="A6" s="3">
        <v>2</v>
      </c>
      <c r="B6" s="3" t="s">
        <v>34</v>
      </c>
      <c r="C6" s="4">
        <v>165000</v>
      </c>
      <c r="D6" s="5">
        <v>46164</v>
      </c>
      <c r="E6" s="6">
        <v>0</v>
      </c>
      <c r="F6" s="3" t="s">
        <v>14</v>
      </c>
      <c r="G6" s="49">
        <v>6298</v>
      </c>
      <c r="H6" s="7">
        <v>0</v>
      </c>
      <c r="I6" s="3" t="s">
        <v>15</v>
      </c>
      <c r="J6" s="5">
        <f>+D6-1</f>
        <v>46163</v>
      </c>
      <c r="K6" s="8"/>
    </row>
    <row r="7" spans="1:11" ht="15.75" x14ac:dyDescent="0.25">
      <c r="A7" s="3">
        <v>3</v>
      </c>
      <c r="B7" s="3" t="s">
        <v>45</v>
      </c>
      <c r="C7" s="4">
        <v>99400</v>
      </c>
      <c r="D7" s="5">
        <v>46164</v>
      </c>
      <c r="E7" s="6">
        <v>0</v>
      </c>
      <c r="F7" s="3" t="s">
        <v>14</v>
      </c>
      <c r="G7" s="49">
        <v>9359</v>
      </c>
      <c r="H7" s="7">
        <v>0</v>
      </c>
      <c r="I7" s="3" t="s">
        <v>15</v>
      </c>
      <c r="J7" s="5">
        <f>+D7-1</f>
        <v>46163</v>
      </c>
      <c r="K7" s="8"/>
    </row>
    <row r="8" spans="1:11" ht="15.75" x14ac:dyDescent="0.25">
      <c r="A8" s="3">
        <v>4</v>
      </c>
      <c r="B8" s="3" t="s">
        <v>45</v>
      </c>
      <c r="C8" s="4">
        <v>10100</v>
      </c>
      <c r="D8" s="5">
        <v>46164</v>
      </c>
      <c r="E8" s="6">
        <v>0</v>
      </c>
      <c r="F8" s="3" t="s">
        <v>14</v>
      </c>
      <c r="G8" s="49">
        <v>9365</v>
      </c>
      <c r="H8" s="7">
        <v>0</v>
      </c>
      <c r="I8" s="3" t="s">
        <v>15</v>
      </c>
      <c r="J8" s="5">
        <f>+D8-1</f>
        <v>46163</v>
      </c>
      <c r="K8" s="8"/>
    </row>
    <row r="9" spans="1:11" ht="15.75" x14ac:dyDescent="0.25">
      <c r="A9" s="3">
        <v>5</v>
      </c>
      <c r="B9" s="3"/>
      <c r="C9" s="4">
        <v>0</v>
      </c>
      <c r="D9" s="5"/>
      <c r="E9" s="6"/>
      <c r="F9" s="3"/>
      <c r="G9" s="49"/>
      <c r="H9" s="7"/>
      <c r="I9" s="3"/>
      <c r="J9" s="5"/>
      <c r="K9" s="8"/>
    </row>
    <row r="10" spans="1:11" ht="18.75" x14ac:dyDescent="0.3">
      <c r="A10" s="9"/>
      <c r="B10" s="10" t="s">
        <v>16</v>
      </c>
      <c r="C10" s="53">
        <f>SUM(C5:C5)</f>
        <v>0</v>
      </c>
      <c r="D10" s="3"/>
      <c r="E10" s="12"/>
      <c r="F10" s="9"/>
      <c r="G10" s="13"/>
      <c r="H10" s="11">
        <f>SUM(H5:H5)</f>
        <v>0</v>
      </c>
      <c r="I10" s="9"/>
      <c r="J10" s="9"/>
      <c r="K10" s="9"/>
    </row>
    <row r="12" spans="1:11" ht="24" x14ac:dyDescent="0.4">
      <c r="A12" s="122" t="s">
        <v>17</v>
      </c>
      <c r="B12" s="123"/>
      <c r="C12" s="123"/>
      <c r="D12" s="123"/>
      <c r="E12" s="123"/>
      <c r="F12" s="123"/>
      <c r="G12" s="123"/>
      <c r="H12" s="123"/>
      <c r="I12" s="123"/>
      <c r="J12" s="123"/>
      <c r="K12" s="124"/>
    </row>
    <row r="13" spans="1:11" ht="15.75" x14ac:dyDescent="0.25">
      <c r="A13" s="3">
        <v>2</v>
      </c>
      <c r="B13" s="3" t="s">
        <v>85</v>
      </c>
      <c r="C13" s="4">
        <v>1600</v>
      </c>
      <c r="D13" s="5">
        <v>46164</v>
      </c>
      <c r="E13" s="14">
        <v>0</v>
      </c>
      <c r="F13" s="13" t="s">
        <v>18</v>
      </c>
      <c r="G13" s="15">
        <v>5499</v>
      </c>
      <c r="H13" s="16">
        <v>0</v>
      </c>
      <c r="I13" s="3" t="s">
        <v>19</v>
      </c>
      <c r="J13" s="5">
        <f t="shared" ref="J13:J18" si="0">+D13+1</f>
        <v>46165</v>
      </c>
      <c r="K13" s="13" t="s">
        <v>86</v>
      </c>
    </row>
    <row r="14" spans="1:11" ht="15.75" x14ac:dyDescent="0.25">
      <c r="A14" s="3">
        <v>3</v>
      </c>
      <c r="B14" s="3" t="s">
        <v>87</v>
      </c>
      <c r="C14" s="4">
        <v>19500</v>
      </c>
      <c r="D14" s="5">
        <f t="shared" ref="D14:D18" si="1">+D13</f>
        <v>46164</v>
      </c>
      <c r="E14" s="14">
        <v>0</v>
      </c>
      <c r="F14" s="13" t="s">
        <v>18</v>
      </c>
      <c r="G14" s="15">
        <v>1999</v>
      </c>
      <c r="H14" s="16">
        <v>0</v>
      </c>
      <c r="I14" s="3" t="s">
        <v>15</v>
      </c>
      <c r="J14" s="5">
        <f t="shared" si="0"/>
        <v>46165</v>
      </c>
      <c r="K14" s="13" t="s">
        <v>88</v>
      </c>
    </row>
    <row r="15" spans="1:11" ht="15.75" x14ac:dyDescent="0.25">
      <c r="A15" s="3">
        <v>4</v>
      </c>
      <c r="B15" s="3" t="s">
        <v>89</v>
      </c>
      <c r="C15" s="4">
        <v>2800</v>
      </c>
      <c r="D15" s="5">
        <f t="shared" si="1"/>
        <v>46164</v>
      </c>
      <c r="E15" s="14">
        <v>0</v>
      </c>
      <c r="F15" s="13" t="s">
        <v>18</v>
      </c>
      <c r="G15" s="15">
        <v>7425</v>
      </c>
      <c r="H15" s="16">
        <v>0</v>
      </c>
      <c r="I15" s="3" t="s">
        <v>15</v>
      </c>
      <c r="J15" s="5">
        <f t="shared" si="0"/>
        <v>46165</v>
      </c>
      <c r="K15" s="13" t="s">
        <v>90</v>
      </c>
    </row>
    <row r="16" spans="1:11" ht="15.75" x14ac:dyDescent="0.25">
      <c r="A16" s="3">
        <v>5</v>
      </c>
      <c r="B16" s="3" t="s">
        <v>91</v>
      </c>
      <c r="C16" s="4">
        <v>1865</v>
      </c>
      <c r="D16" s="5">
        <f t="shared" si="1"/>
        <v>46164</v>
      </c>
      <c r="E16" s="14">
        <v>0</v>
      </c>
      <c r="F16" s="13" t="s">
        <v>18</v>
      </c>
      <c r="G16" s="15">
        <v>1942</v>
      </c>
      <c r="H16" s="16">
        <v>0</v>
      </c>
      <c r="I16" s="3" t="s">
        <v>15</v>
      </c>
      <c r="J16" s="5">
        <f t="shared" si="0"/>
        <v>46165</v>
      </c>
      <c r="K16" s="13"/>
    </row>
    <row r="17" spans="1:11" ht="15.75" x14ac:dyDescent="0.25">
      <c r="A17" s="3">
        <v>6</v>
      </c>
      <c r="B17" s="3"/>
      <c r="C17" s="4">
        <v>0</v>
      </c>
      <c r="D17" s="5">
        <f t="shared" si="1"/>
        <v>46164</v>
      </c>
      <c r="E17" s="14">
        <v>0</v>
      </c>
      <c r="F17" s="13" t="s">
        <v>18</v>
      </c>
      <c r="G17" s="15"/>
      <c r="H17" s="16">
        <v>0</v>
      </c>
      <c r="I17" s="3" t="s">
        <v>15</v>
      </c>
      <c r="J17" s="5">
        <f t="shared" si="0"/>
        <v>46165</v>
      </c>
      <c r="K17" s="13"/>
    </row>
    <row r="18" spans="1:11" ht="15.75" x14ac:dyDescent="0.25">
      <c r="A18" s="3">
        <v>7</v>
      </c>
      <c r="B18" s="3"/>
      <c r="C18" s="4">
        <v>0</v>
      </c>
      <c r="D18" s="5">
        <f t="shared" si="1"/>
        <v>46164</v>
      </c>
      <c r="E18" s="14">
        <v>0</v>
      </c>
      <c r="F18" s="13" t="s">
        <v>18</v>
      </c>
      <c r="G18" s="15"/>
      <c r="H18" s="16">
        <v>0</v>
      </c>
      <c r="I18" s="3" t="s">
        <v>15</v>
      </c>
      <c r="J18" s="5">
        <f t="shared" si="0"/>
        <v>46165</v>
      </c>
      <c r="K18" s="13"/>
    </row>
    <row r="19" spans="1:11" ht="18.75" x14ac:dyDescent="0.3">
      <c r="A19" s="3"/>
      <c r="B19" s="17" t="s">
        <v>16</v>
      </c>
      <c r="C19" s="54">
        <f>SUM(C13:C18)</f>
        <v>25765</v>
      </c>
      <c r="D19" s="3"/>
      <c r="E19" s="3"/>
      <c r="F19" s="13"/>
      <c r="G19" s="13"/>
      <c r="H19" s="11"/>
      <c r="I19" s="3"/>
      <c r="J19" s="3"/>
      <c r="K19" s="3"/>
    </row>
    <row r="20" spans="1:11" ht="24.75" x14ac:dyDescent="0.5">
      <c r="A20" s="125" t="s">
        <v>20</v>
      </c>
      <c r="B20" s="126"/>
      <c r="C20" s="126"/>
      <c r="D20" s="126"/>
      <c r="E20" s="126"/>
      <c r="F20" s="126"/>
      <c r="G20" s="126"/>
      <c r="H20" s="126"/>
      <c r="I20" s="126"/>
      <c r="J20" s="126"/>
      <c r="K20" s="127"/>
    </row>
    <row r="21" spans="1:11" ht="18.75" x14ac:dyDescent="0.3">
      <c r="A21" s="19" t="s">
        <v>3</v>
      </c>
      <c r="B21" s="19" t="s">
        <v>21</v>
      </c>
      <c r="C21" s="50" t="s">
        <v>5</v>
      </c>
      <c r="D21" s="1" t="s">
        <v>22</v>
      </c>
      <c r="E21" s="19" t="s">
        <v>7</v>
      </c>
      <c r="F21" s="19" t="s">
        <v>8</v>
      </c>
      <c r="G21" s="19" t="s">
        <v>23</v>
      </c>
      <c r="H21" s="20" t="s">
        <v>24</v>
      </c>
      <c r="I21" s="19" t="s">
        <v>11</v>
      </c>
      <c r="J21" s="19" t="s">
        <v>25</v>
      </c>
      <c r="K21" s="21" t="s">
        <v>26</v>
      </c>
    </row>
    <row r="22" spans="1:11" ht="15.75" x14ac:dyDescent="0.25">
      <c r="A22" s="8">
        <v>1</v>
      </c>
      <c r="B22" s="8" t="s">
        <v>62</v>
      </c>
      <c r="C22" s="47">
        <v>3000</v>
      </c>
      <c r="D22" s="5">
        <v>46164</v>
      </c>
      <c r="E22" s="8"/>
      <c r="F22" s="8"/>
      <c r="G22" s="22">
        <v>5507</v>
      </c>
      <c r="H22" s="23"/>
      <c r="I22" s="24"/>
      <c r="J22" s="3"/>
      <c r="K22" s="13"/>
    </row>
    <row r="23" spans="1:11" ht="15.75" x14ac:dyDescent="0.25">
      <c r="A23" s="8">
        <v>2</v>
      </c>
      <c r="B23" s="8" t="s">
        <v>52</v>
      </c>
      <c r="C23" s="47">
        <v>273000</v>
      </c>
      <c r="D23" s="5">
        <v>46164</v>
      </c>
      <c r="E23" s="8"/>
      <c r="F23" s="8"/>
      <c r="G23" s="22">
        <v>196</v>
      </c>
      <c r="H23" s="23"/>
      <c r="I23" s="24"/>
      <c r="J23" s="3"/>
      <c r="K23" s="13"/>
    </row>
    <row r="24" spans="1:11" ht="15.75" x14ac:dyDescent="0.25">
      <c r="A24" s="8">
        <v>3</v>
      </c>
      <c r="B24" s="8"/>
      <c r="C24" s="47">
        <v>0</v>
      </c>
      <c r="D24" s="5"/>
      <c r="E24" s="8"/>
      <c r="F24" s="8"/>
      <c r="G24" s="22"/>
      <c r="H24" s="23"/>
      <c r="I24" s="24"/>
      <c r="J24" s="3"/>
      <c r="K24" s="13"/>
    </row>
    <row r="25" spans="1:11" ht="15.75" x14ac:dyDescent="0.25">
      <c r="A25" s="8">
        <v>4</v>
      </c>
      <c r="B25" s="8"/>
      <c r="C25" s="47">
        <v>0</v>
      </c>
      <c r="D25" s="5"/>
      <c r="E25" s="8"/>
      <c r="F25" s="8"/>
      <c r="G25" s="22"/>
      <c r="H25" s="23"/>
      <c r="I25" s="24"/>
      <c r="J25" s="3"/>
      <c r="K25" s="13"/>
    </row>
    <row r="26" spans="1:11" ht="15.75" x14ac:dyDescent="0.25">
      <c r="A26" s="8">
        <v>5</v>
      </c>
      <c r="B26" s="8"/>
      <c r="C26" s="47">
        <v>0</v>
      </c>
      <c r="D26" s="5"/>
      <c r="E26" s="8"/>
      <c r="F26" s="8"/>
      <c r="G26" s="22"/>
      <c r="H26" s="23"/>
      <c r="I26" s="24"/>
      <c r="J26" s="3"/>
      <c r="K26" s="13"/>
    </row>
    <row r="27" spans="1:11" ht="15.75" x14ac:dyDescent="0.25">
      <c r="A27" s="8">
        <v>6</v>
      </c>
      <c r="B27" s="8"/>
      <c r="C27" s="47">
        <v>0</v>
      </c>
      <c r="D27" s="5"/>
      <c r="E27" s="8"/>
      <c r="F27" s="8"/>
      <c r="G27" s="22"/>
      <c r="H27" s="23"/>
      <c r="I27" s="24"/>
      <c r="J27" s="3"/>
      <c r="K27" s="13"/>
    </row>
    <row r="28" spans="1:11" ht="18.75" x14ac:dyDescent="0.25">
      <c r="A28" s="8"/>
      <c r="B28" s="25" t="s">
        <v>27</v>
      </c>
      <c r="C28" s="52"/>
      <c r="D28" s="3"/>
      <c r="E28" s="8"/>
      <c r="F28" s="8"/>
      <c r="G28" s="8"/>
      <c r="H28" s="27">
        <v>0</v>
      </c>
      <c r="I28" s="24"/>
      <c r="J28" s="3"/>
      <c r="K28" s="28"/>
    </row>
    <row r="29" spans="1:11" x14ac:dyDescent="0.25">
      <c r="C29" s="29"/>
      <c r="H29" s="29"/>
    </row>
    <row r="30" spans="1:11" ht="16.5" x14ac:dyDescent="0.3">
      <c r="B30" s="30" t="s">
        <v>28</v>
      </c>
      <c r="C30" s="31">
        <v>0</v>
      </c>
      <c r="E30" s="32"/>
      <c r="F30" s="32"/>
      <c r="G30" s="116"/>
      <c r="H30" s="116"/>
    </row>
    <row r="31" spans="1:11" ht="16.5" x14ac:dyDescent="0.3">
      <c r="B31" s="33" t="s">
        <v>29</v>
      </c>
      <c r="C31" s="34">
        <v>0</v>
      </c>
      <c r="E31" s="35"/>
      <c r="F31" s="35"/>
      <c r="G31" s="36" t="s">
        <v>30</v>
      </c>
      <c r="H31" s="37"/>
    </row>
    <row r="32" spans="1:11" ht="24" x14ac:dyDescent="0.4">
      <c r="B32" s="38" t="s">
        <v>31</v>
      </c>
      <c r="C32" s="39">
        <v>0</v>
      </c>
      <c r="E32" s="40" t="s">
        <v>32</v>
      </c>
      <c r="F32" s="41"/>
      <c r="G32" s="42"/>
      <c r="H32" s="43"/>
      <c r="I32" s="42"/>
      <c r="J32" s="44"/>
    </row>
    <row r="33" spans="2:10" ht="18.75" x14ac:dyDescent="0.3">
      <c r="B33" s="45" t="s">
        <v>16</v>
      </c>
      <c r="C33" s="46">
        <f>SUM(C30:C32)</f>
        <v>0</v>
      </c>
      <c r="G33" s="36"/>
      <c r="H33" s="37"/>
      <c r="I33" s="36"/>
      <c r="J33" s="36"/>
    </row>
  </sheetData>
  <mergeCells count="6">
    <mergeCell ref="G30:H30"/>
    <mergeCell ref="A1:K1"/>
    <mergeCell ref="A2:K2"/>
    <mergeCell ref="A3:K3"/>
    <mergeCell ref="A12:K12"/>
    <mergeCell ref="A20:K20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27B07-4717-4A10-ADD1-8DFA71A0309F}">
  <dimension ref="A1:K35"/>
  <sheetViews>
    <sheetView topLeftCell="A12" workbookViewId="0">
      <selection activeCell="K29" sqref="K29"/>
    </sheetView>
  </sheetViews>
  <sheetFormatPr defaultRowHeight="15" x14ac:dyDescent="0.25"/>
  <cols>
    <col min="1" max="1" width="4.42578125" bestFit="1" customWidth="1"/>
    <col min="2" max="2" width="24.42578125" customWidth="1"/>
    <col min="3" max="3" width="14.4257812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3.5703125" customWidth="1"/>
  </cols>
  <sheetData>
    <row r="1" spans="1:11" ht="48.75" x14ac:dyDescent="0.25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63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4">
        <v>25765</v>
      </c>
      <c r="D5" s="5">
        <v>46165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46164</v>
      </c>
      <c r="K5" s="8" t="s">
        <v>33</v>
      </c>
    </row>
    <row r="6" spans="1:11" ht="15.75" x14ac:dyDescent="0.25">
      <c r="A6" s="3">
        <v>2</v>
      </c>
      <c r="B6" s="3" t="s">
        <v>34</v>
      </c>
      <c r="C6" s="4">
        <v>640000</v>
      </c>
      <c r="D6" s="5">
        <v>46165</v>
      </c>
      <c r="E6" s="6">
        <v>0</v>
      </c>
      <c r="F6" s="3" t="s">
        <v>14</v>
      </c>
      <c r="G6" s="49">
        <v>2301</v>
      </c>
      <c r="H6" s="7">
        <v>0</v>
      </c>
      <c r="I6" s="3" t="s">
        <v>15</v>
      </c>
      <c r="J6" s="5">
        <f>+D6-1</f>
        <v>46164</v>
      </c>
      <c r="K6" s="8"/>
    </row>
    <row r="7" spans="1:11" ht="15.75" x14ac:dyDescent="0.25">
      <c r="A7" s="3">
        <v>3</v>
      </c>
      <c r="B7" s="3" t="s">
        <v>71</v>
      </c>
      <c r="C7" s="4">
        <v>1</v>
      </c>
      <c r="D7" s="5">
        <v>46165</v>
      </c>
      <c r="E7" s="6">
        <v>0</v>
      </c>
      <c r="F7" s="3" t="s">
        <v>14</v>
      </c>
      <c r="G7" s="49">
        <v>7149</v>
      </c>
      <c r="H7" s="7">
        <v>0</v>
      </c>
      <c r="I7" s="3" t="s">
        <v>15</v>
      </c>
      <c r="J7" s="5">
        <f>+D7-1</f>
        <v>46164</v>
      </c>
      <c r="K7" s="8"/>
    </row>
    <row r="8" spans="1:11" ht="15.75" x14ac:dyDescent="0.25">
      <c r="A8" s="3">
        <v>4</v>
      </c>
      <c r="B8" s="3" t="s">
        <v>71</v>
      </c>
      <c r="C8" s="4">
        <v>2680</v>
      </c>
      <c r="D8" s="5">
        <v>46165</v>
      </c>
      <c r="E8" s="6">
        <v>0</v>
      </c>
      <c r="F8" s="3" t="s">
        <v>14</v>
      </c>
      <c r="G8" s="49">
        <v>8495</v>
      </c>
      <c r="H8" s="7">
        <v>0</v>
      </c>
      <c r="I8" s="3" t="s">
        <v>15</v>
      </c>
      <c r="J8" s="5">
        <f>+D8-1</f>
        <v>46164</v>
      </c>
      <c r="K8" s="8"/>
    </row>
    <row r="9" spans="1:11" ht="18.75" x14ac:dyDescent="0.3">
      <c r="A9" s="9"/>
      <c r="B9" s="10" t="s">
        <v>16</v>
      </c>
      <c r="C9" s="53">
        <f>SUM(C5:C8)</f>
        <v>668446</v>
      </c>
      <c r="D9" s="3"/>
      <c r="E9" s="12"/>
      <c r="F9" s="9"/>
      <c r="G9" s="13"/>
      <c r="H9" s="11">
        <f>SUM(H5:H5)</f>
        <v>0</v>
      </c>
      <c r="I9" s="9"/>
      <c r="J9" s="9"/>
      <c r="K9" s="9"/>
    </row>
    <row r="11" spans="1:11" ht="24" x14ac:dyDescent="0.4">
      <c r="A11" s="122" t="s">
        <v>17</v>
      </c>
      <c r="B11" s="123"/>
      <c r="C11" s="123"/>
      <c r="D11" s="123"/>
      <c r="E11" s="123"/>
      <c r="F11" s="123"/>
      <c r="G11" s="123"/>
      <c r="H11" s="123"/>
      <c r="I11" s="123"/>
      <c r="J11" s="123"/>
      <c r="K11" s="124"/>
    </row>
    <row r="12" spans="1:11" ht="15.75" x14ac:dyDescent="0.25">
      <c r="A12" s="3">
        <v>2</v>
      </c>
      <c r="B12" s="3" t="s">
        <v>92</v>
      </c>
      <c r="C12" s="4">
        <v>3750</v>
      </c>
      <c r="D12" s="5">
        <v>46165</v>
      </c>
      <c r="E12" s="14">
        <v>0</v>
      </c>
      <c r="F12" s="13" t="s">
        <v>18</v>
      </c>
      <c r="G12" s="15">
        <v>2307</v>
      </c>
      <c r="H12" s="16">
        <v>0</v>
      </c>
      <c r="I12" s="3" t="s">
        <v>19</v>
      </c>
      <c r="J12" s="5">
        <f t="shared" ref="J12:J19" si="0">+D12+1</f>
        <v>46166</v>
      </c>
      <c r="K12" s="13" t="s">
        <v>93</v>
      </c>
    </row>
    <row r="13" spans="1:11" ht="15.75" x14ac:dyDescent="0.25">
      <c r="A13" s="3">
        <v>3</v>
      </c>
      <c r="B13" s="3" t="s">
        <v>94</v>
      </c>
      <c r="C13" s="4">
        <v>1000</v>
      </c>
      <c r="D13" s="5">
        <f t="shared" ref="D13:D19" si="1">+D12</f>
        <v>46165</v>
      </c>
      <c r="E13" s="14">
        <v>0</v>
      </c>
      <c r="F13" s="13" t="s">
        <v>18</v>
      </c>
      <c r="G13" s="15">
        <v>4449</v>
      </c>
      <c r="H13" s="16">
        <v>0</v>
      </c>
      <c r="I13" s="3" t="s">
        <v>15</v>
      </c>
      <c r="J13" s="5">
        <f t="shared" si="0"/>
        <v>46166</v>
      </c>
      <c r="K13" s="13" t="s">
        <v>93</v>
      </c>
    </row>
    <row r="14" spans="1:11" ht="15.75" x14ac:dyDescent="0.25">
      <c r="A14" s="3">
        <v>4</v>
      </c>
      <c r="B14" s="3" t="s">
        <v>95</v>
      </c>
      <c r="C14" s="4">
        <v>14800</v>
      </c>
      <c r="D14" s="5">
        <f t="shared" si="1"/>
        <v>46165</v>
      </c>
      <c r="E14" s="14">
        <v>0</v>
      </c>
      <c r="F14" s="13" t="s">
        <v>18</v>
      </c>
      <c r="G14" s="15">
        <v>104</v>
      </c>
      <c r="H14" s="16">
        <v>0</v>
      </c>
      <c r="I14" s="3" t="s">
        <v>15</v>
      </c>
      <c r="J14" s="5">
        <f t="shared" si="0"/>
        <v>46166</v>
      </c>
      <c r="K14" s="13" t="s">
        <v>88</v>
      </c>
    </row>
    <row r="15" spans="1:11" ht="15.75" x14ac:dyDescent="0.25">
      <c r="A15" s="3">
        <v>5</v>
      </c>
      <c r="B15" s="3" t="s">
        <v>96</v>
      </c>
      <c r="C15" s="4">
        <v>1860</v>
      </c>
      <c r="D15" s="5">
        <f t="shared" si="1"/>
        <v>46165</v>
      </c>
      <c r="E15" s="14">
        <v>0</v>
      </c>
      <c r="F15" s="13" t="s">
        <v>18</v>
      </c>
      <c r="G15" s="15">
        <v>478</v>
      </c>
      <c r="H15" s="16">
        <v>0</v>
      </c>
      <c r="I15" s="3" t="s">
        <v>15</v>
      </c>
      <c r="J15" s="5">
        <f t="shared" si="0"/>
        <v>46166</v>
      </c>
      <c r="K15" s="13" t="s">
        <v>93</v>
      </c>
    </row>
    <row r="16" spans="1:11" ht="15.75" x14ac:dyDescent="0.25">
      <c r="A16" s="3">
        <v>6</v>
      </c>
      <c r="B16" s="3" t="s">
        <v>97</v>
      </c>
      <c r="C16" s="4">
        <v>2000</v>
      </c>
      <c r="D16" s="5">
        <f t="shared" si="1"/>
        <v>46165</v>
      </c>
      <c r="E16" s="14">
        <v>0</v>
      </c>
      <c r="F16" s="13" t="s">
        <v>18</v>
      </c>
      <c r="G16" s="15">
        <v>6460</v>
      </c>
      <c r="H16" s="16">
        <v>0</v>
      </c>
      <c r="I16" s="3" t="s">
        <v>15</v>
      </c>
      <c r="J16" s="5">
        <f t="shared" si="0"/>
        <v>46166</v>
      </c>
      <c r="K16" s="13" t="s">
        <v>93</v>
      </c>
    </row>
    <row r="17" spans="1:11" ht="15.75" x14ac:dyDescent="0.25">
      <c r="A17" s="3">
        <v>7</v>
      </c>
      <c r="B17" s="3" t="s">
        <v>97</v>
      </c>
      <c r="C17" s="4">
        <v>1500</v>
      </c>
      <c r="D17" s="5">
        <f t="shared" si="1"/>
        <v>46165</v>
      </c>
      <c r="E17" s="14">
        <v>0</v>
      </c>
      <c r="F17" s="13" t="s">
        <v>18</v>
      </c>
      <c r="G17" s="15">
        <v>6480</v>
      </c>
      <c r="H17" s="16">
        <v>0</v>
      </c>
      <c r="I17" s="3" t="s">
        <v>15</v>
      </c>
      <c r="J17" s="5">
        <f t="shared" si="0"/>
        <v>46166</v>
      </c>
      <c r="K17" s="13" t="s">
        <v>93</v>
      </c>
    </row>
    <row r="18" spans="1:11" ht="15.75" x14ac:dyDescent="0.25">
      <c r="A18" s="3">
        <v>8</v>
      </c>
      <c r="B18" s="3" t="s">
        <v>83</v>
      </c>
      <c r="C18" s="4">
        <v>2500</v>
      </c>
      <c r="D18" s="5">
        <f t="shared" si="1"/>
        <v>46165</v>
      </c>
      <c r="E18" s="14">
        <v>0</v>
      </c>
      <c r="F18" s="13" t="s">
        <v>18</v>
      </c>
      <c r="G18" s="15">
        <v>3193</v>
      </c>
      <c r="H18" s="16">
        <v>0</v>
      </c>
      <c r="I18" s="3" t="s">
        <v>15</v>
      </c>
      <c r="J18" s="5">
        <f t="shared" si="0"/>
        <v>46166</v>
      </c>
      <c r="K18" s="13" t="s">
        <v>90</v>
      </c>
    </row>
    <row r="19" spans="1:11" ht="15.75" x14ac:dyDescent="0.25">
      <c r="A19" s="3">
        <v>9</v>
      </c>
      <c r="B19" s="3"/>
      <c r="C19" s="4">
        <v>0</v>
      </c>
      <c r="D19" s="5">
        <f t="shared" si="1"/>
        <v>46165</v>
      </c>
      <c r="E19" s="14">
        <v>0</v>
      </c>
      <c r="F19" s="13" t="s">
        <v>18</v>
      </c>
      <c r="G19" s="15"/>
      <c r="H19" s="16">
        <v>0</v>
      </c>
      <c r="I19" s="3" t="s">
        <v>15</v>
      </c>
      <c r="J19" s="5">
        <f t="shared" si="0"/>
        <v>46166</v>
      </c>
      <c r="K19" s="13"/>
    </row>
    <row r="20" spans="1:11" ht="18.75" x14ac:dyDescent="0.3">
      <c r="A20" s="3"/>
      <c r="B20" s="17" t="s">
        <v>16</v>
      </c>
      <c r="C20" s="54">
        <f>SUM(C12:C19)</f>
        <v>27410</v>
      </c>
      <c r="D20" s="3"/>
      <c r="E20" s="3"/>
      <c r="F20" s="13"/>
      <c r="G20" s="13"/>
      <c r="H20" s="11"/>
      <c r="I20" s="3"/>
      <c r="J20" s="3"/>
      <c r="K20" s="3"/>
    </row>
    <row r="21" spans="1:11" ht="24.75" x14ac:dyDescent="0.5">
      <c r="A21" s="125" t="s">
        <v>20</v>
      </c>
      <c r="B21" s="126"/>
      <c r="C21" s="126"/>
      <c r="D21" s="126"/>
      <c r="E21" s="126"/>
      <c r="F21" s="126"/>
      <c r="G21" s="126"/>
      <c r="H21" s="126"/>
      <c r="I21" s="126"/>
      <c r="J21" s="126"/>
      <c r="K21" s="127"/>
    </row>
    <row r="22" spans="1:11" ht="18.75" x14ac:dyDescent="0.3">
      <c r="A22" s="19" t="s">
        <v>3</v>
      </c>
      <c r="B22" s="19" t="s">
        <v>21</v>
      </c>
      <c r="C22" s="50" t="s">
        <v>5</v>
      </c>
      <c r="D22" s="1" t="s">
        <v>22</v>
      </c>
      <c r="E22" s="19" t="s">
        <v>7</v>
      </c>
      <c r="F22" s="19" t="s">
        <v>8</v>
      </c>
      <c r="G22" s="19" t="s">
        <v>23</v>
      </c>
      <c r="H22" s="20" t="s">
        <v>24</v>
      </c>
      <c r="I22" s="19" t="s">
        <v>11</v>
      </c>
      <c r="J22" s="19" t="s">
        <v>25</v>
      </c>
      <c r="K22" s="21" t="s">
        <v>26</v>
      </c>
    </row>
    <row r="23" spans="1:11" ht="15.75" x14ac:dyDescent="0.25">
      <c r="A23" s="8">
        <v>1</v>
      </c>
      <c r="B23" s="8" t="s">
        <v>64</v>
      </c>
      <c r="C23" s="47">
        <v>24006</v>
      </c>
      <c r="D23" s="5">
        <v>46165</v>
      </c>
      <c r="E23" s="8"/>
      <c r="F23" s="8"/>
      <c r="G23" s="22">
        <v>75</v>
      </c>
      <c r="H23" s="23"/>
      <c r="I23" s="24"/>
      <c r="J23" s="3"/>
      <c r="K23" s="13" t="s">
        <v>65</v>
      </c>
    </row>
    <row r="24" spans="1:11" ht="15.75" x14ac:dyDescent="0.25">
      <c r="A24" s="8">
        <v>2</v>
      </c>
      <c r="B24" s="8" t="s">
        <v>66</v>
      </c>
      <c r="C24" s="47">
        <v>25000</v>
      </c>
      <c r="D24" s="5">
        <v>46165</v>
      </c>
      <c r="E24" s="8"/>
      <c r="F24" s="8"/>
      <c r="G24" s="22">
        <v>3280</v>
      </c>
      <c r="H24" s="23"/>
      <c r="I24" s="24"/>
      <c r="J24" s="3"/>
      <c r="K24" s="13"/>
    </row>
    <row r="25" spans="1:11" ht="15.75" x14ac:dyDescent="0.25">
      <c r="A25" s="8">
        <v>3</v>
      </c>
      <c r="B25" s="8" t="s">
        <v>67</v>
      </c>
      <c r="C25" s="47">
        <v>100000</v>
      </c>
      <c r="D25" s="5">
        <v>46165</v>
      </c>
      <c r="E25" s="8"/>
      <c r="F25" s="8"/>
      <c r="G25" s="22">
        <v>2487</v>
      </c>
      <c r="H25" s="23"/>
      <c r="I25" s="24"/>
      <c r="J25" s="3"/>
      <c r="K25" s="13" t="s">
        <v>68</v>
      </c>
    </row>
    <row r="26" spans="1:11" ht="15.75" x14ac:dyDescent="0.25">
      <c r="A26" s="8">
        <v>4</v>
      </c>
      <c r="B26" s="8" t="s">
        <v>52</v>
      </c>
      <c r="C26" s="47">
        <v>155000</v>
      </c>
      <c r="D26" s="5">
        <v>46165</v>
      </c>
      <c r="E26" s="8"/>
      <c r="F26" s="8"/>
      <c r="G26" s="22">
        <v>109</v>
      </c>
      <c r="H26" s="23"/>
      <c r="I26" s="24"/>
      <c r="J26" s="3"/>
      <c r="K26" s="13"/>
    </row>
    <row r="27" spans="1:11" ht="15.75" x14ac:dyDescent="0.25">
      <c r="A27" s="8">
        <v>5</v>
      </c>
      <c r="B27" s="8" t="s">
        <v>69</v>
      </c>
      <c r="C27" s="47">
        <v>300000</v>
      </c>
      <c r="D27" s="5">
        <v>46165</v>
      </c>
      <c r="E27" s="8"/>
      <c r="F27" s="8"/>
      <c r="G27" s="22">
        <v>1799</v>
      </c>
      <c r="H27" s="23"/>
      <c r="I27" s="24"/>
      <c r="J27" s="3"/>
      <c r="K27" s="13"/>
    </row>
    <row r="28" spans="1:11" ht="15.75" x14ac:dyDescent="0.25">
      <c r="A28" s="8">
        <v>6</v>
      </c>
      <c r="B28" s="8" t="s">
        <v>70</v>
      </c>
      <c r="C28" s="47">
        <v>1000</v>
      </c>
      <c r="D28" s="5">
        <v>46165</v>
      </c>
      <c r="E28" s="8"/>
      <c r="F28" s="8"/>
      <c r="G28" s="22">
        <v>2780</v>
      </c>
      <c r="H28" s="23"/>
      <c r="I28" s="24"/>
      <c r="J28" s="3"/>
      <c r="K28" s="13"/>
    </row>
    <row r="29" spans="1:11" ht="15.75" x14ac:dyDescent="0.25">
      <c r="A29" s="8">
        <v>7</v>
      </c>
      <c r="B29" s="8" t="s">
        <v>70</v>
      </c>
      <c r="C29" s="47">
        <v>23157</v>
      </c>
      <c r="D29" s="5">
        <v>46165</v>
      </c>
      <c r="E29" s="8"/>
      <c r="F29" s="8"/>
      <c r="G29" s="22">
        <v>4150</v>
      </c>
      <c r="H29" s="23"/>
      <c r="I29" s="24"/>
      <c r="J29" s="3"/>
      <c r="K29" s="13"/>
    </row>
    <row r="30" spans="1:11" ht="18.75" x14ac:dyDescent="0.25">
      <c r="A30" s="8"/>
      <c r="B30" s="25" t="s">
        <v>27</v>
      </c>
      <c r="C30" s="51">
        <f>SUM(C23:C29)</f>
        <v>628163</v>
      </c>
      <c r="D30" s="3"/>
      <c r="E30" s="8"/>
      <c r="F30" s="8"/>
      <c r="G30" s="8"/>
      <c r="H30" s="27">
        <v>0</v>
      </c>
      <c r="I30" s="24"/>
      <c r="J30" s="3"/>
      <c r="K30" s="28"/>
    </row>
    <row r="31" spans="1:11" x14ac:dyDescent="0.25">
      <c r="C31" s="29"/>
      <c r="H31" s="29"/>
    </row>
    <row r="32" spans="1:11" ht="16.5" x14ac:dyDescent="0.3">
      <c r="B32" s="30" t="s">
        <v>28</v>
      </c>
      <c r="C32" s="31">
        <v>0</v>
      </c>
      <c r="E32" s="32"/>
      <c r="F32" s="32"/>
      <c r="G32" s="116"/>
      <c r="H32" s="116"/>
    </row>
    <row r="33" spans="2:10" ht="16.5" x14ac:dyDescent="0.3">
      <c r="B33" s="33" t="s">
        <v>29</v>
      </c>
      <c r="C33" s="34">
        <v>0</v>
      </c>
      <c r="E33" s="35"/>
      <c r="F33" s="35"/>
      <c r="G33" s="36" t="s">
        <v>30</v>
      </c>
      <c r="H33" s="37"/>
    </row>
    <row r="34" spans="2:10" ht="24" x14ac:dyDescent="0.4">
      <c r="B34" s="38" t="s">
        <v>31</v>
      </c>
      <c r="C34" s="39">
        <v>0</v>
      </c>
      <c r="E34" s="40" t="s">
        <v>32</v>
      </c>
      <c r="F34" s="41"/>
      <c r="G34" s="42"/>
      <c r="H34" s="43"/>
      <c r="I34" s="42"/>
      <c r="J34" s="44"/>
    </row>
    <row r="35" spans="2:10" ht="18.75" x14ac:dyDescent="0.3">
      <c r="B35" s="45" t="s">
        <v>16</v>
      </c>
      <c r="C35" s="46">
        <f>SUM(C32:C34)</f>
        <v>0</v>
      </c>
      <c r="G35" s="36"/>
      <c r="H35" s="37"/>
      <c r="I35" s="36"/>
      <c r="J35" s="36"/>
    </row>
  </sheetData>
  <mergeCells count="6">
    <mergeCell ref="G32:H32"/>
    <mergeCell ref="A1:K1"/>
    <mergeCell ref="A2:K2"/>
    <mergeCell ref="A3:K3"/>
    <mergeCell ref="A11:K11"/>
    <mergeCell ref="A21:K2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B6A0F-E386-4F53-B987-42041EC2368B}">
  <dimension ref="A1:K32"/>
  <sheetViews>
    <sheetView topLeftCell="A2" workbookViewId="0">
      <selection activeCell="N14" sqref="N14"/>
    </sheetView>
  </sheetViews>
  <sheetFormatPr defaultRowHeight="15" x14ac:dyDescent="0.25"/>
  <cols>
    <col min="1" max="1" width="4.42578125" bestFit="1" customWidth="1"/>
    <col min="2" max="2" width="22" customWidth="1"/>
    <col min="3" max="3" width="12.570312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2.42578125" customWidth="1"/>
  </cols>
  <sheetData>
    <row r="1" spans="1:11" ht="48.75" x14ac:dyDescent="0.25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72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4">
        <v>27410</v>
      </c>
      <c r="D5" s="5">
        <v>46166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46165</v>
      </c>
      <c r="K5" s="8" t="s">
        <v>33</v>
      </c>
    </row>
    <row r="6" spans="1:11" ht="15.75" x14ac:dyDescent="0.25">
      <c r="A6" s="3">
        <v>2</v>
      </c>
      <c r="B6" s="3"/>
      <c r="C6" s="4">
        <v>0</v>
      </c>
      <c r="D6" s="5"/>
      <c r="E6" s="6"/>
      <c r="F6" s="3"/>
      <c r="G6" s="49"/>
      <c r="H6" s="7"/>
      <c r="I6" s="3"/>
      <c r="J6" s="5"/>
      <c r="K6" s="8"/>
    </row>
    <row r="7" spans="1:11" ht="18.75" x14ac:dyDescent="0.3">
      <c r="A7" s="9"/>
      <c r="B7" s="10" t="s">
        <v>16</v>
      </c>
      <c r="C7" s="53">
        <f>SUM(C5:C5)</f>
        <v>27410</v>
      </c>
      <c r="D7" s="3"/>
      <c r="E7" s="12"/>
      <c r="F7" s="9"/>
      <c r="G7" s="13"/>
      <c r="H7" s="11">
        <f>SUM(H5:H5)</f>
        <v>0</v>
      </c>
      <c r="I7" s="9"/>
      <c r="J7" s="9"/>
      <c r="K7" s="9"/>
    </row>
    <row r="9" spans="1:11" ht="24" x14ac:dyDescent="0.4">
      <c r="A9" s="122" t="s">
        <v>17</v>
      </c>
      <c r="B9" s="123"/>
      <c r="C9" s="123"/>
      <c r="D9" s="123"/>
      <c r="E9" s="123"/>
      <c r="F9" s="123"/>
      <c r="G9" s="123"/>
      <c r="H9" s="123"/>
      <c r="I9" s="123"/>
      <c r="J9" s="123"/>
      <c r="K9" s="124"/>
    </row>
    <row r="10" spans="1:11" ht="15.75" x14ac:dyDescent="0.25">
      <c r="A10" s="3">
        <v>2</v>
      </c>
      <c r="B10" s="3" t="s">
        <v>98</v>
      </c>
      <c r="C10" s="4">
        <v>1950</v>
      </c>
      <c r="D10" s="5">
        <v>46166</v>
      </c>
      <c r="E10" s="14">
        <v>0</v>
      </c>
      <c r="F10" s="13" t="s">
        <v>18</v>
      </c>
      <c r="G10" s="15">
        <v>8368</v>
      </c>
      <c r="H10" s="16">
        <v>0</v>
      </c>
      <c r="I10" s="3" t="s">
        <v>19</v>
      </c>
      <c r="J10" s="5">
        <f t="shared" ref="J10:J17" si="0">+D10+1</f>
        <v>46167</v>
      </c>
      <c r="K10" s="13" t="s">
        <v>93</v>
      </c>
    </row>
    <row r="11" spans="1:11" ht="15.75" x14ac:dyDescent="0.25">
      <c r="A11" s="3">
        <v>3</v>
      </c>
      <c r="B11" s="3" t="s">
        <v>99</v>
      </c>
      <c r="C11" s="4">
        <v>1350</v>
      </c>
      <c r="D11" s="5">
        <f t="shared" ref="D11:D17" si="1">+D10</f>
        <v>46166</v>
      </c>
      <c r="E11" s="14">
        <v>0</v>
      </c>
      <c r="F11" s="13" t="s">
        <v>18</v>
      </c>
      <c r="G11" s="15">
        <v>7013</v>
      </c>
      <c r="H11" s="16">
        <v>0</v>
      </c>
      <c r="I11" s="3" t="s">
        <v>15</v>
      </c>
      <c r="J11" s="5">
        <f t="shared" si="0"/>
        <v>46167</v>
      </c>
      <c r="K11" s="13" t="s">
        <v>93</v>
      </c>
    </row>
    <row r="12" spans="1:11" ht="15.75" x14ac:dyDescent="0.25">
      <c r="A12" s="3">
        <v>4</v>
      </c>
      <c r="B12" s="3" t="s">
        <v>100</v>
      </c>
      <c r="C12" s="4">
        <v>8050</v>
      </c>
      <c r="D12" s="5">
        <f t="shared" si="1"/>
        <v>46166</v>
      </c>
      <c r="E12" s="14">
        <v>0</v>
      </c>
      <c r="F12" s="13" t="s">
        <v>18</v>
      </c>
      <c r="G12" s="15">
        <v>2472</v>
      </c>
      <c r="H12" s="16">
        <v>0</v>
      </c>
      <c r="I12" s="3" t="s">
        <v>15</v>
      </c>
      <c r="J12" s="5">
        <f t="shared" si="0"/>
        <v>46167</v>
      </c>
      <c r="K12" s="13" t="s">
        <v>93</v>
      </c>
    </row>
    <row r="13" spans="1:11" ht="15.75" x14ac:dyDescent="0.25">
      <c r="A13" s="3">
        <v>5</v>
      </c>
      <c r="B13" s="3" t="s">
        <v>101</v>
      </c>
      <c r="C13" s="4">
        <v>1</v>
      </c>
      <c r="D13" s="5">
        <f t="shared" si="1"/>
        <v>46166</v>
      </c>
      <c r="E13" s="14">
        <v>0</v>
      </c>
      <c r="F13" s="13" t="s">
        <v>18</v>
      </c>
      <c r="G13" s="15">
        <v>438</v>
      </c>
      <c r="H13" s="16">
        <v>0</v>
      </c>
      <c r="I13" s="3" t="s">
        <v>15</v>
      </c>
      <c r="J13" s="5">
        <f t="shared" si="0"/>
        <v>46167</v>
      </c>
      <c r="K13" s="13" t="s">
        <v>102</v>
      </c>
    </row>
    <row r="14" spans="1:11" ht="15.75" x14ac:dyDescent="0.25">
      <c r="A14" s="3">
        <v>6</v>
      </c>
      <c r="B14" s="3" t="s">
        <v>101</v>
      </c>
      <c r="C14" s="4">
        <v>2000</v>
      </c>
      <c r="D14" s="5">
        <f t="shared" si="1"/>
        <v>46166</v>
      </c>
      <c r="E14" s="14">
        <v>0</v>
      </c>
      <c r="F14" s="13" t="s">
        <v>18</v>
      </c>
      <c r="G14" s="15">
        <v>2890</v>
      </c>
      <c r="H14" s="16">
        <v>0</v>
      </c>
      <c r="I14" s="3" t="s">
        <v>15</v>
      </c>
      <c r="J14" s="5">
        <f t="shared" si="0"/>
        <v>46167</v>
      </c>
      <c r="K14" s="13" t="s">
        <v>102</v>
      </c>
    </row>
    <row r="15" spans="1:11" ht="15.75" x14ac:dyDescent="0.25">
      <c r="A15" s="3">
        <v>7</v>
      </c>
      <c r="B15" s="3" t="s">
        <v>101</v>
      </c>
      <c r="C15" s="4">
        <v>1600</v>
      </c>
      <c r="D15" s="5">
        <f t="shared" si="1"/>
        <v>46166</v>
      </c>
      <c r="E15" s="14">
        <v>0</v>
      </c>
      <c r="F15" s="13" t="s">
        <v>18</v>
      </c>
      <c r="G15" s="15">
        <v>6682</v>
      </c>
      <c r="H15" s="16">
        <v>0</v>
      </c>
      <c r="I15" s="3" t="s">
        <v>15</v>
      </c>
      <c r="J15" s="5">
        <f t="shared" si="0"/>
        <v>46167</v>
      </c>
      <c r="K15" s="13" t="s">
        <v>102</v>
      </c>
    </row>
    <row r="16" spans="1:11" ht="15.75" x14ac:dyDescent="0.25">
      <c r="A16" s="3">
        <v>8</v>
      </c>
      <c r="B16" s="3"/>
      <c r="C16" s="4">
        <v>0</v>
      </c>
      <c r="D16" s="5">
        <f t="shared" si="1"/>
        <v>46166</v>
      </c>
      <c r="E16" s="14">
        <v>0</v>
      </c>
      <c r="F16" s="13" t="s">
        <v>18</v>
      </c>
      <c r="G16" s="15"/>
      <c r="H16" s="16">
        <v>0</v>
      </c>
      <c r="I16" s="3" t="s">
        <v>15</v>
      </c>
      <c r="J16" s="5">
        <f t="shared" si="0"/>
        <v>46167</v>
      </c>
      <c r="K16" s="13"/>
    </row>
    <row r="17" spans="1:11" ht="15.75" x14ac:dyDescent="0.25">
      <c r="A17" s="3">
        <v>9</v>
      </c>
      <c r="B17" s="3"/>
      <c r="C17" s="4">
        <v>0</v>
      </c>
      <c r="D17" s="5">
        <f t="shared" si="1"/>
        <v>46166</v>
      </c>
      <c r="E17" s="14">
        <v>0</v>
      </c>
      <c r="F17" s="13" t="s">
        <v>18</v>
      </c>
      <c r="G17" s="15"/>
      <c r="H17" s="16">
        <v>0</v>
      </c>
      <c r="I17" s="3" t="s">
        <v>15</v>
      </c>
      <c r="J17" s="5">
        <f t="shared" si="0"/>
        <v>46167</v>
      </c>
      <c r="K17" s="13"/>
    </row>
    <row r="18" spans="1:11" ht="18.75" x14ac:dyDescent="0.3">
      <c r="A18" s="3"/>
      <c r="B18" s="17" t="s">
        <v>16</v>
      </c>
      <c r="C18" s="54">
        <f>SUM(C10:C17)</f>
        <v>14951</v>
      </c>
      <c r="D18" s="3"/>
      <c r="E18" s="3"/>
      <c r="F18" s="13"/>
      <c r="G18" s="13"/>
      <c r="H18" s="11"/>
      <c r="I18" s="3"/>
      <c r="J18" s="3"/>
      <c r="K18" s="3"/>
    </row>
    <row r="19" spans="1:11" ht="24.75" x14ac:dyDescent="0.5">
      <c r="A19" s="125" t="s">
        <v>20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7"/>
    </row>
    <row r="20" spans="1:11" ht="18.75" x14ac:dyDescent="0.3">
      <c r="A20" s="19" t="s">
        <v>3</v>
      </c>
      <c r="B20" s="19" t="s">
        <v>21</v>
      </c>
      <c r="C20" s="50" t="s">
        <v>5</v>
      </c>
      <c r="D20" s="1" t="s">
        <v>22</v>
      </c>
      <c r="E20" s="19" t="s">
        <v>7</v>
      </c>
      <c r="F20" s="19" t="s">
        <v>8</v>
      </c>
      <c r="G20" s="19" t="s">
        <v>23</v>
      </c>
      <c r="H20" s="20" t="s">
        <v>24</v>
      </c>
      <c r="I20" s="19" t="s">
        <v>11</v>
      </c>
      <c r="J20" s="19" t="s">
        <v>25</v>
      </c>
      <c r="K20" s="21" t="s">
        <v>26</v>
      </c>
    </row>
    <row r="21" spans="1:11" ht="15.75" x14ac:dyDescent="0.25">
      <c r="A21" s="8">
        <v>1</v>
      </c>
      <c r="B21" s="8" t="s">
        <v>73</v>
      </c>
      <c r="C21" s="47">
        <v>11499</v>
      </c>
      <c r="D21" s="5">
        <v>46166</v>
      </c>
      <c r="E21" s="8"/>
      <c r="F21" s="8"/>
      <c r="G21" s="22">
        <v>445</v>
      </c>
      <c r="H21" s="23"/>
      <c r="I21" s="24"/>
      <c r="J21" s="3"/>
      <c r="K21" s="13"/>
    </row>
    <row r="22" spans="1:11" ht="15.75" x14ac:dyDescent="0.25">
      <c r="A22" s="8">
        <v>2</v>
      </c>
      <c r="B22" s="8"/>
      <c r="C22" s="47">
        <v>0</v>
      </c>
      <c r="D22" s="5"/>
      <c r="E22" s="8"/>
      <c r="F22" s="8"/>
      <c r="G22" s="22"/>
      <c r="H22" s="23"/>
      <c r="I22" s="24"/>
      <c r="J22" s="3"/>
      <c r="K22" s="13"/>
    </row>
    <row r="23" spans="1:11" ht="15.75" x14ac:dyDescent="0.25">
      <c r="A23" s="8">
        <v>3</v>
      </c>
      <c r="B23" s="8"/>
      <c r="C23" s="47">
        <v>0</v>
      </c>
      <c r="D23" s="5"/>
      <c r="E23" s="8"/>
      <c r="F23" s="8"/>
      <c r="G23" s="22"/>
      <c r="H23" s="23"/>
      <c r="I23" s="24"/>
      <c r="J23" s="3"/>
      <c r="K23" s="13"/>
    </row>
    <row r="24" spans="1:11" ht="15.75" x14ac:dyDescent="0.25">
      <c r="A24" s="8">
        <v>4</v>
      </c>
      <c r="B24" s="8"/>
      <c r="C24" s="47">
        <v>0</v>
      </c>
      <c r="D24" s="5"/>
      <c r="E24" s="8"/>
      <c r="F24" s="8"/>
      <c r="G24" s="22"/>
      <c r="H24" s="23"/>
      <c r="I24" s="24"/>
      <c r="J24" s="3"/>
      <c r="K24" s="13"/>
    </row>
    <row r="25" spans="1:11" ht="15.75" x14ac:dyDescent="0.25">
      <c r="A25" s="8">
        <v>5</v>
      </c>
      <c r="B25" s="8"/>
      <c r="C25" s="47">
        <v>0</v>
      </c>
      <c r="D25" s="5"/>
      <c r="E25" s="8"/>
      <c r="F25" s="8"/>
      <c r="G25" s="22"/>
      <c r="H25" s="23"/>
      <c r="I25" s="24"/>
      <c r="J25" s="3"/>
      <c r="K25" s="13"/>
    </row>
    <row r="26" spans="1:11" ht="15.75" x14ac:dyDescent="0.25">
      <c r="A26" s="8">
        <v>6</v>
      </c>
      <c r="B26" s="8"/>
      <c r="C26" s="47">
        <v>0</v>
      </c>
      <c r="D26" s="5"/>
      <c r="E26" s="8"/>
      <c r="F26" s="8"/>
      <c r="G26" s="22"/>
      <c r="H26" s="23"/>
      <c r="I26" s="24"/>
      <c r="J26" s="3"/>
      <c r="K26" s="13"/>
    </row>
    <row r="27" spans="1:11" ht="18.75" x14ac:dyDescent="0.25">
      <c r="A27" s="8"/>
      <c r="B27" s="25" t="s">
        <v>27</v>
      </c>
      <c r="C27" s="52"/>
      <c r="D27" s="3"/>
      <c r="E27" s="8"/>
      <c r="F27" s="8"/>
      <c r="G27" s="8"/>
      <c r="H27" s="27">
        <v>0</v>
      </c>
      <c r="I27" s="24"/>
      <c r="J27" s="3"/>
      <c r="K27" s="28"/>
    </row>
    <row r="28" spans="1:11" x14ac:dyDescent="0.25">
      <c r="C28" s="29"/>
      <c r="H28" s="29"/>
    </row>
    <row r="29" spans="1:11" ht="16.5" x14ac:dyDescent="0.3">
      <c r="B29" s="30" t="s">
        <v>28</v>
      </c>
      <c r="C29" s="31">
        <v>0</v>
      </c>
      <c r="E29" s="32"/>
      <c r="F29" s="32"/>
      <c r="G29" s="116"/>
      <c r="H29" s="116"/>
    </row>
    <row r="30" spans="1:11" ht="16.5" x14ac:dyDescent="0.3">
      <c r="B30" s="33" t="s">
        <v>29</v>
      </c>
      <c r="C30" s="34">
        <v>0</v>
      </c>
      <c r="E30" s="35"/>
      <c r="F30" s="35"/>
      <c r="G30" s="36" t="s">
        <v>30</v>
      </c>
      <c r="H30" s="37"/>
    </row>
    <row r="31" spans="1:11" ht="24" x14ac:dyDescent="0.4">
      <c r="B31" s="38" t="s">
        <v>31</v>
      </c>
      <c r="C31" s="39">
        <v>0</v>
      </c>
      <c r="E31" s="40" t="s">
        <v>32</v>
      </c>
      <c r="F31" s="41"/>
      <c r="G31" s="42"/>
      <c r="H31" s="43"/>
      <c r="I31" s="42"/>
      <c r="J31" s="44"/>
    </row>
    <row r="32" spans="1:11" ht="18.75" x14ac:dyDescent="0.3">
      <c r="B32" s="45" t="s">
        <v>16</v>
      </c>
      <c r="C32" s="46">
        <f>SUM(C29:C31)</f>
        <v>0</v>
      </c>
      <c r="G32" s="36"/>
      <c r="H32" s="37"/>
      <c r="I32" s="36"/>
      <c r="J32" s="36"/>
    </row>
  </sheetData>
  <mergeCells count="6">
    <mergeCell ref="G29:H29"/>
    <mergeCell ref="A1:K1"/>
    <mergeCell ref="A2:K2"/>
    <mergeCell ref="A3:K3"/>
    <mergeCell ref="A9:K9"/>
    <mergeCell ref="A19:K19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06A4E-1B47-4380-BE57-FA9B1A1D6E35}">
  <dimension ref="A1:K29"/>
  <sheetViews>
    <sheetView topLeftCell="A2" workbookViewId="0">
      <selection activeCell="N8" sqref="N8"/>
    </sheetView>
  </sheetViews>
  <sheetFormatPr defaultRowHeight="15" x14ac:dyDescent="0.25"/>
  <cols>
    <col min="1" max="1" width="4.42578125" bestFit="1" customWidth="1"/>
    <col min="2" max="2" width="23.7109375" customWidth="1"/>
    <col min="3" max="3" width="12.570312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9.85546875" customWidth="1"/>
  </cols>
  <sheetData>
    <row r="1" spans="1:11" ht="48.75" x14ac:dyDescent="0.25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74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4">
        <v>14951</v>
      </c>
      <c r="D5" s="5">
        <v>46167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46166</v>
      </c>
      <c r="K5" s="8" t="s">
        <v>33</v>
      </c>
    </row>
    <row r="6" spans="1:11" ht="15.75" x14ac:dyDescent="0.25">
      <c r="A6" s="3">
        <v>2</v>
      </c>
      <c r="B6" s="3" t="s">
        <v>181</v>
      </c>
      <c r="C6" s="4">
        <v>12585</v>
      </c>
      <c r="D6" s="5">
        <v>46167</v>
      </c>
      <c r="E6" s="6">
        <v>0</v>
      </c>
      <c r="F6" s="3" t="s">
        <v>14</v>
      </c>
      <c r="G6" s="49">
        <v>1456</v>
      </c>
      <c r="H6" s="7">
        <v>0</v>
      </c>
      <c r="I6" s="3" t="s">
        <v>15</v>
      </c>
      <c r="J6" s="5">
        <f>+D6-1</f>
        <v>46166</v>
      </c>
      <c r="K6" s="8"/>
    </row>
    <row r="7" spans="1:11" ht="15.75" x14ac:dyDescent="0.25">
      <c r="A7" s="3">
        <v>3</v>
      </c>
      <c r="B7" s="3" t="s">
        <v>181</v>
      </c>
      <c r="C7" s="4">
        <v>13585</v>
      </c>
      <c r="D7" s="5">
        <v>46167</v>
      </c>
      <c r="E7" s="6">
        <v>0</v>
      </c>
      <c r="F7" s="3" t="s">
        <v>14</v>
      </c>
      <c r="G7" s="49">
        <v>1456</v>
      </c>
      <c r="H7" s="7">
        <v>0</v>
      </c>
      <c r="I7" s="3" t="s">
        <v>15</v>
      </c>
      <c r="J7" s="5">
        <f>+D7-1</f>
        <v>46166</v>
      </c>
      <c r="K7" s="8"/>
    </row>
    <row r="8" spans="1:11" ht="15.75" x14ac:dyDescent="0.25">
      <c r="A8" s="3">
        <v>4</v>
      </c>
      <c r="B8" s="3" t="s">
        <v>182</v>
      </c>
      <c r="C8" s="4">
        <v>13585</v>
      </c>
      <c r="D8" s="5">
        <v>46167</v>
      </c>
      <c r="E8" s="6">
        <v>0</v>
      </c>
      <c r="F8" s="3" t="s">
        <v>14</v>
      </c>
      <c r="G8" s="49">
        <v>6605</v>
      </c>
      <c r="H8" s="7">
        <v>0</v>
      </c>
      <c r="I8" s="3" t="s">
        <v>15</v>
      </c>
      <c r="J8" s="5">
        <f>+D8-1</f>
        <v>46166</v>
      </c>
      <c r="K8" s="8"/>
    </row>
    <row r="9" spans="1:11" ht="18.75" x14ac:dyDescent="0.3">
      <c r="A9" s="9"/>
      <c r="B9" s="10" t="s">
        <v>16</v>
      </c>
      <c r="C9" s="53">
        <f>SUM(C5:C8)</f>
        <v>54706</v>
      </c>
      <c r="D9" s="3"/>
      <c r="E9" s="12"/>
      <c r="F9" s="9"/>
      <c r="G9" s="13"/>
      <c r="H9" s="11">
        <f>SUM(H5:H5)</f>
        <v>0</v>
      </c>
      <c r="I9" s="9"/>
      <c r="J9" s="9"/>
      <c r="K9" s="9"/>
    </row>
    <row r="11" spans="1:11" ht="24" x14ac:dyDescent="0.4">
      <c r="A11" s="122" t="s">
        <v>17</v>
      </c>
      <c r="B11" s="123"/>
      <c r="C11" s="123"/>
      <c r="D11" s="123"/>
      <c r="E11" s="123"/>
      <c r="F11" s="123"/>
      <c r="G11" s="123"/>
      <c r="H11" s="123"/>
      <c r="I11" s="123"/>
      <c r="J11" s="123"/>
      <c r="K11" s="124"/>
    </row>
    <row r="12" spans="1:11" ht="15.75" x14ac:dyDescent="0.25">
      <c r="A12" s="3">
        <v>2</v>
      </c>
      <c r="B12" s="3" t="s">
        <v>103</v>
      </c>
      <c r="C12" s="4">
        <v>17500</v>
      </c>
      <c r="D12" s="5">
        <v>46167</v>
      </c>
      <c r="E12" s="14">
        <v>0</v>
      </c>
      <c r="F12" s="13" t="s">
        <v>18</v>
      </c>
      <c r="G12" s="15">
        <v>4041</v>
      </c>
      <c r="H12" s="16">
        <v>0</v>
      </c>
      <c r="I12" s="3" t="s">
        <v>19</v>
      </c>
      <c r="J12" s="5">
        <f t="shared" ref="J12:J14" si="0">+D12+1</f>
        <v>46168</v>
      </c>
      <c r="K12" s="13" t="s">
        <v>104</v>
      </c>
    </row>
    <row r="13" spans="1:11" ht="15.75" x14ac:dyDescent="0.25">
      <c r="A13" s="3">
        <v>3</v>
      </c>
      <c r="B13" s="3" t="s">
        <v>105</v>
      </c>
      <c r="C13" s="4">
        <v>65000</v>
      </c>
      <c r="D13" s="5">
        <f t="shared" ref="D13:D14" si="1">+D12</f>
        <v>46167</v>
      </c>
      <c r="E13" s="14">
        <v>0</v>
      </c>
      <c r="F13" s="13" t="s">
        <v>18</v>
      </c>
      <c r="G13" s="15">
        <v>6470</v>
      </c>
      <c r="H13" s="16">
        <v>0</v>
      </c>
      <c r="I13" s="3" t="s">
        <v>15</v>
      </c>
      <c r="J13" s="5">
        <f t="shared" si="0"/>
        <v>46168</v>
      </c>
      <c r="K13" s="13" t="s">
        <v>106</v>
      </c>
    </row>
    <row r="14" spans="1:11" ht="15.75" x14ac:dyDescent="0.25">
      <c r="A14" s="3">
        <v>4</v>
      </c>
      <c r="B14" s="3"/>
      <c r="C14" s="4">
        <v>0</v>
      </c>
      <c r="D14" s="5">
        <f t="shared" si="1"/>
        <v>46167</v>
      </c>
      <c r="E14" s="14">
        <v>0</v>
      </c>
      <c r="F14" s="13" t="s">
        <v>18</v>
      </c>
      <c r="G14" s="15"/>
      <c r="H14" s="16">
        <v>0</v>
      </c>
      <c r="I14" s="3" t="s">
        <v>15</v>
      </c>
      <c r="J14" s="5">
        <f t="shared" si="0"/>
        <v>46168</v>
      </c>
      <c r="K14" s="13"/>
    </row>
    <row r="15" spans="1:11" ht="18.75" x14ac:dyDescent="0.3">
      <c r="A15" s="3"/>
      <c r="B15" s="17" t="s">
        <v>16</v>
      </c>
      <c r="C15" s="54">
        <f>SUM(C12:C14)</f>
        <v>82500</v>
      </c>
      <c r="D15" s="3"/>
      <c r="E15" s="3"/>
      <c r="F15" s="13"/>
      <c r="G15" s="13"/>
      <c r="H15" s="11"/>
      <c r="I15" s="3"/>
      <c r="J15" s="3"/>
      <c r="K15" s="3"/>
    </row>
    <row r="16" spans="1:11" ht="24.75" x14ac:dyDescent="0.5">
      <c r="A16" s="125" t="s">
        <v>20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7"/>
    </row>
    <row r="17" spans="1:11" ht="18.75" x14ac:dyDescent="0.3">
      <c r="A17" s="19" t="s">
        <v>3</v>
      </c>
      <c r="B17" s="19" t="s">
        <v>21</v>
      </c>
      <c r="C17" s="50" t="s">
        <v>5</v>
      </c>
      <c r="D17" s="1" t="s">
        <v>22</v>
      </c>
      <c r="E17" s="19" t="s">
        <v>7</v>
      </c>
      <c r="F17" s="19" t="s">
        <v>8</v>
      </c>
      <c r="G17" s="19" t="s">
        <v>23</v>
      </c>
      <c r="H17" s="20" t="s">
        <v>24</v>
      </c>
      <c r="I17" s="19" t="s">
        <v>11</v>
      </c>
      <c r="J17" s="19" t="s">
        <v>25</v>
      </c>
      <c r="K17" s="21" t="s">
        <v>26</v>
      </c>
    </row>
    <row r="18" spans="1:11" ht="15.75" x14ac:dyDescent="0.25">
      <c r="A18" s="8">
        <v>1</v>
      </c>
      <c r="B18" s="8" t="s">
        <v>183</v>
      </c>
      <c r="C18" s="47">
        <v>12585</v>
      </c>
      <c r="D18" s="5"/>
      <c r="E18" s="8"/>
      <c r="F18" s="8"/>
      <c r="G18" s="22">
        <v>4993</v>
      </c>
      <c r="H18" s="23"/>
      <c r="I18" s="24"/>
      <c r="J18" s="3"/>
      <c r="K18" s="13"/>
    </row>
    <row r="19" spans="1:11" ht="15.75" x14ac:dyDescent="0.25">
      <c r="A19" s="8">
        <v>2</v>
      </c>
      <c r="B19" s="8" t="s">
        <v>183</v>
      </c>
      <c r="C19" s="47">
        <v>13585</v>
      </c>
      <c r="D19" s="5"/>
      <c r="E19" s="8"/>
      <c r="F19" s="8"/>
      <c r="G19" s="22">
        <v>404</v>
      </c>
      <c r="H19" s="23"/>
      <c r="I19" s="24"/>
      <c r="J19" s="3"/>
      <c r="K19" s="13"/>
    </row>
    <row r="20" spans="1:11" ht="15.75" x14ac:dyDescent="0.25">
      <c r="A20" s="8">
        <v>3</v>
      </c>
      <c r="B20" s="8" t="s">
        <v>183</v>
      </c>
      <c r="C20" s="47">
        <v>13585</v>
      </c>
      <c r="D20" s="5"/>
      <c r="E20" s="8"/>
      <c r="F20" s="8"/>
      <c r="G20" s="22">
        <v>6243</v>
      </c>
      <c r="H20" s="23"/>
      <c r="I20" s="24"/>
      <c r="J20" s="3"/>
      <c r="K20" s="13"/>
    </row>
    <row r="21" spans="1:11" ht="15.75" x14ac:dyDescent="0.25">
      <c r="A21" s="8">
        <v>4</v>
      </c>
      <c r="B21" s="8" t="s">
        <v>184</v>
      </c>
      <c r="C21" s="47">
        <v>10000</v>
      </c>
      <c r="D21" s="5"/>
      <c r="E21" s="8"/>
      <c r="F21" s="8"/>
      <c r="G21" s="22">
        <v>818</v>
      </c>
      <c r="H21" s="23"/>
      <c r="I21" s="24"/>
      <c r="J21" s="3"/>
      <c r="K21" s="13"/>
    </row>
    <row r="22" spans="1:11" ht="15.75" x14ac:dyDescent="0.25">
      <c r="A22" s="8">
        <v>5</v>
      </c>
      <c r="B22" s="8" t="s">
        <v>52</v>
      </c>
      <c r="C22" s="47">
        <v>30000</v>
      </c>
      <c r="D22" s="5"/>
      <c r="E22" s="8"/>
      <c r="F22" s="8"/>
      <c r="G22" s="22">
        <v>223</v>
      </c>
      <c r="H22" s="23"/>
      <c r="I22" s="24"/>
      <c r="J22" s="3"/>
      <c r="K22" s="13"/>
    </row>
    <row r="23" spans="1:11" ht="15.75" x14ac:dyDescent="0.25">
      <c r="A23" s="8">
        <v>6</v>
      </c>
      <c r="B23" s="8"/>
      <c r="C23" s="47">
        <v>0</v>
      </c>
      <c r="D23" s="5"/>
      <c r="E23" s="8"/>
      <c r="F23" s="8"/>
      <c r="G23" s="22"/>
      <c r="H23" s="23"/>
      <c r="I23" s="24"/>
      <c r="J23" s="3"/>
      <c r="K23" s="13"/>
    </row>
    <row r="24" spans="1:11" ht="18.75" x14ac:dyDescent="0.25">
      <c r="A24" s="8"/>
      <c r="B24" s="25" t="s">
        <v>27</v>
      </c>
      <c r="C24" s="52"/>
      <c r="D24" s="3"/>
      <c r="E24" s="8"/>
      <c r="F24" s="8"/>
      <c r="G24" s="8"/>
      <c r="H24" s="27">
        <v>0</v>
      </c>
      <c r="I24" s="24"/>
      <c r="J24" s="3"/>
      <c r="K24" s="28"/>
    </row>
    <row r="25" spans="1:11" x14ac:dyDescent="0.25">
      <c r="C25" s="29"/>
      <c r="H25" s="29"/>
    </row>
    <row r="26" spans="1:11" ht="16.5" x14ac:dyDescent="0.3">
      <c r="B26" s="30" t="s">
        <v>28</v>
      </c>
      <c r="C26" s="31">
        <v>0</v>
      </c>
      <c r="E26" s="32"/>
      <c r="F26" s="32"/>
      <c r="G26" s="116"/>
      <c r="H26" s="116"/>
    </row>
    <row r="27" spans="1:11" ht="16.5" x14ac:dyDescent="0.3">
      <c r="B27" s="33" t="s">
        <v>29</v>
      </c>
      <c r="C27" s="34">
        <v>0</v>
      </c>
      <c r="E27" s="35"/>
      <c r="F27" s="35"/>
      <c r="G27" s="36" t="s">
        <v>30</v>
      </c>
      <c r="H27" s="37"/>
    </row>
    <row r="28" spans="1:11" ht="24" x14ac:dyDescent="0.4">
      <c r="B28" s="38" t="s">
        <v>31</v>
      </c>
      <c r="C28" s="39">
        <v>0</v>
      </c>
      <c r="E28" s="40" t="s">
        <v>32</v>
      </c>
      <c r="F28" s="41"/>
      <c r="G28" s="42"/>
      <c r="H28" s="43"/>
      <c r="I28" s="42"/>
      <c r="J28" s="44"/>
    </row>
    <row r="29" spans="1:11" ht="18.75" x14ac:dyDescent="0.3">
      <c r="B29" s="45" t="s">
        <v>16</v>
      </c>
      <c r="C29" s="46">
        <f>SUM(C26:C28)</f>
        <v>0</v>
      </c>
      <c r="G29" s="36"/>
      <c r="H29" s="37"/>
      <c r="I29" s="36"/>
      <c r="J29" s="36"/>
    </row>
  </sheetData>
  <mergeCells count="6">
    <mergeCell ref="G26:H26"/>
    <mergeCell ref="A1:K1"/>
    <mergeCell ref="A2:K2"/>
    <mergeCell ref="A3:K3"/>
    <mergeCell ref="A11:K11"/>
    <mergeCell ref="A16:K16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101EE-20E2-4BBD-BE00-C7AA4F949A13}">
  <dimension ref="A1:K27"/>
  <sheetViews>
    <sheetView workbookViewId="0">
      <selection activeCell="A7" sqref="A7:XFD9"/>
    </sheetView>
  </sheetViews>
  <sheetFormatPr defaultRowHeight="15" x14ac:dyDescent="0.25"/>
  <cols>
    <col min="1" max="1" width="4.42578125" bestFit="1" customWidth="1"/>
    <col min="2" max="2" width="23" customWidth="1"/>
    <col min="3" max="3" width="14.42578125" bestFit="1" customWidth="1"/>
    <col min="4" max="4" width="16.7109375" customWidth="1"/>
    <col min="5" max="5" width="13.28515625" customWidth="1"/>
    <col min="6" max="6" width="15.140625" customWidth="1"/>
    <col min="7" max="7" width="12.85546875" bestFit="1" customWidth="1"/>
    <col min="8" max="8" width="10.28515625" bestFit="1" customWidth="1"/>
    <col min="9" max="10" width="12" customWidth="1"/>
    <col min="11" max="11" width="21.7109375" bestFit="1" customWidth="1"/>
    <col min="12" max="12" width="13.42578125" customWidth="1"/>
  </cols>
  <sheetData>
    <row r="1" spans="1:11" ht="48.75" x14ac:dyDescent="0.25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75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4">
        <v>135500</v>
      </c>
      <c r="D5" s="5">
        <v>46168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46167</v>
      </c>
      <c r="K5" s="8" t="s">
        <v>33</v>
      </c>
    </row>
    <row r="6" spans="1:11" ht="15.75" x14ac:dyDescent="0.25">
      <c r="A6" s="3">
        <v>2</v>
      </c>
      <c r="B6" s="3"/>
      <c r="C6" s="4">
        <v>0</v>
      </c>
      <c r="D6" s="5"/>
      <c r="E6" s="6"/>
      <c r="F6" s="3"/>
      <c r="G6" s="49"/>
      <c r="H6" s="7"/>
      <c r="I6" s="3"/>
      <c r="J6" s="5"/>
      <c r="K6" s="8"/>
    </row>
    <row r="7" spans="1:11" ht="18.75" x14ac:dyDescent="0.3">
      <c r="A7" s="9"/>
      <c r="B7" s="10" t="s">
        <v>16</v>
      </c>
      <c r="C7" s="53">
        <f>SUM(C5:C5)</f>
        <v>135500</v>
      </c>
      <c r="D7" s="3"/>
      <c r="E7" s="12"/>
      <c r="F7" s="9"/>
      <c r="G7" s="13"/>
      <c r="H7" s="11">
        <f>SUM(H5:H5)</f>
        <v>0</v>
      </c>
      <c r="I7" s="9"/>
      <c r="J7" s="9"/>
      <c r="K7" s="9"/>
    </row>
    <row r="9" spans="1:11" ht="24" x14ac:dyDescent="0.4">
      <c r="A9" s="122" t="s">
        <v>17</v>
      </c>
      <c r="B9" s="123"/>
      <c r="C9" s="123"/>
      <c r="D9" s="123"/>
      <c r="E9" s="123"/>
      <c r="F9" s="123"/>
      <c r="G9" s="123"/>
      <c r="H9" s="123"/>
      <c r="I9" s="123"/>
      <c r="J9" s="123"/>
      <c r="K9" s="124"/>
    </row>
    <row r="10" spans="1:11" ht="15.75" x14ac:dyDescent="0.25">
      <c r="A10" s="3">
        <v>2</v>
      </c>
      <c r="B10" s="3" t="s">
        <v>107</v>
      </c>
      <c r="C10" s="4">
        <v>1890</v>
      </c>
      <c r="D10" s="5">
        <v>46168</v>
      </c>
      <c r="E10" s="14">
        <v>0</v>
      </c>
      <c r="F10" s="13" t="s">
        <v>18</v>
      </c>
      <c r="G10" s="15">
        <v>2919</v>
      </c>
      <c r="H10" s="16">
        <v>0</v>
      </c>
      <c r="I10" s="3" t="s">
        <v>19</v>
      </c>
      <c r="J10" s="5">
        <f t="shared" ref="J10:J16" si="0">+D10+1</f>
        <v>46169</v>
      </c>
      <c r="K10" s="13" t="s">
        <v>108</v>
      </c>
    </row>
    <row r="11" spans="1:11" ht="15.75" x14ac:dyDescent="0.25">
      <c r="A11" s="3">
        <v>3</v>
      </c>
      <c r="B11" s="3" t="s">
        <v>109</v>
      </c>
      <c r="C11" s="4">
        <v>4025</v>
      </c>
      <c r="D11" s="5">
        <f t="shared" ref="D11:D16" si="1">+D10</f>
        <v>46168</v>
      </c>
      <c r="E11" s="14">
        <v>0</v>
      </c>
      <c r="F11" s="13" t="s">
        <v>18</v>
      </c>
      <c r="G11" s="15">
        <v>5264</v>
      </c>
      <c r="H11" s="16">
        <v>0</v>
      </c>
      <c r="I11" s="3" t="s">
        <v>15</v>
      </c>
      <c r="J11" s="5">
        <f t="shared" si="0"/>
        <v>46169</v>
      </c>
      <c r="K11" s="13" t="s">
        <v>110</v>
      </c>
    </row>
    <row r="12" spans="1:11" ht="15.75" x14ac:dyDescent="0.25">
      <c r="A12" s="3">
        <v>4</v>
      </c>
      <c r="B12" s="3" t="s">
        <v>111</v>
      </c>
      <c r="C12" s="4">
        <v>2900</v>
      </c>
      <c r="D12" s="5">
        <f t="shared" si="1"/>
        <v>46168</v>
      </c>
      <c r="E12" s="14">
        <v>0</v>
      </c>
      <c r="F12" s="13" t="s">
        <v>18</v>
      </c>
      <c r="G12" s="15">
        <v>4425</v>
      </c>
      <c r="H12" s="16">
        <v>0</v>
      </c>
      <c r="I12" s="3" t="s">
        <v>15</v>
      </c>
      <c r="J12" s="5">
        <f t="shared" si="0"/>
        <v>46169</v>
      </c>
      <c r="K12" s="13" t="s">
        <v>110</v>
      </c>
    </row>
    <row r="13" spans="1:11" ht="15.75" x14ac:dyDescent="0.25">
      <c r="A13" s="3">
        <v>5</v>
      </c>
      <c r="B13" s="3" t="s">
        <v>112</v>
      </c>
      <c r="C13" s="4">
        <v>230</v>
      </c>
      <c r="D13" s="5">
        <f t="shared" si="1"/>
        <v>46168</v>
      </c>
      <c r="E13" s="14">
        <v>0</v>
      </c>
      <c r="F13" s="13" t="s">
        <v>18</v>
      </c>
      <c r="G13" s="15">
        <v>5789</v>
      </c>
      <c r="H13" s="16">
        <v>0</v>
      </c>
      <c r="I13" s="3" t="s">
        <v>15</v>
      </c>
      <c r="J13" s="5">
        <f t="shared" si="0"/>
        <v>46169</v>
      </c>
      <c r="K13" s="13" t="s">
        <v>113</v>
      </c>
    </row>
    <row r="14" spans="1:11" ht="15.75" x14ac:dyDescent="0.25">
      <c r="A14" s="3">
        <v>6</v>
      </c>
      <c r="B14" s="3" t="s">
        <v>114</v>
      </c>
      <c r="C14" s="4">
        <v>1680</v>
      </c>
      <c r="D14" s="5">
        <f t="shared" si="1"/>
        <v>46168</v>
      </c>
      <c r="E14" s="14">
        <v>0</v>
      </c>
      <c r="F14" s="13" t="s">
        <v>18</v>
      </c>
      <c r="G14" s="15">
        <v>3875</v>
      </c>
      <c r="H14" s="16">
        <v>0</v>
      </c>
      <c r="I14" s="3" t="s">
        <v>15</v>
      </c>
      <c r="J14" s="5">
        <f t="shared" si="0"/>
        <v>46169</v>
      </c>
      <c r="K14" s="13" t="s">
        <v>115</v>
      </c>
    </row>
    <row r="15" spans="1:11" ht="15.75" x14ac:dyDescent="0.25">
      <c r="A15" s="3">
        <v>7</v>
      </c>
      <c r="B15" s="3" t="s">
        <v>116</v>
      </c>
      <c r="C15" s="4">
        <v>785</v>
      </c>
      <c r="D15" s="5">
        <f t="shared" si="1"/>
        <v>46168</v>
      </c>
      <c r="E15" s="14">
        <v>0</v>
      </c>
      <c r="F15" s="13" t="s">
        <v>18</v>
      </c>
      <c r="G15" s="15">
        <v>4785</v>
      </c>
      <c r="H15" s="16">
        <v>0</v>
      </c>
      <c r="I15" s="3" t="s">
        <v>15</v>
      </c>
      <c r="J15" s="5">
        <f t="shared" si="0"/>
        <v>46169</v>
      </c>
      <c r="K15" s="13" t="s">
        <v>115</v>
      </c>
    </row>
    <row r="16" spans="1:11" ht="15.75" x14ac:dyDescent="0.25">
      <c r="A16" s="3">
        <v>8</v>
      </c>
      <c r="B16" s="3"/>
      <c r="C16" s="4">
        <v>0</v>
      </c>
      <c r="D16" s="5">
        <f t="shared" si="1"/>
        <v>46168</v>
      </c>
      <c r="E16" s="14">
        <v>0</v>
      </c>
      <c r="F16" s="13" t="s">
        <v>18</v>
      </c>
      <c r="G16" s="15"/>
      <c r="H16" s="16">
        <v>0</v>
      </c>
      <c r="I16" s="3" t="s">
        <v>15</v>
      </c>
      <c r="J16" s="5">
        <f t="shared" si="0"/>
        <v>46169</v>
      </c>
      <c r="K16" s="13"/>
    </row>
    <row r="17" spans="1:11" ht="18.75" x14ac:dyDescent="0.3">
      <c r="A17" s="3"/>
      <c r="B17" s="17" t="s">
        <v>16</v>
      </c>
      <c r="C17" s="54">
        <f>SUM(C10:C16)</f>
        <v>11510</v>
      </c>
      <c r="D17" s="3"/>
      <c r="E17" s="3"/>
      <c r="F17" s="13"/>
      <c r="G17" s="13"/>
      <c r="H17" s="11"/>
      <c r="I17" s="3"/>
      <c r="J17" s="3"/>
      <c r="K17" s="3"/>
    </row>
    <row r="18" spans="1:11" ht="24.75" x14ac:dyDescent="0.5">
      <c r="A18" s="125" t="s">
        <v>20</v>
      </c>
      <c r="B18" s="126"/>
      <c r="C18" s="126"/>
      <c r="D18" s="126"/>
      <c r="E18" s="126"/>
      <c r="F18" s="126"/>
      <c r="G18" s="126"/>
      <c r="H18" s="126"/>
      <c r="I18" s="126"/>
      <c r="J18" s="126"/>
      <c r="K18" s="127"/>
    </row>
    <row r="19" spans="1:11" ht="18.75" x14ac:dyDescent="0.3">
      <c r="A19" s="19" t="s">
        <v>3</v>
      </c>
      <c r="B19" s="19" t="s">
        <v>21</v>
      </c>
      <c r="C19" s="50" t="s">
        <v>5</v>
      </c>
      <c r="D19" s="1" t="s">
        <v>22</v>
      </c>
      <c r="E19" s="19" t="s">
        <v>7</v>
      </c>
      <c r="F19" s="19" t="s">
        <v>8</v>
      </c>
      <c r="G19" s="19" t="s">
        <v>23</v>
      </c>
      <c r="H19" s="20" t="s">
        <v>24</v>
      </c>
      <c r="I19" s="19" t="s">
        <v>11</v>
      </c>
      <c r="J19" s="19" t="s">
        <v>25</v>
      </c>
      <c r="K19" s="21" t="s">
        <v>26</v>
      </c>
    </row>
    <row r="20" spans="1:11" ht="15.75" x14ac:dyDescent="0.25">
      <c r="A20" s="8">
        <v>1</v>
      </c>
      <c r="B20" s="8" t="s">
        <v>185</v>
      </c>
      <c r="C20" s="47">
        <v>6000</v>
      </c>
      <c r="D20" s="5"/>
      <c r="E20" s="8"/>
      <c r="F20" s="8"/>
      <c r="G20" s="22">
        <v>763</v>
      </c>
      <c r="H20" s="23"/>
      <c r="I20" s="24"/>
      <c r="J20" s="3"/>
      <c r="K20" s="13"/>
    </row>
    <row r="21" spans="1:11" ht="15.75" x14ac:dyDescent="0.25">
      <c r="A21" s="8">
        <v>2</v>
      </c>
      <c r="B21" s="8" t="s">
        <v>185</v>
      </c>
      <c r="C21" s="47">
        <v>1000</v>
      </c>
      <c r="D21" s="5"/>
      <c r="E21" s="8"/>
      <c r="F21" s="8"/>
      <c r="G21" s="22">
        <v>9370</v>
      </c>
      <c r="H21" s="23"/>
      <c r="I21" s="24"/>
      <c r="J21" s="3"/>
      <c r="K21" s="13"/>
    </row>
    <row r="22" spans="1:11" ht="18.75" x14ac:dyDescent="0.25">
      <c r="A22" s="8"/>
      <c r="B22" s="25" t="s">
        <v>27</v>
      </c>
      <c r="C22" s="52"/>
      <c r="D22" s="3"/>
      <c r="E22" s="8"/>
      <c r="F22" s="8"/>
      <c r="G22" s="8"/>
      <c r="H22" s="27">
        <v>0</v>
      </c>
      <c r="I22" s="24"/>
      <c r="J22" s="3"/>
      <c r="K22" s="28"/>
    </row>
    <row r="23" spans="1:11" x14ac:dyDescent="0.25">
      <c r="C23" s="29"/>
      <c r="H23" s="29"/>
    </row>
    <row r="24" spans="1:11" ht="16.5" x14ac:dyDescent="0.3">
      <c r="B24" s="30" t="s">
        <v>28</v>
      </c>
      <c r="C24" s="31">
        <v>0</v>
      </c>
      <c r="E24" s="32"/>
      <c r="F24" s="32"/>
      <c r="G24" s="116"/>
      <c r="H24" s="116"/>
    </row>
    <row r="25" spans="1:11" ht="16.5" x14ac:dyDescent="0.3">
      <c r="B25" s="33" t="s">
        <v>29</v>
      </c>
      <c r="C25" s="34">
        <v>0</v>
      </c>
      <c r="E25" s="35"/>
      <c r="F25" s="35"/>
      <c r="G25" s="36" t="s">
        <v>30</v>
      </c>
      <c r="H25" s="37"/>
    </row>
    <row r="26" spans="1:11" ht="24" x14ac:dyDescent="0.4">
      <c r="B26" s="38" t="s">
        <v>31</v>
      </c>
      <c r="C26" s="39">
        <v>0</v>
      </c>
      <c r="E26" s="40" t="s">
        <v>32</v>
      </c>
      <c r="F26" s="41"/>
      <c r="G26" s="42"/>
      <c r="H26" s="43"/>
      <c r="I26" s="42"/>
      <c r="J26" s="44"/>
    </row>
    <row r="27" spans="1:11" ht="18.75" x14ac:dyDescent="0.3">
      <c r="B27" s="45" t="s">
        <v>16</v>
      </c>
      <c r="C27" s="46">
        <f>SUM(C24:C26)</f>
        <v>0</v>
      </c>
      <c r="G27" s="36"/>
      <c r="H27" s="37"/>
      <c r="I27" s="36"/>
      <c r="J27" s="36"/>
    </row>
  </sheetData>
  <mergeCells count="6">
    <mergeCell ref="G24:H24"/>
    <mergeCell ref="A1:K1"/>
    <mergeCell ref="A2:K2"/>
    <mergeCell ref="A3:K3"/>
    <mergeCell ref="A9:K9"/>
    <mergeCell ref="A18:K18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B6CE7-61C1-4D20-B6BF-F047E2AC4ABF}">
  <dimension ref="A1:K30"/>
  <sheetViews>
    <sheetView workbookViewId="0">
      <selection activeCell="D22" sqref="D22"/>
    </sheetView>
  </sheetViews>
  <sheetFormatPr defaultRowHeight="15" x14ac:dyDescent="0.25"/>
  <cols>
    <col min="1" max="1" width="4.42578125" bestFit="1" customWidth="1"/>
    <col min="2" max="2" width="28.5703125" bestFit="1" customWidth="1"/>
    <col min="3" max="3" width="12.5703125" bestFit="1" customWidth="1"/>
    <col min="4" max="4" width="13.7109375" customWidth="1"/>
    <col min="7" max="7" width="12.85546875" bestFit="1" customWidth="1"/>
    <col min="10" max="10" width="17.85546875" customWidth="1"/>
    <col min="11" max="11" width="30.7109375" customWidth="1"/>
  </cols>
  <sheetData>
    <row r="1" spans="1:11" ht="48.75" x14ac:dyDescent="0.25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180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4">
        <v>11510</v>
      </c>
      <c r="D5" s="5">
        <v>46169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46168</v>
      </c>
      <c r="K5" s="8" t="s">
        <v>33</v>
      </c>
    </row>
    <row r="6" spans="1:11" ht="15.75" x14ac:dyDescent="0.25">
      <c r="A6" s="3">
        <v>2</v>
      </c>
      <c r="B6" s="3"/>
      <c r="C6" s="4">
        <v>0</v>
      </c>
      <c r="D6" s="5"/>
      <c r="E6" s="6"/>
      <c r="F6" s="3"/>
      <c r="G6" s="49"/>
      <c r="H6" s="7"/>
      <c r="I6" s="3"/>
      <c r="J6" s="5"/>
      <c r="K6" s="8"/>
    </row>
    <row r="7" spans="1:11" ht="18.75" x14ac:dyDescent="0.3">
      <c r="A7" s="9"/>
      <c r="B7" s="10" t="s">
        <v>16</v>
      </c>
      <c r="C7" s="53">
        <f>SUM(C5:C5)</f>
        <v>11510</v>
      </c>
      <c r="D7" s="3"/>
      <c r="E7" s="12"/>
      <c r="F7" s="9"/>
      <c r="G7" s="13"/>
      <c r="H7" s="11">
        <f>SUM(H5:H5)</f>
        <v>0</v>
      </c>
      <c r="I7" s="9"/>
      <c r="J7" s="9"/>
      <c r="K7" s="9"/>
    </row>
    <row r="9" spans="1:11" ht="24" x14ac:dyDescent="0.4">
      <c r="A9" s="122" t="s">
        <v>17</v>
      </c>
      <c r="B9" s="123"/>
      <c r="C9" s="123"/>
      <c r="D9" s="123"/>
      <c r="E9" s="123"/>
      <c r="F9" s="123"/>
      <c r="G9" s="123"/>
      <c r="H9" s="123"/>
      <c r="I9" s="123"/>
      <c r="J9" s="123"/>
      <c r="K9" s="124"/>
    </row>
    <row r="10" spans="1:11" ht="15.75" x14ac:dyDescent="0.25">
      <c r="A10" s="3">
        <v>2</v>
      </c>
      <c r="B10" s="3" t="s">
        <v>117</v>
      </c>
      <c r="C10" s="4">
        <v>13500</v>
      </c>
      <c r="D10" s="5">
        <v>46169</v>
      </c>
      <c r="E10" s="14">
        <v>0</v>
      </c>
      <c r="F10" s="13" t="s">
        <v>18</v>
      </c>
      <c r="G10" s="15">
        <v>9485</v>
      </c>
      <c r="H10" s="16">
        <v>0</v>
      </c>
      <c r="I10" s="3" t="s">
        <v>19</v>
      </c>
      <c r="J10" s="5">
        <f t="shared" ref="J10:J15" si="0">+D10+1</f>
        <v>46170</v>
      </c>
      <c r="K10" s="13" t="s">
        <v>122</v>
      </c>
    </row>
    <row r="11" spans="1:11" ht="15.75" x14ac:dyDescent="0.25">
      <c r="A11" s="3">
        <v>3</v>
      </c>
      <c r="B11" s="3" t="s">
        <v>118</v>
      </c>
      <c r="C11" s="4">
        <v>10</v>
      </c>
      <c r="D11" s="5">
        <f t="shared" ref="D11:D15" si="1">+D10</f>
        <v>46169</v>
      </c>
      <c r="E11" s="14">
        <v>0</v>
      </c>
      <c r="F11" s="13" t="s">
        <v>18</v>
      </c>
      <c r="G11" s="15">
        <v>9827</v>
      </c>
      <c r="H11" s="16">
        <v>0</v>
      </c>
      <c r="I11" s="3" t="s">
        <v>15</v>
      </c>
      <c r="J11" s="5">
        <f t="shared" si="0"/>
        <v>46170</v>
      </c>
      <c r="K11" s="13" t="s">
        <v>115</v>
      </c>
    </row>
    <row r="12" spans="1:11" ht="15.75" x14ac:dyDescent="0.25">
      <c r="A12" s="3">
        <v>4</v>
      </c>
      <c r="B12" s="3" t="s">
        <v>119</v>
      </c>
      <c r="C12" s="4">
        <v>100</v>
      </c>
      <c r="D12" s="5">
        <f t="shared" si="1"/>
        <v>46169</v>
      </c>
      <c r="E12" s="14">
        <v>0</v>
      </c>
      <c r="F12" s="13" t="s">
        <v>18</v>
      </c>
      <c r="G12" s="15">
        <v>8655</v>
      </c>
      <c r="H12" s="16">
        <v>0</v>
      </c>
      <c r="I12" s="3" t="s">
        <v>15</v>
      </c>
      <c r="J12" s="5">
        <f t="shared" si="0"/>
        <v>46170</v>
      </c>
      <c r="K12" s="13" t="s">
        <v>123</v>
      </c>
    </row>
    <row r="13" spans="1:11" ht="15.75" x14ac:dyDescent="0.25">
      <c r="A13" s="3">
        <v>5</v>
      </c>
      <c r="B13" s="3" t="s">
        <v>120</v>
      </c>
      <c r="C13" s="4">
        <v>14000</v>
      </c>
      <c r="D13" s="5">
        <f t="shared" si="1"/>
        <v>46169</v>
      </c>
      <c r="E13" s="14">
        <v>0</v>
      </c>
      <c r="F13" s="13" t="s">
        <v>18</v>
      </c>
      <c r="G13" s="15">
        <v>6164</v>
      </c>
      <c r="H13" s="16">
        <v>0</v>
      </c>
      <c r="I13" s="3" t="s">
        <v>15</v>
      </c>
      <c r="J13" s="5">
        <f t="shared" si="0"/>
        <v>46170</v>
      </c>
      <c r="K13" s="13" t="s">
        <v>124</v>
      </c>
    </row>
    <row r="14" spans="1:11" ht="15.75" x14ac:dyDescent="0.25">
      <c r="A14" s="3">
        <v>6</v>
      </c>
      <c r="B14" s="3" t="s">
        <v>121</v>
      </c>
      <c r="C14" s="4">
        <v>3680</v>
      </c>
      <c r="D14" s="5">
        <f t="shared" si="1"/>
        <v>46169</v>
      </c>
      <c r="E14" s="14">
        <v>0</v>
      </c>
      <c r="F14" s="13" t="s">
        <v>18</v>
      </c>
      <c r="G14" s="15">
        <v>2471</v>
      </c>
      <c r="H14" s="16">
        <v>0</v>
      </c>
      <c r="I14" s="3" t="s">
        <v>15</v>
      </c>
      <c r="J14" s="5">
        <f t="shared" si="0"/>
        <v>46170</v>
      </c>
      <c r="K14" s="13" t="s">
        <v>115</v>
      </c>
    </row>
    <row r="15" spans="1:11" ht="15.75" x14ac:dyDescent="0.25">
      <c r="A15" s="3">
        <v>7</v>
      </c>
      <c r="B15" s="3"/>
      <c r="C15" s="4">
        <v>0</v>
      </c>
      <c r="D15" s="5">
        <f t="shared" si="1"/>
        <v>46169</v>
      </c>
      <c r="E15" s="14">
        <v>0</v>
      </c>
      <c r="F15" s="13" t="s">
        <v>18</v>
      </c>
      <c r="G15" s="15"/>
      <c r="H15" s="16">
        <v>0</v>
      </c>
      <c r="I15" s="3" t="s">
        <v>15</v>
      </c>
      <c r="J15" s="5">
        <f t="shared" si="0"/>
        <v>46170</v>
      </c>
      <c r="K15" s="13"/>
    </row>
    <row r="16" spans="1:11" ht="18.75" x14ac:dyDescent="0.3">
      <c r="A16" s="3"/>
      <c r="B16" s="17" t="s">
        <v>16</v>
      </c>
      <c r="C16" s="54">
        <f>SUM(C10:C15)</f>
        <v>31290</v>
      </c>
      <c r="D16" s="3"/>
      <c r="E16" s="3"/>
      <c r="F16" s="13"/>
      <c r="G16" s="13"/>
      <c r="H16" s="11"/>
      <c r="I16" s="3"/>
      <c r="J16" s="3"/>
      <c r="K16" s="3"/>
    </row>
    <row r="17" spans="1:11" ht="24.75" x14ac:dyDescent="0.5">
      <c r="A17" s="125" t="s">
        <v>20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7"/>
    </row>
    <row r="18" spans="1:11" ht="18.75" x14ac:dyDescent="0.3">
      <c r="A18" s="19" t="s">
        <v>3</v>
      </c>
      <c r="B18" s="19" t="s">
        <v>21</v>
      </c>
      <c r="C18" s="50" t="s">
        <v>5</v>
      </c>
      <c r="D18" s="1" t="s">
        <v>22</v>
      </c>
      <c r="E18" s="19" t="s">
        <v>7</v>
      </c>
      <c r="F18" s="19" t="s">
        <v>8</v>
      </c>
      <c r="G18" s="19" t="s">
        <v>23</v>
      </c>
      <c r="H18" s="20" t="s">
        <v>24</v>
      </c>
      <c r="I18" s="19" t="s">
        <v>11</v>
      </c>
      <c r="J18" s="19" t="s">
        <v>25</v>
      </c>
      <c r="K18" s="21" t="s">
        <v>26</v>
      </c>
    </row>
    <row r="19" spans="1:11" ht="15.75" x14ac:dyDescent="0.25">
      <c r="A19" s="8">
        <v>1</v>
      </c>
      <c r="B19" s="8" t="s">
        <v>186</v>
      </c>
      <c r="C19" s="47">
        <v>2000</v>
      </c>
      <c r="D19" s="5">
        <v>46169</v>
      </c>
      <c r="E19" s="8"/>
      <c r="F19" s="8"/>
      <c r="G19" s="22"/>
      <c r="H19" s="23"/>
      <c r="I19" s="24"/>
      <c r="J19" s="3"/>
      <c r="K19" s="13" t="s">
        <v>187</v>
      </c>
    </row>
    <row r="20" spans="1:11" ht="15.75" x14ac:dyDescent="0.25">
      <c r="A20" s="8">
        <v>2</v>
      </c>
      <c r="B20" s="8" t="s">
        <v>188</v>
      </c>
      <c r="C20" s="47">
        <v>5000</v>
      </c>
      <c r="D20" s="5">
        <v>46169</v>
      </c>
      <c r="E20" s="8"/>
      <c r="F20" s="8"/>
      <c r="G20" s="22"/>
      <c r="H20" s="23"/>
      <c r="I20" s="24"/>
      <c r="J20" s="3"/>
      <c r="K20" s="13"/>
    </row>
    <row r="21" spans="1:11" ht="15.75" x14ac:dyDescent="0.25">
      <c r="A21" s="8">
        <v>3</v>
      </c>
      <c r="B21" s="8" t="s">
        <v>185</v>
      </c>
      <c r="C21" s="47">
        <v>1000</v>
      </c>
      <c r="D21" s="5">
        <v>46169</v>
      </c>
      <c r="E21" s="8"/>
      <c r="F21" s="8"/>
      <c r="G21" s="22"/>
      <c r="H21" s="23"/>
      <c r="I21" s="24"/>
      <c r="J21" s="3"/>
      <c r="K21" s="13"/>
    </row>
    <row r="22" spans="1:11" ht="15.75" x14ac:dyDescent="0.25">
      <c r="A22" s="8">
        <v>4</v>
      </c>
      <c r="B22" s="8" t="s">
        <v>189</v>
      </c>
      <c r="C22" s="47">
        <v>25006</v>
      </c>
      <c r="D22" s="5">
        <v>46169</v>
      </c>
      <c r="E22" s="8"/>
      <c r="F22" s="8"/>
      <c r="G22" s="22"/>
      <c r="H22" s="23"/>
      <c r="I22" s="24"/>
      <c r="J22" s="3"/>
      <c r="K22" s="13"/>
    </row>
    <row r="23" spans="1:11" ht="15.75" x14ac:dyDescent="0.25">
      <c r="A23" s="8">
        <v>5</v>
      </c>
      <c r="B23" s="8"/>
      <c r="C23" s="47">
        <v>0</v>
      </c>
      <c r="D23" s="5"/>
      <c r="E23" s="8"/>
      <c r="F23" s="8"/>
      <c r="G23" s="22"/>
      <c r="H23" s="23"/>
      <c r="I23" s="24"/>
      <c r="J23" s="3"/>
      <c r="K23" s="13"/>
    </row>
    <row r="24" spans="1:11" ht="15.75" x14ac:dyDescent="0.25">
      <c r="A24" s="8">
        <v>6</v>
      </c>
      <c r="B24" s="8"/>
      <c r="C24" s="47">
        <v>0</v>
      </c>
      <c r="D24" s="5"/>
      <c r="E24" s="8"/>
      <c r="F24" s="8"/>
      <c r="G24" s="22"/>
      <c r="H24" s="23"/>
      <c r="I24" s="24"/>
      <c r="J24" s="3"/>
      <c r="K24" s="13"/>
    </row>
    <row r="25" spans="1:11" ht="18.75" x14ac:dyDescent="0.25">
      <c r="A25" s="8"/>
      <c r="B25" s="25" t="s">
        <v>27</v>
      </c>
      <c r="C25" s="52"/>
      <c r="D25" s="3"/>
      <c r="E25" s="8"/>
      <c r="F25" s="8"/>
      <c r="G25" s="8"/>
      <c r="H25" s="27">
        <v>0</v>
      </c>
      <c r="I25" s="24"/>
      <c r="J25" s="3"/>
      <c r="K25" s="28"/>
    </row>
    <row r="26" spans="1:11" x14ac:dyDescent="0.25">
      <c r="C26" s="29"/>
      <c r="H26" s="29"/>
    </row>
    <row r="27" spans="1:11" ht="16.5" x14ac:dyDescent="0.3">
      <c r="B27" s="30" t="s">
        <v>28</v>
      </c>
      <c r="C27" s="31">
        <v>0</v>
      </c>
      <c r="E27" s="32"/>
      <c r="F27" s="32"/>
      <c r="G27" s="116"/>
      <c r="H27" s="116"/>
    </row>
    <row r="28" spans="1:11" ht="16.5" x14ac:dyDescent="0.3">
      <c r="B28" s="33" t="s">
        <v>29</v>
      </c>
      <c r="C28" s="34">
        <v>0</v>
      </c>
      <c r="E28" s="35"/>
      <c r="F28" s="35"/>
      <c r="G28" s="36" t="s">
        <v>30</v>
      </c>
      <c r="H28" s="37"/>
    </row>
    <row r="29" spans="1:11" ht="24" x14ac:dyDescent="0.4">
      <c r="B29" s="38" t="s">
        <v>31</v>
      </c>
      <c r="C29" s="39">
        <v>0</v>
      </c>
      <c r="E29" s="40" t="s">
        <v>32</v>
      </c>
      <c r="F29" s="41"/>
      <c r="G29" s="42"/>
      <c r="H29" s="43"/>
      <c r="I29" s="42"/>
      <c r="J29" s="44"/>
    </row>
    <row r="30" spans="1:11" ht="18.75" x14ac:dyDescent="0.3">
      <c r="B30" s="45" t="s">
        <v>16</v>
      </c>
      <c r="C30" s="46">
        <f>SUM(C27:C29)</f>
        <v>0</v>
      </c>
      <c r="G30" s="36"/>
      <c r="H30" s="37"/>
      <c r="I30" s="36"/>
      <c r="J30" s="36"/>
    </row>
  </sheetData>
  <mergeCells count="6">
    <mergeCell ref="G27:H27"/>
    <mergeCell ref="A1:K1"/>
    <mergeCell ref="A2:K2"/>
    <mergeCell ref="A3:K3"/>
    <mergeCell ref="A9:K9"/>
    <mergeCell ref="A17:K17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9E677-A9A5-4149-9FF3-BB46CBE979B1}">
  <dimension ref="A1:K24"/>
  <sheetViews>
    <sheetView workbookViewId="0">
      <selection activeCell="O14" sqref="O14"/>
    </sheetView>
  </sheetViews>
  <sheetFormatPr defaultRowHeight="15" x14ac:dyDescent="0.25"/>
  <cols>
    <col min="2" max="2" width="26.5703125" bestFit="1" customWidth="1"/>
    <col min="3" max="3" width="14.42578125" bestFit="1" customWidth="1"/>
    <col min="4" max="4" width="10.85546875" bestFit="1" customWidth="1"/>
    <col min="10" max="10" width="14.5703125" customWidth="1"/>
    <col min="11" max="11" width="23" customWidth="1"/>
  </cols>
  <sheetData>
    <row r="1" spans="1:11" ht="48.75" x14ac:dyDescent="0.25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179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4">
        <v>31290</v>
      </c>
      <c r="D5" s="5">
        <v>46170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46169</v>
      </c>
      <c r="K5" s="8" t="s">
        <v>33</v>
      </c>
    </row>
    <row r="6" spans="1:11" ht="18.75" x14ac:dyDescent="0.3">
      <c r="A6" s="9"/>
      <c r="B6" s="10" t="s">
        <v>16</v>
      </c>
      <c r="C6" s="53">
        <f>SUM(C5:C5)</f>
        <v>31290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4" x14ac:dyDescent="0.4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75" x14ac:dyDescent="0.25">
      <c r="A9" s="3">
        <v>2</v>
      </c>
      <c r="B9" s="3" t="s">
        <v>125</v>
      </c>
      <c r="C9" s="4">
        <v>900</v>
      </c>
      <c r="D9" s="5">
        <v>46170</v>
      </c>
      <c r="E9" s="14">
        <v>0</v>
      </c>
      <c r="F9" s="13" t="s">
        <v>18</v>
      </c>
      <c r="G9" s="15">
        <v>2486</v>
      </c>
      <c r="H9" s="16">
        <v>0</v>
      </c>
      <c r="I9" s="3" t="s">
        <v>19</v>
      </c>
      <c r="J9" s="5">
        <f t="shared" ref="J9" si="0">+D9+1</f>
        <v>46171</v>
      </c>
      <c r="K9" s="13" t="s">
        <v>115</v>
      </c>
    </row>
    <row r="10" spans="1:11" ht="15.75" x14ac:dyDescent="0.25">
      <c r="A10" s="3">
        <v>3</v>
      </c>
      <c r="B10" s="3" t="s">
        <v>126</v>
      </c>
      <c r="C10" s="4">
        <v>18000</v>
      </c>
      <c r="D10" s="5">
        <f t="shared" ref="D10" si="1">+D9</f>
        <v>46170</v>
      </c>
      <c r="E10" s="14">
        <v>0</v>
      </c>
      <c r="F10" s="13" t="s">
        <v>18</v>
      </c>
      <c r="G10" s="15">
        <v>8642</v>
      </c>
      <c r="H10" s="16">
        <v>0</v>
      </c>
      <c r="I10" s="3" t="s">
        <v>15</v>
      </c>
      <c r="J10" s="5">
        <f>+D10+1</f>
        <v>46171</v>
      </c>
      <c r="K10" s="13" t="s">
        <v>127</v>
      </c>
    </row>
    <row r="11" spans="1:11" ht="15.75" x14ac:dyDescent="0.25">
      <c r="A11" s="3">
        <v>4</v>
      </c>
      <c r="B11" s="3" t="s">
        <v>128</v>
      </c>
      <c r="C11" s="4">
        <v>635</v>
      </c>
      <c r="D11" s="5">
        <f>+D10</f>
        <v>46170</v>
      </c>
      <c r="E11" s="14">
        <v>0</v>
      </c>
      <c r="F11" s="13" t="s">
        <v>18</v>
      </c>
      <c r="G11" s="15">
        <v>4201</v>
      </c>
      <c r="H11" s="16">
        <v>0</v>
      </c>
      <c r="I11" s="3" t="s">
        <v>15</v>
      </c>
      <c r="J11" s="5">
        <f>+D11+1</f>
        <v>46171</v>
      </c>
      <c r="K11" s="13" t="s">
        <v>115</v>
      </c>
    </row>
    <row r="12" spans="1:11" ht="18.75" x14ac:dyDescent="0.3">
      <c r="A12" s="3"/>
      <c r="B12" s="17" t="s">
        <v>16</v>
      </c>
      <c r="C12" s="54">
        <f>SUM(C9:C11)</f>
        <v>19535</v>
      </c>
      <c r="D12" s="3"/>
      <c r="E12" s="3"/>
      <c r="F12" s="13"/>
      <c r="G12" s="13"/>
      <c r="H12" s="11"/>
      <c r="I12" s="3"/>
      <c r="J12" s="3"/>
      <c r="K12" s="3"/>
    </row>
    <row r="13" spans="1:11" ht="24.75" x14ac:dyDescent="0.5">
      <c r="A13" s="125" t="s">
        <v>20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7"/>
    </row>
    <row r="14" spans="1:11" ht="18.75" x14ac:dyDescent="0.3">
      <c r="A14" s="19" t="s">
        <v>3</v>
      </c>
      <c r="B14" s="19" t="s">
        <v>21</v>
      </c>
      <c r="C14" s="50" t="s">
        <v>5</v>
      </c>
      <c r="D14" s="1" t="s">
        <v>22</v>
      </c>
      <c r="E14" s="19" t="s">
        <v>7</v>
      </c>
      <c r="F14" s="19" t="s">
        <v>8</v>
      </c>
      <c r="G14" s="19" t="s">
        <v>23</v>
      </c>
      <c r="H14" s="20" t="s">
        <v>24</v>
      </c>
      <c r="I14" s="19" t="s">
        <v>11</v>
      </c>
      <c r="J14" s="19" t="s">
        <v>25</v>
      </c>
      <c r="K14" s="21" t="s">
        <v>26</v>
      </c>
    </row>
    <row r="15" spans="1:11" ht="15.75" x14ac:dyDescent="0.25">
      <c r="A15" s="8">
        <v>1</v>
      </c>
      <c r="B15" s="8" t="s">
        <v>190</v>
      </c>
      <c r="C15" s="47">
        <v>1500</v>
      </c>
      <c r="D15" s="5"/>
      <c r="E15" s="8"/>
      <c r="F15" s="8"/>
      <c r="G15" s="22">
        <v>2116</v>
      </c>
      <c r="H15" s="23"/>
      <c r="I15" s="24"/>
      <c r="J15" s="3"/>
      <c r="K15" s="13"/>
    </row>
    <row r="16" spans="1:11" ht="15.75" x14ac:dyDescent="0.25">
      <c r="A16" s="8">
        <v>2</v>
      </c>
      <c r="B16" s="8" t="s">
        <v>189</v>
      </c>
      <c r="C16" s="47">
        <v>25006</v>
      </c>
      <c r="D16" s="5"/>
      <c r="E16" s="8"/>
      <c r="F16" s="8"/>
      <c r="G16" s="22">
        <v>10</v>
      </c>
      <c r="H16" s="23"/>
      <c r="I16" s="24"/>
      <c r="J16" s="3"/>
      <c r="K16" s="13"/>
    </row>
    <row r="17" spans="1:11" ht="15.75" x14ac:dyDescent="0.25">
      <c r="A17" s="8">
        <v>3</v>
      </c>
      <c r="B17" s="8" t="s">
        <v>52</v>
      </c>
      <c r="C17" s="47">
        <v>100000</v>
      </c>
      <c r="D17" s="5"/>
      <c r="E17" s="8"/>
      <c r="F17" s="8"/>
      <c r="G17" s="22">
        <v>76</v>
      </c>
      <c r="H17" s="23"/>
      <c r="I17" s="24"/>
      <c r="J17" s="3"/>
      <c r="K17" s="13"/>
    </row>
    <row r="18" spans="1:11" ht="15.75" x14ac:dyDescent="0.25">
      <c r="A18" s="8">
        <v>4</v>
      </c>
      <c r="B18" s="8"/>
      <c r="C18" s="47">
        <v>0</v>
      </c>
      <c r="D18" s="5"/>
      <c r="E18" s="8"/>
      <c r="F18" s="8"/>
      <c r="G18" s="22"/>
      <c r="H18" s="23"/>
      <c r="I18" s="24"/>
      <c r="J18" s="3"/>
      <c r="K18" s="13"/>
    </row>
    <row r="19" spans="1:11" ht="18.75" x14ac:dyDescent="0.25">
      <c r="A19" s="8"/>
      <c r="B19" s="25" t="s">
        <v>27</v>
      </c>
      <c r="C19" s="51">
        <f>SUM(C15:C18)</f>
        <v>126506</v>
      </c>
      <c r="D19" s="3"/>
      <c r="E19" s="8"/>
      <c r="F19" s="8"/>
      <c r="G19" s="8"/>
      <c r="H19" s="27">
        <v>0</v>
      </c>
      <c r="I19" s="24"/>
      <c r="J19" s="3"/>
      <c r="K19" s="28"/>
    </row>
    <row r="20" spans="1:11" x14ac:dyDescent="0.25">
      <c r="C20" s="29"/>
      <c r="H20" s="29"/>
    </row>
    <row r="21" spans="1:11" ht="16.5" x14ac:dyDescent="0.3">
      <c r="B21" s="30" t="s">
        <v>28</v>
      </c>
      <c r="C21" s="31">
        <v>0</v>
      </c>
      <c r="E21" s="32"/>
      <c r="F21" s="32"/>
      <c r="G21" s="116"/>
      <c r="H21" s="116"/>
    </row>
    <row r="22" spans="1:11" ht="16.5" x14ac:dyDescent="0.3">
      <c r="B22" s="33" t="s">
        <v>29</v>
      </c>
      <c r="C22" s="34">
        <v>0</v>
      </c>
      <c r="E22" s="35"/>
      <c r="F22" s="35"/>
      <c r="G22" s="36" t="s">
        <v>30</v>
      </c>
      <c r="H22" s="37"/>
    </row>
    <row r="23" spans="1:11" ht="24" x14ac:dyDescent="0.4">
      <c r="B23" s="38" t="s">
        <v>31</v>
      </c>
      <c r="C23" s="39">
        <v>0</v>
      </c>
      <c r="E23" s="40" t="s">
        <v>32</v>
      </c>
      <c r="F23" s="41"/>
      <c r="G23" s="42"/>
      <c r="H23" s="43"/>
      <c r="I23" s="42"/>
      <c r="J23" s="44"/>
    </row>
    <row r="24" spans="1:11" ht="18.75" x14ac:dyDescent="0.3">
      <c r="B24" s="45" t="s">
        <v>16</v>
      </c>
      <c r="C24" s="46">
        <f>SUM(C21:C23)</f>
        <v>0</v>
      </c>
      <c r="G24" s="36"/>
      <c r="H24" s="37"/>
      <c r="I24" s="36"/>
      <c r="J24" s="36"/>
    </row>
  </sheetData>
  <mergeCells count="6">
    <mergeCell ref="G21:H21"/>
    <mergeCell ref="A1:K1"/>
    <mergeCell ref="A2:K2"/>
    <mergeCell ref="A3:K3"/>
    <mergeCell ref="A8:K8"/>
    <mergeCell ref="A13:K13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6D628-1315-4419-A730-F2ED6136F9BD}">
  <dimension ref="A1:K25"/>
  <sheetViews>
    <sheetView topLeftCell="A3" workbookViewId="0">
      <selection activeCell="N19" sqref="N19"/>
    </sheetView>
  </sheetViews>
  <sheetFormatPr defaultRowHeight="15" x14ac:dyDescent="0.25"/>
  <cols>
    <col min="2" max="2" width="22" customWidth="1"/>
    <col min="3" max="3" width="12.5703125" bestFit="1" customWidth="1"/>
    <col min="4" max="4" width="10.85546875" bestFit="1" customWidth="1"/>
    <col min="10" max="10" width="16.85546875" bestFit="1" customWidth="1"/>
    <col min="11" max="11" width="19.5703125" customWidth="1"/>
  </cols>
  <sheetData>
    <row r="1" spans="1:11" ht="48.75" x14ac:dyDescent="0.25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178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4">
        <v>19535</v>
      </c>
      <c r="D5" s="5">
        <v>46171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46170</v>
      </c>
      <c r="K5" s="8" t="s">
        <v>33</v>
      </c>
    </row>
    <row r="6" spans="1:11" ht="15.75" x14ac:dyDescent="0.25">
      <c r="A6" s="3">
        <v>2</v>
      </c>
      <c r="B6" s="3" t="s">
        <v>46</v>
      </c>
      <c r="C6" s="4">
        <v>70500</v>
      </c>
      <c r="D6" s="5">
        <v>46171</v>
      </c>
      <c r="E6" s="6">
        <v>0</v>
      </c>
      <c r="F6" s="3" t="s">
        <v>14</v>
      </c>
      <c r="G6" s="49">
        <v>112</v>
      </c>
      <c r="H6" s="7">
        <v>0</v>
      </c>
      <c r="I6" s="3" t="s">
        <v>15</v>
      </c>
      <c r="J6" s="5">
        <f>+D6-1</f>
        <v>46170</v>
      </c>
      <c r="K6" s="8"/>
    </row>
    <row r="7" spans="1:11" ht="18.75" x14ac:dyDescent="0.3">
      <c r="A7" s="9"/>
      <c r="B7" s="10" t="s">
        <v>16</v>
      </c>
      <c r="C7" s="53">
        <f>SUM(C5:C5)</f>
        <v>19535</v>
      </c>
      <c r="D7" s="3"/>
      <c r="E7" s="12"/>
      <c r="F7" s="9"/>
      <c r="G7" s="13"/>
      <c r="H7" s="11">
        <f>SUM(H5:H5)</f>
        <v>0</v>
      </c>
      <c r="I7" s="9"/>
      <c r="J7" s="9"/>
      <c r="K7" s="9"/>
    </row>
    <row r="9" spans="1:11" ht="24" x14ac:dyDescent="0.4">
      <c r="A9" s="122" t="s">
        <v>17</v>
      </c>
      <c r="B9" s="123"/>
      <c r="C9" s="123"/>
      <c r="D9" s="123"/>
      <c r="E9" s="123"/>
      <c r="F9" s="123"/>
      <c r="G9" s="123"/>
      <c r="H9" s="123"/>
      <c r="I9" s="123"/>
      <c r="J9" s="123"/>
      <c r="K9" s="124"/>
    </row>
    <row r="10" spans="1:11" ht="15.75" x14ac:dyDescent="0.25">
      <c r="A10" s="3">
        <v>1</v>
      </c>
      <c r="B10" s="3" t="s">
        <v>129</v>
      </c>
      <c r="C10" s="4">
        <v>2340</v>
      </c>
      <c r="D10" s="5">
        <v>46171</v>
      </c>
      <c r="E10" s="14">
        <v>0</v>
      </c>
      <c r="F10" s="13" t="s">
        <v>18</v>
      </c>
      <c r="G10" s="15">
        <v>6955</v>
      </c>
      <c r="H10" s="16">
        <v>0</v>
      </c>
      <c r="I10" s="3" t="s">
        <v>19</v>
      </c>
      <c r="J10" s="5">
        <f t="shared" ref="J10:J14" si="0">+D10+1</f>
        <v>46172</v>
      </c>
      <c r="K10" s="13" t="s">
        <v>110</v>
      </c>
    </row>
    <row r="11" spans="1:11" ht="15.75" x14ac:dyDescent="0.25">
      <c r="A11" s="3">
        <v>2</v>
      </c>
      <c r="B11" s="3" t="s">
        <v>130</v>
      </c>
      <c r="C11" s="4">
        <v>13500</v>
      </c>
      <c r="D11" s="5">
        <f t="shared" ref="D11:D14" si="1">+D10</f>
        <v>46171</v>
      </c>
      <c r="E11" s="14">
        <v>0</v>
      </c>
      <c r="F11" s="13" t="s">
        <v>18</v>
      </c>
      <c r="G11" s="15">
        <v>7710</v>
      </c>
      <c r="H11" s="16">
        <v>0</v>
      </c>
      <c r="I11" s="3" t="s">
        <v>15</v>
      </c>
      <c r="J11" s="5">
        <f t="shared" si="0"/>
        <v>46172</v>
      </c>
      <c r="K11" s="13" t="s">
        <v>131</v>
      </c>
    </row>
    <row r="12" spans="1:11" ht="15.75" x14ac:dyDescent="0.25">
      <c r="A12" s="3">
        <v>3</v>
      </c>
      <c r="B12" s="3" t="s">
        <v>132</v>
      </c>
      <c r="C12" s="4">
        <v>1950</v>
      </c>
      <c r="D12" s="5">
        <f t="shared" si="1"/>
        <v>46171</v>
      </c>
      <c r="E12" s="14">
        <v>0</v>
      </c>
      <c r="F12" s="13" t="s">
        <v>18</v>
      </c>
      <c r="G12" s="15">
        <v>2980</v>
      </c>
      <c r="H12" s="16">
        <v>0</v>
      </c>
      <c r="I12" s="3" t="s">
        <v>15</v>
      </c>
      <c r="J12" s="5">
        <f t="shared" si="0"/>
        <v>46172</v>
      </c>
      <c r="K12" s="13" t="s">
        <v>115</v>
      </c>
    </row>
    <row r="13" spans="1:11" ht="15.75" x14ac:dyDescent="0.25">
      <c r="A13" s="3">
        <v>4</v>
      </c>
      <c r="B13" s="3" t="s">
        <v>133</v>
      </c>
      <c r="C13" s="4">
        <v>2000</v>
      </c>
      <c r="D13" s="5">
        <f t="shared" si="1"/>
        <v>46171</v>
      </c>
      <c r="E13" s="14">
        <v>0</v>
      </c>
      <c r="F13" s="13" t="s">
        <v>18</v>
      </c>
      <c r="G13" s="15">
        <v>6664</v>
      </c>
      <c r="H13" s="16">
        <v>0</v>
      </c>
      <c r="I13" s="3" t="s">
        <v>15</v>
      </c>
      <c r="J13" s="5">
        <f t="shared" si="0"/>
        <v>46172</v>
      </c>
      <c r="K13" s="13" t="s">
        <v>110</v>
      </c>
    </row>
    <row r="14" spans="1:11" ht="15.75" x14ac:dyDescent="0.25">
      <c r="A14" s="3">
        <v>5</v>
      </c>
      <c r="B14" s="3" t="s">
        <v>133</v>
      </c>
      <c r="C14" s="4">
        <v>150</v>
      </c>
      <c r="D14" s="5">
        <f t="shared" si="1"/>
        <v>46171</v>
      </c>
      <c r="E14" s="14">
        <v>0</v>
      </c>
      <c r="F14" s="13" t="s">
        <v>18</v>
      </c>
      <c r="G14" s="15">
        <v>5744</v>
      </c>
      <c r="H14" s="16">
        <v>0</v>
      </c>
      <c r="I14" s="3" t="s">
        <v>15</v>
      </c>
      <c r="J14" s="5">
        <f t="shared" si="0"/>
        <v>46172</v>
      </c>
      <c r="K14" s="13" t="s">
        <v>110</v>
      </c>
    </row>
    <row r="15" spans="1:11" ht="18.75" x14ac:dyDescent="0.3">
      <c r="A15" s="3"/>
      <c r="B15" s="17" t="s">
        <v>16</v>
      </c>
      <c r="C15" s="54">
        <f>SUM(C10:C14)</f>
        <v>19940</v>
      </c>
      <c r="D15" s="3"/>
      <c r="E15" s="3"/>
      <c r="F15" s="13"/>
      <c r="G15" s="13"/>
      <c r="H15" s="11"/>
      <c r="I15" s="3"/>
      <c r="J15" s="3"/>
      <c r="K15" s="3"/>
    </row>
    <row r="16" spans="1:11" ht="24.75" x14ac:dyDescent="0.5">
      <c r="A16" s="125" t="s">
        <v>20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7"/>
    </row>
    <row r="17" spans="1:11" ht="18.75" x14ac:dyDescent="0.3">
      <c r="A17" s="19" t="s">
        <v>3</v>
      </c>
      <c r="B17" s="19" t="s">
        <v>21</v>
      </c>
      <c r="C17" s="50" t="s">
        <v>5</v>
      </c>
      <c r="D17" s="1" t="s">
        <v>22</v>
      </c>
      <c r="E17" s="19" t="s">
        <v>7</v>
      </c>
      <c r="F17" s="19" t="s">
        <v>8</v>
      </c>
      <c r="G17" s="19" t="s">
        <v>23</v>
      </c>
      <c r="H17" s="20" t="s">
        <v>24</v>
      </c>
      <c r="I17" s="19" t="s">
        <v>11</v>
      </c>
      <c r="J17" s="19" t="s">
        <v>25</v>
      </c>
      <c r="K17" s="21" t="s">
        <v>26</v>
      </c>
    </row>
    <row r="18" spans="1:11" ht="15.75" x14ac:dyDescent="0.25">
      <c r="A18" s="8">
        <v>1</v>
      </c>
      <c r="B18" s="8" t="s">
        <v>239</v>
      </c>
      <c r="C18" s="47">
        <v>844</v>
      </c>
      <c r="D18" s="5">
        <v>46171</v>
      </c>
      <c r="E18" s="8"/>
      <c r="F18" s="8"/>
      <c r="G18" s="22">
        <v>7134</v>
      </c>
      <c r="H18" s="23"/>
      <c r="I18" s="24"/>
      <c r="J18" s="3"/>
      <c r="K18" s="13"/>
    </row>
    <row r="19" spans="1:11" ht="15.75" x14ac:dyDescent="0.25">
      <c r="A19" s="8">
        <v>2</v>
      </c>
      <c r="B19" s="8" t="s">
        <v>240</v>
      </c>
      <c r="C19" s="47">
        <v>50000</v>
      </c>
      <c r="D19" s="5">
        <v>46171</v>
      </c>
      <c r="E19" s="8"/>
      <c r="F19" s="8"/>
      <c r="G19" s="22">
        <v>6350</v>
      </c>
      <c r="H19" s="23"/>
      <c r="I19" s="24"/>
      <c r="J19" s="3"/>
      <c r="K19" s="13"/>
    </row>
    <row r="20" spans="1:11" ht="18.75" x14ac:dyDescent="0.25">
      <c r="A20" s="8"/>
      <c r="B20" s="25" t="s">
        <v>27</v>
      </c>
      <c r="C20" s="52"/>
      <c r="D20" s="3"/>
      <c r="E20" s="8"/>
      <c r="F20" s="8"/>
      <c r="G20" s="8"/>
      <c r="H20" s="27">
        <v>0</v>
      </c>
      <c r="I20" s="24"/>
      <c r="J20" s="3"/>
      <c r="K20" s="28"/>
    </row>
    <row r="21" spans="1:11" x14ac:dyDescent="0.25">
      <c r="C21" s="29"/>
      <c r="H21" s="29"/>
    </row>
    <row r="22" spans="1:11" ht="16.5" x14ac:dyDescent="0.3">
      <c r="B22" s="30" t="s">
        <v>28</v>
      </c>
      <c r="C22" s="31">
        <v>0</v>
      </c>
      <c r="E22" s="32"/>
      <c r="F22" s="32"/>
      <c r="G22" s="116"/>
      <c r="H22" s="116"/>
    </row>
    <row r="23" spans="1:11" ht="16.5" x14ac:dyDescent="0.3">
      <c r="B23" s="33" t="s">
        <v>29</v>
      </c>
      <c r="C23" s="34">
        <v>0</v>
      </c>
      <c r="E23" s="35"/>
      <c r="F23" s="35"/>
      <c r="G23" s="36" t="s">
        <v>30</v>
      </c>
      <c r="H23" s="37"/>
    </row>
    <row r="24" spans="1:11" ht="24" x14ac:dyDescent="0.4">
      <c r="B24" s="38" t="s">
        <v>31</v>
      </c>
      <c r="C24" s="39">
        <v>0</v>
      </c>
      <c r="E24" s="40" t="s">
        <v>32</v>
      </c>
      <c r="F24" s="41"/>
      <c r="G24" s="42"/>
      <c r="H24" s="43"/>
      <c r="I24" s="42"/>
      <c r="J24" s="44"/>
    </row>
    <row r="25" spans="1:11" ht="18.75" x14ac:dyDescent="0.3">
      <c r="B25" s="45" t="s">
        <v>16</v>
      </c>
      <c r="C25" s="46">
        <f>SUM(C22:C24)</f>
        <v>0</v>
      </c>
      <c r="G25" s="36"/>
      <c r="H25" s="37"/>
      <c r="I25" s="36"/>
      <c r="J25" s="36"/>
    </row>
  </sheetData>
  <mergeCells count="6">
    <mergeCell ref="G22:H22"/>
    <mergeCell ref="A1:K1"/>
    <mergeCell ref="A2:K2"/>
    <mergeCell ref="A3:K3"/>
    <mergeCell ref="A9:K9"/>
    <mergeCell ref="A16:K16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3A89C-2C60-4390-942E-CDCE0931E370}">
  <dimension ref="A1:K20"/>
  <sheetViews>
    <sheetView workbookViewId="0">
      <selection activeCell="G17" sqref="G17:H17"/>
    </sheetView>
  </sheetViews>
  <sheetFormatPr defaultRowHeight="15" x14ac:dyDescent="0.25"/>
  <cols>
    <col min="2" max="2" width="27" customWidth="1"/>
    <col min="3" max="3" width="12.5703125" bestFit="1" customWidth="1"/>
    <col min="4" max="4" width="10.85546875" bestFit="1" customWidth="1"/>
    <col min="5" max="5" width="11.42578125" bestFit="1" customWidth="1"/>
    <col min="10" max="10" width="15.7109375" customWidth="1"/>
    <col min="11" max="11" width="21.85546875" customWidth="1"/>
  </cols>
  <sheetData>
    <row r="1" spans="1:11" ht="48.75" x14ac:dyDescent="0.25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177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2</v>
      </c>
      <c r="B5" s="3" t="s">
        <v>134</v>
      </c>
      <c r="C5" s="4">
        <v>35200</v>
      </c>
      <c r="D5" s="5">
        <v>46172</v>
      </c>
      <c r="E5" s="14">
        <v>0</v>
      </c>
      <c r="F5" s="13" t="s">
        <v>18</v>
      </c>
      <c r="G5" s="15">
        <v>4513</v>
      </c>
      <c r="H5" s="16">
        <v>0</v>
      </c>
      <c r="I5" s="3" t="s">
        <v>19</v>
      </c>
      <c r="J5" s="5">
        <f t="shared" ref="J5:J9" si="0">+D5+1</f>
        <v>46173</v>
      </c>
      <c r="K5" s="13" t="s">
        <v>127</v>
      </c>
    </row>
    <row r="6" spans="1:11" ht="15.75" x14ac:dyDescent="0.25">
      <c r="A6" s="3">
        <v>3</v>
      </c>
      <c r="B6" s="3" t="s">
        <v>135</v>
      </c>
      <c r="C6" s="4">
        <v>1950</v>
      </c>
      <c r="D6" s="5">
        <f t="shared" ref="D6:D9" si="1">+D5</f>
        <v>46172</v>
      </c>
      <c r="E6" s="14">
        <v>0</v>
      </c>
      <c r="F6" s="13" t="s">
        <v>18</v>
      </c>
      <c r="G6" s="15">
        <v>4513</v>
      </c>
      <c r="H6" s="16">
        <v>0</v>
      </c>
      <c r="I6" s="3" t="s">
        <v>15</v>
      </c>
      <c r="J6" s="5">
        <f t="shared" si="0"/>
        <v>46173</v>
      </c>
      <c r="K6" s="13" t="s">
        <v>113</v>
      </c>
    </row>
    <row r="7" spans="1:11" ht="15.75" x14ac:dyDescent="0.25">
      <c r="A7" s="3">
        <v>4</v>
      </c>
      <c r="B7" s="3" t="s">
        <v>136</v>
      </c>
      <c r="C7" s="4">
        <v>35200</v>
      </c>
      <c r="D7" s="5">
        <f t="shared" si="1"/>
        <v>46172</v>
      </c>
      <c r="E7" s="14">
        <v>0</v>
      </c>
      <c r="F7" s="13" t="s">
        <v>18</v>
      </c>
      <c r="G7" s="15">
        <v>1905</v>
      </c>
      <c r="H7" s="16">
        <v>0</v>
      </c>
      <c r="I7" s="3" t="s">
        <v>15</v>
      </c>
      <c r="J7" s="5">
        <f t="shared" si="0"/>
        <v>46173</v>
      </c>
      <c r="K7" s="13" t="s">
        <v>106</v>
      </c>
    </row>
    <row r="8" spans="1:11" ht="15.75" x14ac:dyDescent="0.25">
      <c r="A8" s="3">
        <v>5</v>
      </c>
      <c r="B8" s="3" t="s">
        <v>137</v>
      </c>
      <c r="C8" s="4">
        <v>285</v>
      </c>
      <c r="D8" s="5">
        <f t="shared" si="1"/>
        <v>46172</v>
      </c>
      <c r="E8" s="14">
        <v>0</v>
      </c>
      <c r="F8" s="13" t="s">
        <v>18</v>
      </c>
      <c r="G8" s="15">
        <v>4915</v>
      </c>
      <c r="H8" s="16">
        <v>0</v>
      </c>
      <c r="I8" s="3" t="s">
        <v>15</v>
      </c>
      <c r="J8" s="5">
        <f t="shared" si="0"/>
        <v>46173</v>
      </c>
      <c r="K8" s="13" t="s">
        <v>115</v>
      </c>
    </row>
    <row r="9" spans="1:11" ht="15.75" x14ac:dyDescent="0.25">
      <c r="A9" s="3">
        <v>6</v>
      </c>
      <c r="B9" s="3"/>
      <c r="C9" s="4">
        <v>0</v>
      </c>
      <c r="D9" s="5">
        <f t="shared" si="1"/>
        <v>46172</v>
      </c>
      <c r="E9" s="14">
        <v>0</v>
      </c>
      <c r="F9" s="13" t="s">
        <v>18</v>
      </c>
      <c r="G9" s="15"/>
      <c r="H9" s="16">
        <v>0</v>
      </c>
      <c r="I9" s="3" t="s">
        <v>15</v>
      </c>
      <c r="J9" s="5">
        <f t="shared" si="0"/>
        <v>46173</v>
      </c>
      <c r="K9" s="13"/>
    </row>
    <row r="10" spans="1:11" ht="18.75" x14ac:dyDescent="0.3">
      <c r="A10" s="3"/>
      <c r="B10" s="17" t="s">
        <v>16</v>
      </c>
      <c r="C10" s="54">
        <f>SUM(C5:C9)</f>
        <v>72635</v>
      </c>
      <c r="D10" s="3"/>
      <c r="E10" s="3"/>
      <c r="F10" s="13"/>
      <c r="G10" s="13"/>
      <c r="H10" s="11"/>
      <c r="I10" s="3"/>
      <c r="J10" s="3"/>
      <c r="K10" s="3"/>
    </row>
    <row r="11" spans="1:11" ht="24.75" x14ac:dyDescent="0.5">
      <c r="A11" s="125" t="s">
        <v>20</v>
      </c>
      <c r="B11" s="126"/>
      <c r="C11" s="126"/>
      <c r="D11" s="126"/>
      <c r="E11" s="126"/>
      <c r="F11" s="126"/>
      <c r="G11" s="126"/>
      <c r="H11" s="126"/>
      <c r="I11" s="126"/>
      <c r="J11" s="126"/>
      <c r="K11" s="127"/>
    </row>
    <row r="12" spans="1:11" ht="18.75" x14ac:dyDescent="0.3">
      <c r="A12" s="19" t="s">
        <v>3</v>
      </c>
      <c r="B12" s="19" t="s">
        <v>21</v>
      </c>
      <c r="C12" s="50" t="s">
        <v>5</v>
      </c>
      <c r="D12" s="1" t="s">
        <v>22</v>
      </c>
      <c r="E12" s="19" t="s">
        <v>7</v>
      </c>
      <c r="F12" s="19" t="s">
        <v>8</v>
      </c>
      <c r="G12" s="19" t="s">
        <v>23</v>
      </c>
      <c r="H12" s="20" t="s">
        <v>24</v>
      </c>
      <c r="I12" s="19" t="s">
        <v>11</v>
      </c>
      <c r="J12" s="19" t="s">
        <v>25</v>
      </c>
      <c r="K12" s="21" t="s">
        <v>26</v>
      </c>
    </row>
    <row r="13" spans="1:11" ht="15.75" x14ac:dyDescent="0.25">
      <c r="A13" s="8">
        <v>1</v>
      </c>
      <c r="B13" s="8" t="s">
        <v>229</v>
      </c>
      <c r="C13" s="47">
        <v>89786</v>
      </c>
      <c r="D13" s="5"/>
      <c r="E13" s="8"/>
      <c r="F13" s="8"/>
      <c r="G13" s="22">
        <v>4137</v>
      </c>
      <c r="H13" s="23"/>
      <c r="I13" s="24"/>
      <c r="J13" s="3"/>
      <c r="K13" s="13"/>
    </row>
    <row r="14" spans="1:11" ht="15.75" x14ac:dyDescent="0.25">
      <c r="A14" s="8">
        <v>2</v>
      </c>
      <c r="B14" s="8" t="s">
        <v>230</v>
      </c>
      <c r="C14" s="47">
        <v>3000</v>
      </c>
      <c r="D14" s="5"/>
      <c r="E14" s="8"/>
      <c r="F14" s="8"/>
      <c r="G14" s="22">
        <v>4859</v>
      </c>
      <c r="H14" s="23"/>
      <c r="I14" s="24"/>
      <c r="J14" s="3"/>
      <c r="K14" s="13"/>
    </row>
    <row r="15" spans="1:11" ht="18.75" x14ac:dyDescent="0.25">
      <c r="A15" s="8"/>
      <c r="B15" s="25" t="s">
        <v>27</v>
      </c>
      <c r="C15" s="52"/>
      <c r="D15" s="3"/>
      <c r="E15" s="8"/>
      <c r="F15" s="8"/>
      <c r="G15" s="8"/>
      <c r="H15" s="27">
        <v>0</v>
      </c>
      <c r="I15" s="24"/>
      <c r="J15" s="3"/>
      <c r="K15" s="28"/>
    </row>
    <row r="16" spans="1:11" x14ac:dyDescent="0.25">
      <c r="C16" s="29"/>
      <c r="H16" s="29"/>
    </row>
    <row r="17" spans="2:10" ht="16.5" x14ac:dyDescent="0.3">
      <c r="B17" s="30" t="s">
        <v>28</v>
      </c>
      <c r="C17" s="31">
        <v>0</v>
      </c>
      <c r="E17" s="32"/>
      <c r="F17" s="32"/>
      <c r="G17" s="116"/>
      <c r="H17" s="116"/>
    </row>
    <row r="18" spans="2:10" ht="16.5" x14ac:dyDescent="0.3">
      <c r="B18" s="33" t="s">
        <v>29</v>
      </c>
      <c r="C18" s="34">
        <v>0</v>
      </c>
      <c r="E18" s="35"/>
      <c r="F18" s="35"/>
      <c r="G18" s="36" t="s">
        <v>30</v>
      </c>
      <c r="H18" s="37"/>
    </row>
    <row r="19" spans="2:10" ht="24" x14ac:dyDescent="0.4">
      <c r="B19" s="38" t="s">
        <v>31</v>
      </c>
      <c r="C19" s="39">
        <v>0</v>
      </c>
      <c r="E19" s="40" t="s">
        <v>32</v>
      </c>
      <c r="F19" s="41"/>
      <c r="G19" s="42"/>
      <c r="H19" s="43"/>
      <c r="I19" s="42"/>
      <c r="J19" s="44"/>
    </row>
    <row r="20" spans="2:10" ht="18.75" x14ac:dyDescent="0.3">
      <c r="B20" s="45" t="s">
        <v>16</v>
      </c>
      <c r="C20" s="46">
        <f>SUM(C17:C19)</f>
        <v>0</v>
      </c>
      <c r="G20" s="36"/>
      <c r="H20" s="37"/>
      <c r="I20" s="36"/>
      <c r="J20" s="36"/>
    </row>
  </sheetData>
  <mergeCells count="5">
    <mergeCell ref="G17:H17"/>
    <mergeCell ref="A1:K1"/>
    <mergeCell ref="A2:K2"/>
    <mergeCell ref="A3:K3"/>
    <mergeCell ref="A11:K11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60182-A4FD-4504-8DC6-357A3A7323FF}">
  <dimension ref="A1:K29"/>
  <sheetViews>
    <sheetView topLeftCell="A2" workbookViewId="0">
      <selection activeCell="N11" sqref="N11"/>
    </sheetView>
  </sheetViews>
  <sheetFormatPr defaultRowHeight="15" x14ac:dyDescent="0.25"/>
  <cols>
    <col min="2" max="2" width="18.42578125" customWidth="1"/>
    <col min="3" max="3" width="14.42578125" bestFit="1" customWidth="1"/>
    <col min="4" max="4" width="10.85546875" bestFit="1" customWidth="1"/>
    <col min="10" max="10" width="16.28515625" customWidth="1"/>
    <col min="11" max="11" width="23.5703125" customWidth="1"/>
  </cols>
  <sheetData>
    <row r="1" spans="1:11" ht="48.75" x14ac:dyDescent="0.25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176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138</v>
      </c>
      <c r="C5" s="4">
        <v>2500</v>
      </c>
      <c r="D5" s="5">
        <v>46173</v>
      </c>
      <c r="E5" s="14">
        <v>0</v>
      </c>
      <c r="F5" s="13" t="s">
        <v>18</v>
      </c>
      <c r="G5" s="15">
        <v>3049</v>
      </c>
      <c r="H5" s="16">
        <v>0</v>
      </c>
      <c r="I5" s="3" t="s">
        <v>19</v>
      </c>
      <c r="J5" s="5">
        <f t="shared" ref="J5:J15" si="0">+D5+1</f>
        <v>46174</v>
      </c>
      <c r="K5" s="13" t="s">
        <v>110</v>
      </c>
    </row>
    <row r="6" spans="1:11" ht="15.75" x14ac:dyDescent="0.25">
      <c r="A6" s="3">
        <v>2</v>
      </c>
      <c r="B6" s="3" t="s">
        <v>139</v>
      </c>
      <c r="C6" s="4">
        <v>20000</v>
      </c>
      <c r="D6" s="5">
        <f t="shared" ref="D6:D15" si="1">+D5</f>
        <v>46173</v>
      </c>
      <c r="E6" s="14">
        <v>0</v>
      </c>
      <c r="F6" s="13" t="s">
        <v>18</v>
      </c>
      <c r="G6" s="15">
        <v>5641</v>
      </c>
      <c r="H6" s="16">
        <v>0</v>
      </c>
      <c r="I6" s="3" t="s">
        <v>15</v>
      </c>
      <c r="J6" s="5">
        <f t="shared" si="0"/>
        <v>46174</v>
      </c>
      <c r="K6" s="13" t="s">
        <v>127</v>
      </c>
    </row>
    <row r="7" spans="1:11" ht="15.75" x14ac:dyDescent="0.25">
      <c r="A7" s="3">
        <v>3</v>
      </c>
      <c r="B7" s="3" t="s">
        <v>140</v>
      </c>
      <c r="C7" s="4">
        <v>1475</v>
      </c>
      <c r="D7" s="5">
        <f t="shared" si="1"/>
        <v>46173</v>
      </c>
      <c r="E7" s="14">
        <v>0</v>
      </c>
      <c r="F7" s="13" t="s">
        <v>18</v>
      </c>
      <c r="G7" s="15">
        <v>6187</v>
      </c>
      <c r="H7" s="16">
        <v>0</v>
      </c>
      <c r="I7" s="3" t="s">
        <v>15</v>
      </c>
      <c r="J7" s="5">
        <f t="shared" si="0"/>
        <v>46174</v>
      </c>
      <c r="K7" s="13" t="s">
        <v>115</v>
      </c>
    </row>
    <row r="8" spans="1:11" ht="15.75" x14ac:dyDescent="0.25">
      <c r="A8" s="3">
        <v>4</v>
      </c>
      <c r="B8" s="3" t="s">
        <v>141</v>
      </c>
      <c r="C8" s="4">
        <v>20700</v>
      </c>
      <c r="D8" s="5">
        <f t="shared" si="1"/>
        <v>46173</v>
      </c>
      <c r="E8" s="14">
        <v>0</v>
      </c>
      <c r="F8" s="13" t="s">
        <v>18</v>
      </c>
      <c r="G8" s="15">
        <v>5537</v>
      </c>
      <c r="H8" s="16">
        <v>0</v>
      </c>
      <c r="I8" s="3" t="s">
        <v>15</v>
      </c>
      <c r="J8" s="5">
        <f t="shared" si="0"/>
        <v>46174</v>
      </c>
      <c r="K8" s="13" t="s">
        <v>106</v>
      </c>
    </row>
    <row r="9" spans="1:11" ht="15.75" x14ac:dyDescent="0.25">
      <c r="A9" s="3">
        <v>5</v>
      </c>
      <c r="B9" s="3" t="s">
        <v>142</v>
      </c>
      <c r="C9" s="4">
        <v>1925</v>
      </c>
      <c r="D9" s="5">
        <f t="shared" si="1"/>
        <v>46173</v>
      </c>
      <c r="E9" s="14">
        <v>0</v>
      </c>
      <c r="F9" s="13" t="s">
        <v>18</v>
      </c>
      <c r="G9" s="15">
        <v>9138</v>
      </c>
      <c r="H9" s="16">
        <v>0</v>
      </c>
      <c r="I9" s="3" t="s">
        <v>15</v>
      </c>
      <c r="J9" s="5">
        <f t="shared" si="0"/>
        <v>46174</v>
      </c>
      <c r="K9" s="13" t="s">
        <v>115</v>
      </c>
    </row>
    <row r="10" spans="1:11" ht="15.75" x14ac:dyDescent="0.25">
      <c r="A10" s="3">
        <v>6</v>
      </c>
      <c r="B10" s="3" t="s">
        <v>143</v>
      </c>
      <c r="C10" s="4">
        <v>580</v>
      </c>
      <c r="D10" s="5">
        <f t="shared" si="1"/>
        <v>46173</v>
      </c>
      <c r="E10" s="14">
        <v>0</v>
      </c>
      <c r="F10" s="13" t="s">
        <v>18</v>
      </c>
      <c r="G10" s="15">
        <v>8954</v>
      </c>
      <c r="H10" s="16">
        <v>0</v>
      </c>
      <c r="I10" s="3" t="s">
        <v>15</v>
      </c>
      <c r="J10" s="5">
        <f t="shared" si="0"/>
        <v>46174</v>
      </c>
      <c r="K10" s="13" t="s">
        <v>115</v>
      </c>
    </row>
    <row r="11" spans="1:11" ht="15.75" x14ac:dyDescent="0.25">
      <c r="A11" s="3">
        <v>7</v>
      </c>
      <c r="B11" s="3" t="s">
        <v>144</v>
      </c>
      <c r="C11" s="4">
        <v>1125</v>
      </c>
      <c r="D11" s="5">
        <f t="shared" si="1"/>
        <v>46173</v>
      </c>
      <c r="E11" s="14">
        <v>0</v>
      </c>
      <c r="F11" s="13" t="s">
        <v>18</v>
      </c>
      <c r="G11" s="15">
        <v>7179</v>
      </c>
      <c r="H11" s="16">
        <v>0</v>
      </c>
      <c r="I11" s="3" t="s">
        <v>15</v>
      </c>
      <c r="J11" s="5">
        <f t="shared" si="0"/>
        <v>46174</v>
      </c>
      <c r="K11" s="13" t="s">
        <v>115</v>
      </c>
    </row>
    <row r="12" spans="1:11" ht="15.75" x14ac:dyDescent="0.25">
      <c r="A12" s="3">
        <v>8</v>
      </c>
      <c r="B12" s="3" t="s">
        <v>145</v>
      </c>
      <c r="C12" s="4">
        <v>2875</v>
      </c>
      <c r="D12" s="5">
        <f t="shared" si="1"/>
        <v>46173</v>
      </c>
      <c r="E12" s="14">
        <v>0</v>
      </c>
      <c r="F12" s="13" t="s">
        <v>18</v>
      </c>
      <c r="G12" s="15">
        <v>1872</v>
      </c>
      <c r="H12" s="16">
        <v>0</v>
      </c>
      <c r="I12" s="3" t="s">
        <v>15</v>
      </c>
      <c r="J12" s="5">
        <f t="shared" si="0"/>
        <v>46174</v>
      </c>
      <c r="K12" s="13" t="s">
        <v>146</v>
      </c>
    </row>
    <row r="13" spans="1:11" ht="15.75" x14ac:dyDescent="0.25">
      <c r="A13" s="3">
        <v>9</v>
      </c>
      <c r="B13" s="3" t="s">
        <v>147</v>
      </c>
      <c r="C13" s="4">
        <v>26900</v>
      </c>
      <c r="D13" s="5">
        <f t="shared" si="1"/>
        <v>46173</v>
      </c>
      <c r="E13" s="14">
        <v>0</v>
      </c>
      <c r="F13" s="13" t="s">
        <v>18</v>
      </c>
      <c r="G13" s="15">
        <v>146</v>
      </c>
      <c r="H13" s="16">
        <v>0</v>
      </c>
      <c r="I13" s="3" t="s">
        <v>15</v>
      </c>
      <c r="J13" s="5">
        <f t="shared" si="0"/>
        <v>46174</v>
      </c>
      <c r="K13" s="13" t="s">
        <v>127</v>
      </c>
    </row>
    <row r="14" spans="1:11" ht="15.75" x14ac:dyDescent="0.25">
      <c r="A14" s="3">
        <v>10</v>
      </c>
      <c r="B14" s="3" t="s">
        <v>148</v>
      </c>
      <c r="C14" s="4">
        <v>1320</v>
      </c>
      <c r="D14" s="5">
        <f t="shared" si="1"/>
        <v>46173</v>
      </c>
      <c r="E14" s="14">
        <v>0</v>
      </c>
      <c r="F14" s="13" t="s">
        <v>18</v>
      </c>
      <c r="G14" s="15">
        <v>7081</v>
      </c>
      <c r="H14" s="16">
        <v>0</v>
      </c>
      <c r="I14" s="3" t="s">
        <v>15</v>
      </c>
      <c r="J14" s="5">
        <f t="shared" si="0"/>
        <v>46174</v>
      </c>
      <c r="K14" s="13" t="s">
        <v>149</v>
      </c>
    </row>
    <row r="15" spans="1:11" ht="15.75" x14ac:dyDescent="0.25">
      <c r="A15" s="3">
        <v>11</v>
      </c>
      <c r="B15" s="3"/>
      <c r="C15" s="4">
        <v>0</v>
      </c>
      <c r="D15" s="5">
        <f t="shared" si="1"/>
        <v>46173</v>
      </c>
      <c r="E15" s="14">
        <v>0</v>
      </c>
      <c r="F15" s="13" t="s">
        <v>18</v>
      </c>
      <c r="G15" s="15"/>
      <c r="H15" s="16">
        <v>0</v>
      </c>
      <c r="I15" s="3" t="s">
        <v>15</v>
      </c>
      <c r="J15" s="5">
        <f t="shared" si="0"/>
        <v>46174</v>
      </c>
      <c r="K15" s="13"/>
    </row>
    <row r="16" spans="1:11" ht="18.75" x14ac:dyDescent="0.3">
      <c r="A16" s="3"/>
      <c r="B16" s="17" t="s">
        <v>16</v>
      </c>
      <c r="C16" s="54">
        <f>SUM(C5:C15)</f>
        <v>79400</v>
      </c>
      <c r="D16" s="3"/>
      <c r="E16" s="3"/>
      <c r="F16" s="13"/>
      <c r="G16" s="13"/>
      <c r="H16" s="11"/>
      <c r="I16" s="3"/>
      <c r="J16" s="3"/>
      <c r="K16" s="3"/>
    </row>
    <row r="17" spans="1:11" ht="24.75" x14ac:dyDescent="0.5">
      <c r="A17" s="125" t="s">
        <v>20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7"/>
    </row>
    <row r="18" spans="1:11" ht="18.75" x14ac:dyDescent="0.3">
      <c r="A18" s="19" t="s">
        <v>3</v>
      </c>
      <c r="B18" s="19" t="s">
        <v>21</v>
      </c>
      <c r="C18" s="50" t="s">
        <v>5</v>
      </c>
      <c r="D18" s="1" t="s">
        <v>22</v>
      </c>
      <c r="E18" s="19" t="s">
        <v>7</v>
      </c>
      <c r="F18" s="19" t="s">
        <v>8</v>
      </c>
      <c r="G18" s="19" t="s">
        <v>23</v>
      </c>
      <c r="H18" s="20" t="s">
        <v>24</v>
      </c>
      <c r="I18" s="19" t="s">
        <v>11</v>
      </c>
      <c r="J18" s="19" t="s">
        <v>25</v>
      </c>
      <c r="K18" s="21" t="s">
        <v>26</v>
      </c>
    </row>
    <row r="19" spans="1:11" ht="15.75" x14ac:dyDescent="0.25">
      <c r="A19" s="8">
        <v>1</v>
      </c>
      <c r="B19" s="8" t="s">
        <v>237</v>
      </c>
      <c r="C19" s="47">
        <v>4350</v>
      </c>
      <c r="D19" s="5">
        <v>46173</v>
      </c>
      <c r="E19" s="8"/>
      <c r="F19" s="8"/>
      <c r="G19" s="22">
        <v>9829</v>
      </c>
      <c r="H19" s="23"/>
      <c r="I19" s="24"/>
      <c r="J19" s="3"/>
      <c r="K19" s="13"/>
    </row>
    <row r="20" spans="1:11" ht="15.75" x14ac:dyDescent="0.25">
      <c r="A20" s="8">
        <v>2</v>
      </c>
      <c r="B20" s="8" t="s">
        <v>238</v>
      </c>
      <c r="C20" s="47">
        <v>660</v>
      </c>
      <c r="D20" s="5">
        <v>46173</v>
      </c>
      <c r="E20" s="8"/>
      <c r="F20" s="8"/>
      <c r="G20" s="22">
        <v>4444</v>
      </c>
      <c r="H20" s="23"/>
      <c r="I20" s="24"/>
      <c r="J20" s="3"/>
      <c r="K20" s="13"/>
    </row>
    <row r="21" spans="1:11" ht="15.75" x14ac:dyDescent="0.25">
      <c r="A21" s="8">
        <v>3</v>
      </c>
      <c r="B21" s="8" t="s">
        <v>189</v>
      </c>
      <c r="C21" s="47">
        <v>29731</v>
      </c>
      <c r="D21" s="5">
        <v>46173</v>
      </c>
      <c r="E21" s="8"/>
      <c r="F21" s="8"/>
      <c r="G21" s="22">
        <v>83</v>
      </c>
      <c r="H21" s="23"/>
      <c r="I21" s="24"/>
      <c r="J21" s="3"/>
      <c r="K21" s="13"/>
    </row>
    <row r="22" spans="1:11" ht="15.75" x14ac:dyDescent="0.25">
      <c r="A22" s="8">
        <v>4</v>
      </c>
      <c r="B22" s="8" t="s">
        <v>52</v>
      </c>
      <c r="C22" s="47">
        <v>110000</v>
      </c>
      <c r="D22" s="5">
        <v>46173</v>
      </c>
      <c r="E22" s="8"/>
      <c r="F22" s="8"/>
      <c r="G22" s="22">
        <v>84</v>
      </c>
      <c r="H22" s="23"/>
      <c r="I22" s="24"/>
      <c r="J22" s="3"/>
      <c r="K22" s="13"/>
    </row>
    <row r="23" spans="1:11" ht="15.75" x14ac:dyDescent="0.25">
      <c r="A23" s="8">
        <v>5</v>
      </c>
      <c r="B23" s="8"/>
      <c r="C23" s="47">
        <v>0</v>
      </c>
      <c r="D23" s="5"/>
      <c r="E23" s="8"/>
      <c r="F23" s="8"/>
      <c r="G23" s="22"/>
      <c r="H23" s="23"/>
      <c r="I23" s="24"/>
      <c r="J23" s="3"/>
      <c r="K23" s="13"/>
    </row>
    <row r="24" spans="1:11" ht="18.75" x14ac:dyDescent="0.25">
      <c r="A24" s="8"/>
      <c r="B24" s="25" t="s">
        <v>27</v>
      </c>
      <c r="C24" s="52"/>
      <c r="D24" s="3"/>
      <c r="E24" s="8"/>
      <c r="F24" s="8"/>
      <c r="G24" s="8"/>
      <c r="H24" s="27">
        <v>0</v>
      </c>
      <c r="I24" s="24"/>
      <c r="J24" s="3"/>
      <c r="K24" s="28"/>
    </row>
    <row r="25" spans="1:11" x14ac:dyDescent="0.25">
      <c r="C25" s="29"/>
      <c r="H25" s="29"/>
    </row>
    <row r="26" spans="1:11" ht="16.5" x14ac:dyDescent="0.3">
      <c r="B26" s="30" t="s">
        <v>28</v>
      </c>
      <c r="C26" s="31">
        <v>0</v>
      </c>
      <c r="E26" s="32"/>
      <c r="F26" s="32"/>
      <c r="G26" s="116"/>
      <c r="H26" s="116"/>
    </row>
    <row r="27" spans="1:11" ht="16.5" x14ac:dyDescent="0.3">
      <c r="B27" s="33" t="s">
        <v>29</v>
      </c>
      <c r="C27" s="34">
        <v>0</v>
      </c>
      <c r="E27" s="35"/>
      <c r="F27" s="35"/>
      <c r="G27" s="36" t="s">
        <v>30</v>
      </c>
      <c r="H27" s="37"/>
    </row>
    <row r="28" spans="1:11" ht="24" x14ac:dyDescent="0.4">
      <c r="B28" s="38" t="s">
        <v>31</v>
      </c>
      <c r="C28" s="39">
        <v>0</v>
      </c>
      <c r="E28" s="40" t="s">
        <v>32</v>
      </c>
      <c r="F28" s="41"/>
      <c r="G28" s="42"/>
      <c r="H28" s="43"/>
      <c r="I28" s="42"/>
      <c r="J28" s="44"/>
    </row>
    <row r="29" spans="1:11" ht="18.75" x14ac:dyDescent="0.3">
      <c r="B29" s="45" t="s">
        <v>16</v>
      </c>
      <c r="C29" s="46">
        <f>SUM(C26:C28)</f>
        <v>0</v>
      </c>
      <c r="G29" s="36"/>
      <c r="H29" s="37"/>
      <c r="I29" s="36"/>
      <c r="J29" s="36"/>
    </row>
  </sheetData>
  <mergeCells count="5">
    <mergeCell ref="G26:H26"/>
    <mergeCell ref="A1:K1"/>
    <mergeCell ref="A2:K2"/>
    <mergeCell ref="A3:K3"/>
    <mergeCell ref="A17:K17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E3BB9-2BD7-4FCC-94C0-2B7AE57E5034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E3FF9-1DA2-4449-8F4E-171689806438}">
  <dimension ref="A1"/>
  <sheetViews>
    <sheetView topLeftCell="A22"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A92B8-DE72-4F02-AEE0-4AA6F2065ED6}">
  <sheetPr>
    <pageSetUpPr fitToPage="1"/>
  </sheetPr>
  <dimension ref="A1:K30"/>
  <sheetViews>
    <sheetView topLeftCell="A12" workbookViewId="0">
      <selection sqref="A1:K30"/>
    </sheetView>
  </sheetViews>
  <sheetFormatPr defaultRowHeight="15" x14ac:dyDescent="0.25"/>
  <cols>
    <col min="2" max="2" width="26" customWidth="1"/>
    <col min="3" max="3" width="14.42578125" bestFit="1" customWidth="1"/>
    <col min="4" max="4" width="12" customWidth="1"/>
    <col min="10" max="10" width="16.85546875" bestFit="1" customWidth="1"/>
    <col min="11" max="11" width="29" bestFit="1" customWidth="1"/>
  </cols>
  <sheetData>
    <row r="1" spans="1:11" ht="48.75" x14ac:dyDescent="0.25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175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150</v>
      </c>
      <c r="C5" s="4">
        <v>1535</v>
      </c>
      <c r="D5" s="5">
        <v>46174</v>
      </c>
      <c r="E5" s="14">
        <v>0</v>
      </c>
      <c r="F5" s="13" t="s">
        <v>18</v>
      </c>
      <c r="G5" s="15">
        <v>1234</v>
      </c>
      <c r="H5" s="16">
        <v>0</v>
      </c>
      <c r="I5" s="3" t="s">
        <v>19</v>
      </c>
      <c r="J5" s="5">
        <f t="shared" ref="J5:J18" si="0">+D5+1</f>
        <v>46175</v>
      </c>
      <c r="K5" s="13" t="s">
        <v>115</v>
      </c>
    </row>
    <row r="6" spans="1:11" ht="15.75" x14ac:dyDescent="0.25">
      <c r="A6" s="3">
        <v>2</v>
      </c>
      <c r="B6" s="3" t="s">
        <v>151</v>
      </c>
      <c r="C6" s="4">
        <v>1030</v>
      </c>
      <c r="D6" s="5">
        <f t="shared" ref="D6:D18" si="1">+D5</f>
        <v>46174</v>
      </c>
      <c r="E6" s="14">
        <v>0</v>
      </c>
      <c r="F6" s="13" t="s">
        <v>18</v>
      </c>
      <c r="G6" s="15">
        <v>5452</v>
      </c>
      <c r="H6" s="16">
        <v>0</v>
      </c>
      <c r="I6" s="3" t="s">
        <v>15</v>
      </c>
      <c r="J6" s="5">
        <f t="shared" si="0"/>
        <v>46175</v>
      </c>
      <c r="K6" s="13" t="s">
        <v>115</v>
      </c>
    </row>
    <row r="7" spans="1:11" ht="15.75" x14ac:dyDescent="0.25">
      <c r="A7" s="3">
        <v>3</v>
      </c>
      <c r="B7" s="3" t="s">
        <v>152</v>
      </c>
      <c r="C7" s="4">
        <v>4000</v>
      </c>
      <c r="D7" s="5">
        <f t="shared" si="1"/>
        <v>46174</v>
      </c>
      <c r="E7" s="14">
        <v>0</v>
      </c>
      <c r="F7" s="13" t="s">
        <v>18</v>
      </c>
      <c r="G7" s="15">
        <v>5152</v>
      </c>
      <c r="H7" s="16">
        <v>0</v>
      </c>
      <c r="I7" s="3" t="s">
        <v>15</v>
      </c>
      <c r="J7" s="5">
        <f t="shared" si="0"/>
        <v>46175</v>
      </c>
      <c r="K7" s="13" t="s">
        <v>110</v>
      </c>
    </row>
    <row r="8" spans="1:11" ht="15.75" x14ac:dyDescent="0.25">
      <c r="A8" s="3">
        <v>4</v>
      </c>
      <c r="B8" s="3" t="s">
        <v>153</v>
      </c>
      <c r="C8" s="4">
        <v>4940</v>
      </c>
      <c r="D8" s="5">
        <f t="shared" si="1"/>
        <v>46174</v>
      </c>
      <c r="E8" s="14">
        <v>0</v>
      </c>
      <c r="F8" s="13" t="s">
        <v>18</v>
      </c>
      <c r="G8" s="15">
        <v>5155</v>
      </c>
      <c r="H8" s="16">
        <v>0</v>
      </c>
      <c r="I8" s="3" t="s">
        <v>15</v>
      </c>
      <c r="J8" s="5">
        <f t="shared" si="0"/>
        <v>46175</v>
      </c>
      <c r="K8" s="13" t="s">
        <v>110</v>
      </c>
    </row>
    <row r="9" spans="1:11" ht="15.75" x14ac:dyDescent="0.25">
      <c r="A9" s="3">
        <v>5</v>
      </c>
      <c r="B9" s="3" t="s">
        <v>153</v>
      </c>
      <c r="C9" s="4">
        <v>2410</v>
      </c>
      <c r="D9" s="5">
        <f t="shared" si="1"/>
        <v>46174</v>
      </c>
      <c r="E9" s="14">
        <v>0</v>
      </c>
      <c r="F9" s="13" t="s">
        <v>18</v>
      </c>
      <c r="G9" s="15">
        <v>6985</v>
      </c>
      <c r="H9" s="16">
        <v>0</v>
      </c>
      <c r="I9" s="3" t="s">
        <v>15</v>
      </c>
      <c r="J9" s="5">
        <f t="shared" si="0"/>
        <v>46175</v>
      </c>
      <c r="K9" s="13" t="s">
        <v>110</v>
      </c>
    </row>
    <row r="10" spans="1:11" ht="15.75" x14ac:dyDescent="0.25">
      <c r="A10" s="3">
        <v>6</v>
      </c>
      <c r="B10" s="3" t="s">
        <v>154</v>
      </c>
      <c r="C10" s="4">
        <v>1535</v>
      </c>
      <c r="D10" s="5">
        <f t="shared" si="1"/>
        <v>46174</v>
      </c>
      <c r="E10" s="14">
        <v>0</v>
      </c>
      <c r="F10" s="13" t="s">
        <v>18</v>
      </c>
      <c r="G10" s="15">
        <v>6852</v>
      </c>
      <c r="H10" s="16">
        <v>0</v>
      </c>
      <c r="I10" s="3" t="s">
        <v>15</v>
      </c>
      <c r="J10" s="5">
        <f t="shared" si="0"/>
        <v>46175</v>
      </c>
      <c r="K10" s="13" t="s">
        <v>115</v>
      </c>
    </row>
    <row r="11" spans="1:11" ht="15.75" x14ac:dyDescent="0.25">
      <c r="A11" s="3">
        <v>7</v>
      </c>
      <c r="B11" s="3" t="s">
        <v>155</v>
      </c>
      <c r="C11" s="4">
        <v>1330</v>
      </c>
      <c r="D11" s="5">
        <f t="shared" si="1"/>
        <v>46174</v>
      </c>
      <c r="E11" s="14">
        <v>0</v>
      </c>
      <c r="F11" s="13" t="s">
        <v>18</v>
      </c>
      <c r="G11" s="15">
        <v>8596</v>
      </c>
      <c r="H11" s="16">
        <v>0</v>
      </c>
      <c r="I11" s="3" t="s">
        <v>15</v>
      </c>
      <c r="J11" s="5">
        <f t="shared" si="0"/>
        <v>46175</v>
      </c>
      <c r="K11" s="13" t="s">
        <v>110</v>
      </c>
    </row>
    <row r="12" spans="1:11" ht="15.75" x14ac:dyDescent="0.25">
      <c r="A12" s="3">
        <v>8</v>
      </c>
      <c r="B12" s="3" t="s">
        <v>156</v>
      </c>
      <c r="C12" s="4">
        <v>10150</v>
      </c>
      <c r="D12" s="5">
        <f t="shared" si="1"/>
        <v>46174</v>
      </c>
      <c r="E12" s="14">
        <v>0</v>
      </c>
      <c r="F12" s="13" t="s">
        <v>18</v>
      </c>
      <c r="G12" s="15">
        <v>6854</v>
      </c>
      <c r="H12" s="16">
        <v>0</v>
      </c>
      <c r="I12" s="3" t="s">
        <v>15</v>
      </c>
      <c r="J12" s="5">
        <f t="shared" si="0"/>
        <v>46175</v>
      </c>
      <c r="K12" s="13" t="s">
        <v>157</v>
      </c>
    </row>
    <row r="13" spans="1:11" ht="15.75" x14ac:dyDescent="0.25">
      <c r="A13" s="3">
        <v>9</v>
      </c>
      <c r="B13" s="3" t="s">
        <v>156</v>
      </c>
      <c r="C13" s="4">
        <v>10000</v>
      </c>
      <c r="D13" s="5">
        <f t="shared" si="1"/>
        <v>46174</v>
      </c>
      <c r="E13" s="14">
        <v>0</v>
      </c>
      <c r="F13" s="13" t="s">
        <v>18</v>
      </c>
      <c r="G13" s="15">
        <v>5879</v>
      </c>
      <c r="H13" s="16">
        <v>0</v>
      </c>
      <c r="I13" s="3" t="s">
        <v>15</v>
      </c>
      <c r="J13" s="5">
        <f t="shared" si="0"/>
        <v>46175</v>
      </c>
      <c r="K13" s="13" t="s">
        <v>157</v>
      </c>
    </row>
    <row r="14" spans="1:11" ht="15.75" x14ac:dyDescent="0.25">
      <c r="A14" s="3">
        <v>10</v>
      </c>
      <c r="B14" s="3" t="s">
        <v>158</v>
      </c>
      <c r="C14" s="4">
        <v>2000</v>
      </c>
      <c r="D14" s="5">
        <f t="shared" si="1"/>
        <v>46174</v>
      </c>
      <c r="E14" s="14">
        <v>0</v>
      </c>
      <c r="F14" s="13" t="s">
        <v>18</v>
      </c>
      <c r="G14" s="15">
        <v>5478</v>
      </c>
      <c r="H14" s="16">
        <v>0</v>
      </c>
      <c r="I14" s="3" t="s">
        <v>15</v>
      </c>
      <c r="J14" s="5">
        <f t="shared" si="0"/>
        <v>46175</v>
      </c>
      <c r="K14" s="13" t="s">
        <v>157</v>
      </c>
    </row>
    <row r="15" spans="1:11" ht="15.75" x14ac:dyDescent="0.25">
      <c r="A15" s="3">
        <v>11</v>
      </c>
      <c r="B15" s="3" t="s">
        <v>159</v>
      </c>
      <c r="C15" s="4">
        <v>1800</v>
      </c>
      <c r="D15" s="5">
        <f t="shared" si="1"/>
        <v>46174</v>
      </c>
      <c r="E15" s="14">
        <v>0</v>
      </c>
      <c r="F15" s="13" t="s">
        <v>18</v>
      </c>
      <c r="G15" s="15">
        <v>6582</v>
      </c>
      <c r="H15" s="16">
        <v>0</v>
      </c>
      <c r="I15" s="3" t="s">
        <v>15</v>
      </c>
      <c r="J15" s="5">
        <f t="shared" si="0"/>
        <v>46175</v>
      </c>
      <c r="K15" s="13" t="s">
        <v>160</v>
      </c>
    </row>
    <row r="16" spans="1:11" ht="15.75" x14ac:dyDescent="0.25">
      <c r="A16" s="3">
        <v>12</v>
      </c>
      <c r="B16" s="3" t="s">
        <v>161</v>
      </c>
      <c r="C16" s="4">
        <v>5000</v>
      </c>
      <c r="D16" s="5">
        <f t="shared" si="1"/>
        <v>46174</v>
      </c>
      <c r="E16" s="14">
        <v>0</v>
      </c>
      <c r="F16" s="13" t="s">
        <v>18</v>
      </c>
      <c r="G16" s="15">
        <v>6285</v>
      </c>
      <c r="H16" s="16">
        <v>0</v>
      </c>
      <c r="I16" s="3" t="s">
        <v>15</v>
      </c>
      <c r="J16" s="5">
        <f t="shared" si="0"/>
        <v>46175</v>
      </c>
      <c r="K16" s="13" t="s">
        <v>157</v>
      </c>
    </row>
    <row r="17" spans="1:11" ht="15.75" x14ac:dyDescent="0.25">
      <c r="A17" s="3">
        <v>13</v>
      </c>
      <c r="B17" s="3" t="s">
        <v>258</v>
      </c>
      <c r="C17" s="4">
        <v>50000</v>
      </c>
      <c r="D17" s="5">
        <f t="shared" si="1"/>
        <v>46174</v>
      </c>
      <c r="E17" s="14">
        <v>0</v>
      </c>
      <c r="F17" s="13" t="s">
        <v>18</v>
      </c>
      <c r="G17" s="15">
        <v>3886</v>
      </c>
      <c r="H17" s="16">
        <v>0</v>
      </c>
      <c r="I17" s="3" t="s">
        <v>15</v>
      </c>
      <c r="J17" s="5">
        <f t="shared" si="0"/>
        <v>46175</v>
      </c>
      <c r="K17" s="13" t="s">
        <v>262</v>
      </c>
    </row>
    <row r="18" spans="1:11" ht="15.75" x14ac:dyDescent="0.25">
      <c r="A18" s="3">
        <v>14</v>
      </c>
      <c r="B18" s="3" t="s">
        <v>259</v>
      </c>
      <c r="C18" s="4">
        <v>40000</v>
      </c>
      <c r="D18" s="5">
        <f t="shared" si="1"/>
        <v>46174</v>
      </c>
      <c r="E18" s="14">
        <v>0</v>
      </c>
      <c r="F18" s="13" t="s">
        <v>18</v>
      </c>
      <c r="G18" s="15">
        <v>2959</v>
      </c>
      <c r="H18" s="16">
        <v>0</v>
      </c>
      <c r="I18" s="3" t="s">
        <v>15</v>
      </c>
      <c r="J18" s="5">
        <f t="shared" si="0"/>
        <v>46175</v>
      </c>
      <c r="K18" s="13" t="s">
        <v>262</v>
      </c>
    </row>
    <row r="19" spans="1:11" ht="18.75" x14ac:dyDescent="0.3">
      <c r="A19" s="3"/>
      <c r="B19" s="17" t="s">
        <v>16</v>
      </c>
      <c r="C19" s="54">
        <f>SUM(C5:C18)</f>
        <v>135730</v>
      </c>
      <c r="D19" s="3"/>
      <c r="E19" s="3"/>
      <c r="F19" s="13"/>
      <c r="G19" s="13"/>
      <c r="H19" s="11"/>
      <c r="I19" s="3"/>
      <c r="J19" s="3"/>
      <c r="K19" s="3"/>
    </row>
    <row r="20" spans="1:11" ht="24.75" x14ac:dyDescent="0.5">
      <c r="A20" s="125" t="s">
        <v>20</v>
      </c>
      <c r="B20" s="126"/>
      <c r="C20" s="126"/>
      <c r="D20" s="126"/>
      <c r="E20" s="126"/>
      <c r="F20" s="126"/>
      <c r="G20" s="126"/>
      <c r="H20" s="126"/>
      <c r="I20" s="126"/>
      <c r="J20" s="126"/>
      <c r="K20" s="127"/>
    </row>
    <row r="21" spans="1:11" ht="18.75" x14ac:dyDescent="0.3">
      <c r="A21" s="19" t="s">
        <v>3</v>
      </c>
      <c r="B21" s="19" t="s">
        <v>21</v>
      </c>
      <c r="C21" s="50" t="s">
        <v>5</v>
      </c>
      <c r="D21" s="1" t="s">
        <v>22</v>
      </c>
      <c r="E21" s="19" t="s">
        <v>7</v>
      </c>
      <c r="F21" s="19" t="s">
        <v>8</v>
      </c>
      <c r="G21" s="19" t="s">
        <v>23</v>
      </c>
      <c r="H21" s="20" t="s">
        <v>24</v>
      </c>
      <c r="I21" s="19" t="s">
        <v>11</v>
      </c>
      <c r="J21" s="19" t="s">
        <v>25</v>
      </c>
      <c r="K21" s="21" t="s">
        <v>26</v>
      </c>
    </row>
    <row r="22" spans="1:11" ht="15.75" x14ac:dyDescent="0.25">
      <c r="A22" s="8">
        <v>1</v>
      </c>
      <c r="B22" s="8" t="s">
        <v>257</v>
      </c>
      <c r="C22" s="47">
        <v>587.23</v>
      </c>
      <c r="D22" s="5"/>
      <c r="E22" s="8"/>
      <c r="F22" s="8"/>
      <c r="G22" s="22">
        <v>0</v>
      </c>
      <c r="H22" s="23"/>
      <c r="I22" s="24"/>
      <c r="J22" s="3"/>
      <c r="K22" s="13" t="s">
        <v>294</v>
      </c>
    </row>
    <row r="23" spans="1:11" ht="15.75" x14ac:dyDescent="0.25">
      <c r="A23" s="8">
        <v>2</v>
      </c>
      <c r="B23" s="8" t="s">
        <v>52</v>
      </c>
      <c r="C23" s="47">
        <v>100000</v>
      </c>
      <c r="D23" s="5"/>
      <c r="E23" s="8"/>
      <c r="F23" s="8"/>
      <c r="G23" s="22">
        <v>222</v>
      </c>
      <c r="H23" s="23"/>
      <c r="I23" s="24"/>
      <c r="J23" s="3"/>
      <c r="K23" s="13" t="s">
        <v>304</v>
      </c>
    </row>
    <row r="24" spans="1:11" ht="18.75" x14ac:dyDescent="0.25">
      <c r="A24" s="8"/>
      <c r="B24" s="25" t="s">
        <v>27</v>
      </c>
      <c r="C24" s="51">
        <f>SUM(C22:C23)</f>
        <v>100587.23</v>
      </c>
      <c r="D24" s="3"/>
      <c r="E24" s="8"/>
      <c r="F24" s="8"/>
      <c r="G24" s="8"/>
      <c r="H24" s="27">
        <v>0</v>
      </c>
      <c r="I24" s="24"/>
      <c r="J24" s="3"/>
      <c r="K24" s="28"/>
    </row>
    <row r="25" spans="1:11" x14ac:dyDescent="0.25">
      <c r="C25" s="29"/>
      <c r="H25" s="29"/>
    </row>
    <row r="26" spans="1:11" ht="16.5" x14ac:dyDescent="0.3">
      <c r="B26" s="30" t="s">
        <v>28</v>
      </c>
      <c r="C26" s="31">
        <f>SUM(C7,C8,C9,C11,C12,C13,C14,C16)</f>
        <v>39830</v>
      </c>
      <c r="E26" s="32" t="s">
        <v>295</v>
      </c>
      <c r="F26" s="32"/>
      <c r="G26" s="116"/>
      <c r="H26" s="116"/>
    </row>
    <row r="27" spans="1:11" ht="16.5" x14ac:dyDescent="0.3">
      <c r="B27" s="33" t="s">
        <v>29</v>
      </c>
      <c r="C27" s="34">
        <f>SUM(C5,C6,C10)</f>
        <v>4100</v>
      </c>
      <c r="E27" s="35"/>
      <c r="F27" s="35"/>
      <c r="G27" s="36" t="s">
        <v>30</v>
      </c>
      <c r="H27" s="37"/>
    </row>
    <row r="28" spans="1:11" ht="24" x14ac:dyDescent="0.4">
      <c r="B28" s="38" t="s">
        <v>160</v>
      </c>
      <c r="C28" s="39">
        <f>SUM(C15)</f>
        <v>1800</v>
      </c>
      <c r="E28" s="40" t="s">
        <v>32</v>
      </c>
      <c r="F28" s="41"/>
      <c r="G28" s="42"/>
      <c r="H28" s="43"/>
      <c r="I28" s="42"/>
      <c r="J28" s="44"/>
    </row>
    <row r="29" spans="1:11" ht="24" x14ac:dyDescent="0.4">
      <c r="B29" s="38" t="s">
        <v>321</v>
      </c>
      <c r="C29" s="39">
        <f>SUM(C18,C17)</f>
        <v>90000</v>
      </c>
      <c r="E29" s="41"/>
      <c r="F29" s="42"/>
      <c r="G29" s="43"/>
      <c r="H29" s="42"/>
      <c r="I29" s="44"/>
    </row>
    <row r="30" spans="1:11" ht="18.75" x14ac:dyDescent="0.3">
      <c r="B30" s="45" t="s">
        <v>16</v>
      </c>
      <c r="C30" s="46">
        <f>SUM(C26:C29)</f>
        <v>135730</v>
      </c>
      <c r="G30" s="36"/>
      <c r="H30" s="37"/>
      <c r="I30" s="36"/>
      <c r="J30" s="36"/>
    </row>
  </sheetData>
  <mergeCells count="5">
    <mergeCell ref="G26:H26"/>
    <mergeCell ref="A1:K1"/>
    <mergeCell ref="A2:K2"/>
    <mergeCell ref="A3:K3"/>
    <mergeCell ref="A20:K20"/>
  </mergeCells>
  <pageMargins left="0.59055118110236215" right="0.15748031496062992" top="0.47244094488188976" bottom="0.23622047244094488" header="0.31496062992125984" footer="0.31496062992125984"/>
  <pageSetup scale="85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A5D7B-61B6-4D98-B213-35D9E9A51836}">
  <sheetPr>
    <pageSetUpPr fitToPage="1"/>
  </sheetPr>
  <dimension ref="A1:K24"/>
  <sheetViews>
    <sheetView topLeftCell="A4" workbookViewId="0">
      <selection activeCell="C27" sqref="C27"/>
    </sheetView>
  </sheetViews>
  <sheetFormatPr defaultRowHeight="15" x14ac:dyDescent="0.25"/>
  <cols>
    <col min="2" max="2" width="20" customWidth="1"/>
    <col min="3" max="3" width="12.5703125" bestFit="1" customWidth="1"/>
    <col min="4" max="4" width="14.140625" customWidth="1"/>
    <col min="10" max="10" width="16.85546875" bestFit="1" customWidth="1"/>
    <col min="11" max="11" width="27" customWidth="1"/>
  </cols>
  <sheetData>
    <row r="1" spans="1:11" ht="48.75" x14ac:dyDescent="0.25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174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162</v>
      </c>
      <c r="C5" s="4">
        <v>10000</v>
      </c>
      <c r="D5" s="5">
        <v>46175</v>
      </c>
      <c r="E5" s="14">
        <v>0</v>
      </c>
      <c r="F5" s="13" t="s">
        <v>18</v>
      </c>
      <c r="G5" s="15">
        <v>6895</v>
      </c>
      <c r="H5" s="16">
        <v>0</v>
      </c>
      <c r="I5" s="3" t="s">
        <v>19</v>
      </c>
      <c r="J5" s="5">
        <f t="shared" ref="J5:J14" si="0">+D5+1</f>
        <v>46176</v>
      </c>
      <c r="K5" s="13" t="s">
        <v>163</v>
      </c>
    </row>
    <row r="6" spans="1:11" ht="15.75" x14ac:dyDescent="0.25">
      <c r="A6" s="3">
        <v>2</v>
      </c>
      <c r="B6" s="3" t="s">
        <v>164</v>
      </c>
      <c r="C6" s="4">
        <v>1285</v>
      </c>
      <c r="D6" s="5">
        <f t="shared" ref="D6:D14" si="1">+D5</f>
        <v>46175</v>
      </c>
      <c r="E6" s="14">
        <v>0</v>
      </c>
      <c r="F6" s="13" t="s">
        <v>18</v>
      </c>
      <c r="G6" s="15">
        <v>5865</v>
      </c>
      <c r="H6" s="16">
        <v>0</v>
      </c>
      <c r="I6" s="3" t="s">
        <v>15</v>
      </c>
      <c r="J6" s="5">
        <f t="shared" si="0"/>
        <v>46176</v>
      </c>
      <c r="K6" s="13" t="s">
        <v>115</v>
      </c>
    </row>
    <row r="7" spans="1:11" ht="15.75" x14ac:dyDescent="0.25">
      <c r="A7" s="3">
        <v>3</v>
      </c>
      <c r="B7" s="3" t="s">
        <v>165</v>
      </c>
      <c r="C7" s="4">
        <v>20620</v>
      </c>
      <c r="D7" s="5">
        <f t="shared" si="1"/>
        <v>46175</v>
      </c>
      <c r="E7" s="14">
        <v>0</v>
      </c>
      <c r="F7" s="13" t="s">
        <v>18</v>
      </c>
      <c r="G7" s="15">
        <v>5175</v>
      </c>
      <c r="H7" s="16">
        <v>0</v>
      </c>
      <c r="I7" s="3" t="s">
        <v>15</v>
      </c>
      <c r="J7" s="5">
        <f t="shared" si="0"/>
        <v>46176</v>
      </c>
      <c r="K7" s="13" t="s">
        <v>166</v>
      </c>
    </row>
    <row r="8" spans="1:11" ht="15.75" x14ac:dyDescent="0.25">
      <c r="A8" s="3">
        <v>4</v>
      </c>
      <c r="B8" s="3" t="s">
        <v>167</v>
      </c>
      <c r="C8" s="4">
        <v>2860</v>
      </c>
      <c r="D8" s="5">
        <f t="shared" si="1"/>
        <v>46175</v>
      </c>
      <c r="E8" s="14">
        <v>0</v>
      </c>
      <c r="F8" s="13" t="s">
        <v>18</v>
      </c>
      <c r="G8" s="15">
        <v>5442</v>
      </c>
      <c r="H8" s="16">
        <v>0</v>
      </c>
      <c r="I8" s="3" t="s">
        <v>15</v>
      </c>
      <c r="J8" s="5">
        <f t="shared" si="0"/>
        <v>46176</v>
      </c>
      <c r="K8" s="13" t="s">
        <v>168</v>
      </c>
    </row>
    <row r="9" spans="1:11" ht="15.75" x14ac:dyDescent="0.25">
      <c r="A9" s="3">
        <v>5</v>
      </c>
      <c r="B9" s="3" t="s">
        <v>169</v>
      </c>
      <c r="C9" s="4">
        <v>2260</v>
      </c>
      <c r="D9" s="5">
        <f t="shared" si="1"/>
        <v>46175</v>
      </c>
      <c r="E9" s="14">
        <v>0</v>
      </c>
      <c r="F9" s="13" t="s">
        <v>18</v>
      </c>
      <c r="G9" s="15">
        <v>5565</v>
      </c>
      <c r="H9" s="16">
        <v>0</v>
      </c>
      <c r="I9" s="3" t="s">
        <v>15</v>
      </c>
      <c r="J9" s="5">
        <f t="shared" si="0"/>
        <v>46176</v>
      </c>
      <c r="K9" s="13" t="s">
        <v>115</v>
      </c>
    </row>
    <row r="10" spans="1:11" ht="15.75" x14ac:dyDescent="0.25">
      <c r="A10" s="3">
        <v>6</v>
      </c>
      <c r="B10" s="3" t="s">
        <v>171</v>
      </c>
      <c r="C10" s="4">
        <v>520</v>
      </c>
      <c r="D10" s="5">
        <f t="shared" si="1"/>
        <v>46175</v>
      </c>
      <c r="E10" s="14">
        <v>0</v>
      </c>
      <c r="F10" s="13" t="s">
        <v>18</v>
      </c>
      <c r="G10" s="15">
        <v>6585</v>
      </c>
      <c r="H10" s="16">
        <v>0</v>
      </c>
      <c r="I10" s="3" t="s">
        <v>15</v>
      </c>
      <c r="J10" s="5">
        <f t="shared" si="0"/>
        <v>46176</v>
      </c>
      <c r="K10" s="13" t="s">
        <v>115</v>
      </c>
    </row>
    <row r="11" spans="1:11" ht="15.75" x14ac:dyDescent="0.25">
      <c r="A11" s="3">
        <v>7</v>
      </c>
      <c r="B11" s="3" t="s">
        <v>170</v>
      </c>
      <c r="C11" s="4">
        <v>500</v>
      </c>
      <c r="D11" s="5">
        <f t="shared" si="1"/>
        <v>46175</v>
      </c>
      <c r="E11" s="14">
        <v>0</v>
      </c>
      <c r="F11" s="13" t="s">
        <v>18</v>
      </c>
      <c r="G11" s="15">
        <v>1235</v>
      </c>
      <c r="H11" s="16">
        <v>0</v>
      </c>
      <c r="I11" s="3" t="s">
        <v>15</v>
      </c>
      <c r="J11" s="5">
        <f t="shared" si="0"/>
        <v>46176</v>
      </c>
      <c r="K11" s="13" t="s">
        <v>113</v>
      </c>
    </row>
    <row r="12" spans="1:11" ht="15.75" x14ac:dyDescent="0.25">
      <c r="A12" s="3">
        <v>8</v>
      </c>
      <c r="B12" s="3" t="s">
        <v>172</v>
      </c>
      <c r="C12" s="4">
        <v>1480</v>
      </c>
      <c r="D12" s="5">
        <f t="shared" si="1"/>
        <v>46175</v>
      </c>
      <c r="E12" s="14">
        <v>0</v>
      </c>
      <c r="F12" s="13" t="s">
        <v>18</v>
      </c>
      <c r="G12" s="15">
        <v>5835</v>
      </c>
      <c r="H12" s="16">
        <v>0</v>
      </c>
      <c r="I12" s="3" t="s">
        <v>15</v>
      </c>
      <c r="J12" s="5">
        <f t="shared" si="0"/>
        <v>46176</v>
      </c>
      <c r="K12" s="13" t="s">
        <v>115</v>
      </c>
    </row>
    <row r="13" spans="1:11" ht="15.75" x14ac:dyDescent="0.25">
      <c r="A13" s="3">
        <v>9</v>
      </c>
      <c r="B13" s="3" t="s">
        <v>173</v>
      </c>
      <c r="C13" s="4">
        <v>1600</v>
      </c>
      <c r="D13" s="5">
        <f t="shared" si="1"/>
        <v>46175</v>
      </c>
      <c r="E13" s="14">
        <v>0</v>
      </c>
      <c r="F13" s="13" t="s">
        <v>18</v>
      </c>
      <c r="G13" s="15">
        <v>3582</v>
      </c>
      <c r="H13" s="16">
        <v>0</v>
      </c>
      <c r="I13" s="3" t="s">
        <v>15</v>
      </c>
      <c r="J13" s="5">
        <f t="shared" si="0"/>
        <v>46176</v>
      </c>
      <c r="K13" s="13" t="s">
        <v>113</v>
      </c>
    </row>
    <row r="14" spans="1:11" ht="15.75" x14ac:dyDescent="0.25">
      <c r="A14" s="3">
        <v>10</v>
      </c>
      <c r="B14" s="3"/>
      <c r="C14" s="4">
        <v>0</v>
      </c>
      <c r="D14" s="5">
        <f t="shared" si="1"/>
        <v>46175</v>
      </c>
      <c r="E14" s="14">
        <v>0</v>
      </c>
      <c r="F14" s="13" t="s">
        <v>18</v>
      </c>
      <c r="G14" s="15"/>
      <c r="H14" s="16">
        <v>0</v>
      </c>
      <c r="I14" s="3" t="s">
        <v>15</v>
      </c>
      <c r="J14" s="5">
        <f t="shared" si="0"/>
        <v>46176</v>
      </c>
      <c r="K14" s="13"/>
    </row>
    <row r="15" spans="1:11" ht="18.75" x14ac:dyDescent="0.3">
      <c r="A15" s="3"/>
      <c r="B15" s="17" t="s">
        <v>16</v>
      </c>
      <c r="C15" s="54">
        <f>SUM(C5:C14)</f>
        <v>41125</v>
      </c>
      <c r="D15" s="3"/>
      <c r="E15" s="3"/>
      <c r="F15" s="13"/>
      <c r="G15" s="13"/>
      <c r="H15" s="11"/>
      <c r="I15" s="3"/>
      <c r="J15" s="3"/>
      <c r="K15" s="3"/>
    </row>
    <row r="16" spans="1:11" ht="24.75" x14ac:dyDescent="0.5">
      <c r="A16" s="125" t="s">
        <v>20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7"/>
    </row>
    <row r="17" spans="1:11" ht="18.75" x14ac:dyDescent="0.3">
      <c r="A17" s="19" t="s">
        <v>3</v>
      </c>
      <c r="B17" s="19" t="s">
        <v>21</v>
      </c>
      <c r="C17" s="50" t="s">
        <v>5</v>
      </c>
      <c r="D17" s="1" t="s">
        <v>22</v>
      </c>
      <c r="E17" s="19" t="s">
        <v>7</v>
      </c>
      <c r="F17" s="19" t="s">
        <v>8</v>
      </c>
      <c r="G17" s="19" t="s">
        <v>23</v>
      </c>
      <c r="H17" s="20" t="s">
        <v>24</v>
      </c>
      <c r="I17" s="19" t="s">
        <v>11</v>
      </c>
      <c r="J17" s="19" t="s">
        <v>25</v>
      </c>
      <c r="K17" s="21" t="s">
        <v>26</v>
      </c>
    </row>
    <row r="18" spans="1:11" ht="15.75" x14ac:dyDescent="0.25">
      <c r="A18" s="8">
        <v>1</v>
      </c>
      <c r="B18" s="8" t="s">
        <v>41</v>
      </c>
      <c r="C18" s="47">
        <v>30006</v>
      </c>
      <c r="D18" s="5">
        <v>46175</v>
      </c>
      <c r="E18" s="8"/>
      <c r="F18" s="8"/>
      <c r="G18" s="22">
        <v>12</v>
      </c>
      <c r="H18" s="23"/>
      <c r="I18" s="24"/>
      <c r="J18" s="3"/>
      <c r="K18" s="13" t="s">
        <v>293</v>
      </c>
    </row>
    <row r="19" spans="1:11" ht="18.75" x14ac:dyDescent="0.25">
      <c r="A19" s="8"/>
      <c r="B19" s="25" t="s">
        <v>27</v>
      </c>
      <c r="C19" s="51">
        <f>SUM(C18)</f>
        <v>30006</v>
      </c>
      <c r="D19" s="3"/>
      <c r="E19" s="8"/>
      <c r="F19" s="8"/>
      <c r="G19" s="8"/>
      <c r="H19" s="27">
        <v>0</v>
      </c>
      <c r="I19" s="24"/>
      <c r="J19" s="3"/>
      <c r="K19" s="28"/>
    </row>
    <row r="20" spans="1:11" x14ac:dyDescent="0.25">
      <c r="C20" s="29"/>
      <c r="H20" s="29"/>
    </row>
    <row r="21" spans="1:11" ht="16.5" x14ac:dyDescent="0.3">
      <c r="B21" s="30" t="s">
        <v>28</v>
      </c>
      <c r="C21" s="31">
        <f>SUM(C13,C11,C7,C5)</f>
        <v>32720</v>
      </c>
      <c r="E21" s="32"/>
      <c r="F21" s="32"/>
      <c r="G21" s="116"/>
      <c r="H21" s="116"/>
    </row>
    <row r="22" spans="1:11" ht="16.5" x14ac:dyDescent="0.3">
      <c r="B22" s="33" t="s">
        <v>29</v>
      </c>
      <c r="C22" s="34">
        <f>SUM(C12,C10,C9,C8,C6)</f>
        <v>8405</v>
      </c>
      <c r="E22" s="35"/>
      <c r="F22" s="35"/>
      <c r="G22" s="36" t="s">
        <v>30</v>
      </c>
      <c r="H22" s="37"/>
    </row>
    <row r="23" spans="1:11" ht="24" x14ac:dyDescent="0.4">
      <c r="B23" s="38" t="s">
        <v>31</v>
      </c>
      <c r="C23" s="39">
        <v>0</v>
      </c>
      <c r="E23" s="40" t="s">
        <v>32</v>
      </c>
      <c r="F23" s="41"/>
      <c r="G23" s="42"/>
      <c r="H23" s="43"/>
      <c r="I23" s="42"/>
      <c r="J23" s="44"/>
    </row>
    <row r="24" spans="1:11" ht="18.75" x14ac:dyDescent="0.3">
      <c r="B24" s="45" t="s">
        <v>16</v>
      </c>
      <c r="C24" s="46">
        <f>SUM(C21:C23)</f>
        <v>41125</v>
      </c>
      <c r="G24" s="36"/>
      <c r="H24" s="37"/>
      <c r="I24" s="36"/>
      <c r="J24" s="36"/>
    </row>
  </sheetData>
  <mergeCells count="5">
    <mergeCell ref="G21:H21"/>
    <mergeCell ref="A1:K1"/>
    <mergeCell ref="A2:K2"/>
    <mergeCell ref="A3:K3"/>
    <mergeCell ref="A16:K16"/>
  </mergeCells>
  <pageMargins left="0.7" right="0.7" top="0.75" bottom="0.75" header="0.3" footer="0.3"/>
  <pageSetup scale="84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0195D-71A3-4019-BEEF-FB9E3C2D5418}">
  <sheetPr>
    <pageSetUpPr fitToPage="1"/>
  </sheetPr>
  <dimension ref="A1:K29"/>
  <sheetViews>
    <sheetView topLeftCell="A8" workbookViewId="0">
      <selection sqref="A1:K29"/>
    </sheetView>
  </sheetViews>
  <sheetFormatPr defaultRowHeight="15" x14ac:dyDescent="0.25"/>
  <cols>
    <col min="1" max="1" width="4.42578125" bestFit="1" customWidth="1"/>
    <col min="2" max="2" width="16.7109375" bestFit="1" customWidth="1"/>
    <col min="3" max="3" width="14.42578125" bestFit="1" customWidth="1"/>
    <col min="4" max="4" width="13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7.42578125" bestFit="1" customWidth="1"/>
  </cols>
  <sheetData>
    <row r="1" spans="1:11" ht="48.75" x14ac:dyDescent="0.25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193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191</v>
      </c>
      <c r="C5" s="4">
        <v>400</v>
      </c>
      <c r="D5" s="5">
        <v>46176</v>
      </c>
      <c r="E5" s="14">
        <v>0</v>
      </c>
      <c r="F5" s="13" t="s">
        <v>18</v>
      </c>
      <c r="G5" s="15">
        <v>8280</v>
      </c>
      <c r="H5" s="16">
        <v>0</v>
      </c>
      <c r="I5" s="3" t="s">
        <v>19</v>
      </c>
      <c r="J5" s="5">
        <f t="shared" ref="J5:J16" si="0">+D5+1</f>
        <v>46177</v>
      </c>
      <c r="K5" s="13" t="s">
        <v>203</v>
      </c>
    </row>
    <row r="6" spans="1:11" ht="15.75" x14ac:dyDescent="0.25">
      <c r="A6" s="3">
        <v>2</v>
      </c>
      <c r="B6" s="3" t="s">
        <v>191</v>
      </c>
      <c r="C6" s="4">
        <v>2000</v>
      </c>
      <c r="D6" s="5">
        <f t="shared" ref="D6:D16" si="1">+D5</f>
        <v>46176</v>
      </c>
      <c r="E6" s="14">
        <v>0</v>
      </c>
      <c r="F6" s="13" t="s">
        <v>18</v>
      </c>
      <c r="G6" s="15">
        <v>9397</v>
      </c>
      <c r="H6" s="16">
        <v>0</v>
      </c>
      <c r="I6" s="3" t="s">
        <v>15</v>
      </c>
      <c r="J6" s="5">
        <f t="shared" si="0"/>
        <v>46177</v>
      </c>
      <c r="K6" s="13" t="s">
        <v>203</v>
      </c>
    </row>
    <row r="7" spans="1:11" ht="15.75" x14ac:dyDescent="0.25">
      <c r="A7" s="3">
        <v>3</v>
      </c>
      <c r="B7" s="3" t="s">
        <v>194</v>
      </c>
      <c r="C7" s="4">
        <v>3160</v>
      </c>
      <c r="D7" s="5">
        <f t="shared" si="1"/>
        <v>46176</v>
      </c>
      <c r="E7" s="14">
        <v>0</v>
      </c>
      <c r="F7" s="13" t="s">
        <v>18</v>
      </c>
      <c r="G7" s="15">
        <v>7546</v>
      </c>
      <c r="H7" s="16">
        <v>0</v>
      </c>
      <c r="I7" s="3" t="s">
        <v>15</v>
      </c>
      <c r="J7" s="5">
        <f t="shared" si="0"/>
        <v>46177</v>
      </c>
      <c r="K7" s="13" t="s">
        <v>115</v>
      </c>
    </row>
    <row r="8" spans="1:11" ht="15.75" x14ac:dyDescent="0.25">
      <c r="A8" s="3">
        <v>4</v>
      </c>
      <c r="B8" s="3" t="s">
        <v>195</v>
      </c>
      <c r="C8" s="4">
        <v>2175</v>
      </c>
      <c r="D8" s="5">
        <f t="shared" si="1"/>
        <v>46176</v>
      </c>
      <c r="E8" s="14">
        <v>0</v>
      </c>
      <c r="F8" s="13" t="s">
        <v>18</v>
      </c>
      <c r="G8" s="15">
        <v>1754</v>
      </c>
      <c r="H8" s="16">
        <v>0</v>
      </c>
      <c r="I8" s="3" t="s">
        <v>15</v>
      </c>
      <c r="J8" s="5">
        <f t="shared" si="0"/>
        <v>46177</v>
      </c>
      <c r="K8" s="13" t="s">
        <v>115</v>
      </c>
    </row>
    <row r="9" spans="1:11" ht="15.75" x14ac:dyDescent="0.25">
      <c r="A9" s="3">
        <v>5</v>
      </c>
      <c r="B9" s="3" t="s">
        <v>196</v>
      </c>
      <c r="C9" s="4">
        <v>500</v>
      </c>
      <c r="D9" s="5">
        <f t="shared" si="1"/>
        <v>46176</v>
      </c>
      <c r="E9" s="14">
        <v>0</v>
      </c>
      <c r="F9" s="13" t="s">
        <v>18</v>
      </c>
      <c r="G9" s="15">
        <v>3983</v>
      </c>
      <c r="H9" s="16">
        <v>0</v>
      </c>
      <c r="I9" s="3" t="s">
        <v>15</v>
      </c>
      <c r="J9" s="5">
        <f t="shared" si="0"/>
        <v>46177</v>
      </c>
      <c r="K9" s="13" t="s">
        <v>102</v>
      </c>
    </row>
    <row r="10" spans="1:11" ht="15.75" x14ac:dyDescent="0.25">
      <c r="A10" s="3">
        <v>6</v>
      </c>
      <c r="B10" s="3" t="s">
        <v>192</v>
      </c>
      <c r="C10" s="4">
        <v>1200</v>
      </c>
      <c r="D10" s="5">
        <f>+D6</f>
        <v>46176</v>
      </c>
      <c r="E10" s="14">
        <v>0</v>
      </c>
      <c r="F10" s="13" t="s">
        <v>18</v>
      </c>
      <c r="G10" s="15">
        <v>7466</v>
      </c>
      <c r="H10" s="16">
        <v>0</v>
      </c>
      <c r="I10" s="3" t="s">
        <v>15</v>
      </c>
      <c r="J10" s="5">
        <f t="shared" si="0"/>
        <v>46177</v>
      </c>
      <c r="K10" s="13" t="s">
        <v>204</v>
      </c>
    </row>
    <row r="11" spans="1:11" ht="15.75" x14ac:dyDescent="0.25">
      <c r="A11" s="3">
        <v>7</v>
      </c>
      <c r="B11" s="3" t="s">
        <v>192</v>
      </c>
      <c r="C11" s="4">
        <v>2000</v>
      </c>
      <c r="D11" s="5">
        <f t="shared" si="1"/>
        <v>46176</v>
      </c>
      <c r="E11" s="14">
        <v>0</v>
      </c>
      <c r="F11" s="13" t="s">
        <v>18</v>
      </c>
      <c r="G11" s="15">
        <v>3483</v>
      </c>
      <c r="H11" s="16">
        <v>0</v>
      </c>
      <c r="I11" s="3" t="s">
        <v>15</v>
      </c>
      <c r="J11" s="5">
        <f t="shared" si="0"/>
        <v>46177</v>
      </c>
      <c r="K11" s="13" t="s">
        <v>204</v>
      </c>
    </row>
    <row r="12" spans="1:11" ht="15.75" x14ac:dyDescent="0.25">
      <c r="A12" s="3">
        <v>8</v>
      </c>
      <c r="B12" s="3" t="s">
        <v>192</v>
      </c>
      <c r="C12" s="4">
        <v>2000</v>
      </c>
      <c r="D12" s="5">
        <f t="shared" si="1"/>
        <v>46176</v>
      </c>
      <c r="E12" s="14">
        <v>0</v>
      </c>
      <c r="F12" s="13" t="s">
        <v>18</v>
      </c>
      <c r="G12" s="15">
        <v>2206</v>
      </c>
      <c r="H12" s="16">
        <v>0</v>
      </c>
      <c r="I12" s="3" t="s">
        <v>15</v>
      </c>
      <c r="J12" s="5">
        <f t="shared" si="0"/>
        <v>46177</v>
      </c>
      <c r="K12" s="13" t="s">
        <v>205</v>
      </c>
    </row>
    <row r="13" spans="1:11" ht="15.75" x14ac:dyDescent="0.25">
      <c r="A13" s="3">
        <v>9</v>
      </c>
      <c r="B13" s="3" t="s">
        <v>192</v>
      </c>
      <c r="C13" s="4">
        <v>520</v>
      </c>
      <c r="D13" s="5">
        <f t="shared" si="1"/>
        <v>46176</v>
      </c>
      <c r="E13" s="14">
        <v>0</v>
      </c>
      <c r="F13" s="13" t="s">
        <v>18</v>
      </c>
      <c r="G13" s="15">
        <v>8519</v>
      </c>
      <c r="H13" s="16">
        <v>0</v>
      </c>
      <c r="I13" s="3" t="s">
        <v>15</v>
      </c>
      <c r="J13" s="5">
        <f t="shared" si="0"/>
        <v>46177</v>
      </c>
      <c r="K13" s="13" t="s">
        <v>204</v>
      </c>
    </row>
    <row r="14" spans="1:11" ht="15.75" x14ac:dyDescent="0.25">
      <c r="A14" s="3">
        <v>10</v>
      </c>
      <c r="B14" s="3" t="s">
        <v>192</v>
      </c>
      <c r="C14" s="4">
        <v>2000</v>
      </c>
      <c r="D14" s="5">
        <f t="shared" si="1"/>
        <v>46176</v>
      </c>
      <c r="E14" s="14">
        <v>0</v>
      </c>
      <c r="F14" s="13" t="s">
        <v>18</v>
      </c>
      <c r="G14" s="15">
        <v>4092</v>
      </c>
      <c r="H14" s="16">
        <v>0</v>
      </c>
      <c r="I14" s="3" t="s">
        <v>15</v>
      </c>
      <c r="J14" s="5">
        <f>+D14+1</f>
        <v>46177</v>
      </c>
      <c r="K14" s="13" t="s">
        <v>203</v>
      </c>
    </row>
    <row r="15" spans="1:11" ht="15.75" x14ac:dyDescent="0.25">
      <c r="A15" s="3">
        <v>11</v>
      </c>
      <c r="B15" s="3" t="s">
        <v>260</v>
      </c>
      <c r="C15" s="4">
        <v>80000</v>
      </c>
      <c r="D15" s="5">
        <f t="shared" si="1"/>
        <v>46176</v>
      </c>
      <c r="E15" s="14">
        <v>0</v>
      </c>
      <c r="F15" s="13" t="s">
        <v>18</v>
      </c>
      <c r="G15" s="15">
        <v>7558</v>
      </c>
      <c r="H15" s="16">
        <v>0</v>
      </c>
      <c r="I15" s="3" t="s">
        <v>15</v>
      </c>
      <c r="J15" s="5">
        <f t="shared" si="0"/>
        <v>46177</v>
      </c>
      <c r="K15" s="13" t="s">
        <v>262</v>
      </c>
    </row>
    <row r="16" spans="1:11" ht="15.75" x14ac:dyDescent="0.25">
      <c r="A16" s="3">
        <v>12</v>
      </c>
      <c r="B16" s="3" t="s">
        <v>261</v>
      </c>
      <c r="C16" s="4">
        <v>99000</v>
      </c>
      <c r="D16" s="5">
        <f t="shared" si="1"/>
        <v>46176</v>
      </c>
      <c r="E16" s="14">
        <v>0</v>
      </c>
      <c r="F16" s="13" t="s">
        <v>18</v>
      </c>
      <c r="G16" s="15">
        <v>828</v>
      </c>
      <c r="H16" s="16">
        <v>0</v>
      </c>
      <c r="I16" s="3" t="s">
        <v>15</v>
      </c>
      <c r="J16" s="5">
        <f t="shared" si="0"/>
        <v>46177</v>
      </c>
      <c r="K16" s="13" t="s">
        <v>46</v>
      </c>
    </row>
    <row r="17" spans="1:11" ht="18.75" x14ac:dyDescent="0.3">
      <c r="A17" s="3"/>
      <c r="B17" s="17" t="s">
        <v>16</v>
      </c>
      <c r="C17" s="54">
        <f>SUM(C5:C16)</f>
        <v>194955</v>
      </c>
      <c r="D17" s="3"/>
      <c r="E17" s="3"/>
      <c r="F17" s="13"/>
      <c r="G17" s="13"/>
      <c r="H17" s="11"/>
      <c r="I17" s="3"/>
      <c r="J17" s="3"/>
      <c r="K17" s="3"/>
    </row>
    <row r="18" spans="1:11" ht="24.75" x14ac:dyDescent="0.5">
      <c r="A18" s="125" t="s">
        <v>20</v>
      </c>
      <c r="B18" s="126"/>
      <c r="C18" s="126"/>
      <c r="D18" s="126"/>
      <c r="E18" s="126"/>
      <c r="F18" s="126"/>
      <c r="G18" s="126"/>
      <c r="H18" s="126"/>
      <c r="I18" s="126"/>
      <c r="J18" s="126"/>
      <c r="K18" s="127"/>
    </row>
    <row r="19" spans="1:11" ht="18.75" x14ac:dyDescent="0.3">
      <c r="A19" s="19" t="s">
        <v>3</v>
      </c>
      <c r="B19" s="19" t="s">
        <v>21</v>
      </c>
      <c r="C19" s="50" t="s">
        <v>5</v>
      </c>
      <c r="D19" s="1" t="s">
        <v>22</v>
      </c>
      <c r="E19" s="19" t="s">
        <v>7</v>
      </c>
      <c r="F19" s="19" t="s">
        <v>8</v>
      </c>
      <c r="G19" s="19" t="s">
        <v>23</v>
      </c>
      <c r="H19" s="20" t="s">
        <v>24</v>
      </c>
      <c r="I19" s="19" t="s">
        <v>11</v>
      </c>
      <c r="J19" s="19" t="s">
        <v>25</v>
      </c>
      <c r="K19" s="21" t="s">
        <v>26</v>
      </c>
    </row>
    <row r="20" spans="1:11" ht="15.75" x14ac:dyDescent="0.25">
      <c r="A20" s="8">
        <v>1</v>
      </c>
      <c r="B20" s="8" t="s">
        <v>64</v>
      </c>
      <c r="C20" s="47">
        <v>25006</v>
      </c>
      <c r="D20" s="5">
        <v>46176</v>
      </c>
      <c r="E20" s="8"/>
      <c r="F20" s="8"/>
      <c r="G20" s="22">
        <v>67</v>
      </c>
      <c r="H20" s="23"/>
      <c r="I20" s="24"/>
      <c r="J20" s="3"/>
      <c r="K20" s="13" t="s">
        <v>115</v>
      </c>
    </row>
    <row r="21" spans="1:11" ht="15.75" x14ac:dyDescent="0.25">
      <c r="A21" s="8">
        <v>2</v>
      </c>
      <c r="B21" s="8" t="s">
        <v>263</v>
      </c>
      <c r="C21" s="47">
        <v>5000</v>
      </c>
      <c r="D21" s="5">
        <v>46176</v>
      </c>
      <c r="E21" s="8"/>
      <c r="F21" s="8"/>
      <c r="G21" s="22">
        <v>709</v>
      </c>
      <c r="H21" s="23"/>
      <c r="I21" s="24"/>
      <c r="J21" s="3"/>
      <c r="K21" s="13" t="s">
        <v>291</v>
      </c>
    </row>
    <row r="22" spans="1:11" ht="15.75" x14ac:dyDescent="0.25">
      <c r="A22" s="8">
        <v>3</v>
      </c>
      <c r="B22" s="8" t="s">
        <v>264</v>
      </c>
      <c r="C22" s="47">
        <v>28.05</v>
      </c>
      <c r="D22" s="5">
        <v>46176</v>
      </c>
      <c r="E22" s="8"/>
      <c r="F22" s="8"/>
      <c r="G22" s="22">
        <v>0</v>
      </c>
      <c r="H22" s="23"/>
      <c r="I22" s="24"/>
      <c r="J22" s="3"/>
      <c r="K22" s="13" t="s">
        <v>292</v>
      </c>
    </row>
    <row r="23" spans="1:11" ht="15.75" x14ac:dyDescent="0.25">
      <c r="A23" s="8">
        <v>4</v>
      </c>
      <c r="B23" s="8"/>
      <c r="C23" s="47">
        <v>0</v>
      </c>
      <c r="D23" s="5"/>
      <c r="E23" s="8"/>
      <c r="F23" s="8"/>
      <c r="G23" s="22"/>
      <c r="H23" s="23"/>
      <c r="I23" s="24"/>
      <c r="J23" s="3"/>
      <c r="K23" s="13"/>
    </row>
    <row r="24" spans="1:11" ht="18.75" x14ac:dyDescent="0.25">
      <c r="A24" s="8"/>
      <c r="B24" s="25" t="s">
        <v>27</v>
      </c>
      <c r="C24" s="51">
        <f>SUM(C20:C23)</f>
        <v>30034.05</v>
      </c>
      <c r="D24" s="3"/>
      <c r="E24" s="8"/>
      <c r="F24" s="8"/>
      <c r="G24" s="8"/>
      <c r="H24" s="27">
        <v>0</v>
      </c>
      <c r="I24" s="24"/>
      <c r="J24" s="3"/>
      <c r="K24" s="28"/>
    </row>
    <row r="25" spans="1:11" x14ac:dyDescent="0.25">
      <c r="C25" s="29"/>
      <c r="H25" s="29"/>
    </row>
    <row r="26" spans="1:11" ht="16.5" x14ac:dyDescent="0.3">
      <c r="B26" s="30" t="s">
        <v>28</v>
      </c>
      <c r="C26" s="31">
        <f>SUM(C5,C6,C9,C10,C11,C12,C13,C14)</f>
        <v>10620</v>
      </c>
      <c r="E26" s="32"/>
      <c r="F26" s="32"/>
      <c r="G26" s="116"/>
      <c r="H26" s="116"/>
    </row>
    <row r="27" spans="1:11" ht="16.5" x14ac:dyDescent="0.3">
      <c r="B27" s="33" t="s">
        <v>29</v>
      </c>
      <c r="C27" s="34">
        <f>SUM(C7,C8)</f>
        <v>5335</v>
      </c>
      <c r="E27" s="35"/>
      <c r="F27" s="35"/>
      <c r="G27" s="36" t="s">
        <v>30</v>
      </c>
      <c r="H27" s="37"/>
    </row>
    <row r="28" spans="1:11" ht="24" x14ac:dyDescent="0.4">
      <c r="B28" s="38" t="s">
        <v>31</v>
      </c>
      <c r="C28" s="39">
        <f>SUM(C15,C16)</f>
        <v>179000</v>
      </c>
      <c r="E28" s="40" t="s">
        <v>32</v>
      </c>
      <c r="F28" s="41"/>
      <c r="G28" s="42"/>
      <c r="H28" s="43"/>
      <c r="I28" s="42"/>
      <c r="J28" s="44"/>
    </row>
    <row r="29" spans="1:11" ht="18.75" x14ac:dyDescent="0.3">
      <c r="B29" s="45" t="s">
        <v>16</v>
      </c>
      <c r="C29" s="46">
        <f>SUM(C26:C28)</f>
        <v>194955</v>
      </c>
      <c r="G29" s="36"/>
      <c r="H29" s="37"/>
      <c r="I29" s="36"/>
      <c r="J29" s="36"/>
    </row>
  </sheetData>
  <mergeCells count="5">
    <mergeCell ref="G26:H26"/>
    <mergeCell ref="A1:K1"/>
    <mergeCell ref="A2:K2"/>
    <mergeCell ref="A3:K3"/>
    <mergeCell ref="A18:K18"/>
  </mergeCells>
  <pageMargins left="0.59055118110236215" right="0.15748031496062992" top="0.47244094488188976" bottom="0.23622047244094488" header="0.31496062992125984" footer="0.31496062992125984"/>
  <pageSetup scale="89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DE371-26F7-4806-84A0-495917835CC4}">
  <sheetPr>
    <pageSetUpPr fitToPage="1"/>
  </sheetPr>
  <dimension ref="A1:K25"/>
  <sheetViews>
    <sheetView topLeftCell="A4" workbookViewId="0">
      <selection sqref="A1:K24"/>
    </sheetView>
  </sheetViews>
  <sheetFormatPr defaultRowHeight="15" x14ac:dyDescent="0.25"/>
  <cols>
    <col min="1" max="1" width="4.5703125" customWidth="1"/>
    <col min="2" max="2" width="22" customWidth="1"/>
    <col min="3" max="3" width="21.28515625" customWidth="1"/>
    <col min="4" max="4" width="22.7109375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30.28515625" customWidth="1"/>
  </cols>
  <sheetData>
    <row r="1" spans="1:11" ht="48.75" x14ac:dyDescent="0.25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197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2</v>
      </c>
      <c r="B5" s="3" t="s">
        <v>198</v>
      </c>
      <c r="C5" s="4">
        <v>1450</v>
      </c>
      <c r="D5" s="5">
        <v>46177</v>
      </c>
      <c r="E5" s="14">
        <v>0</v>
      </c>
      <c r="F5" s="13" t="s">
        <v>18</v>
      </c>
      <c r="G5" s="15">
        <v>6947</v>
      </c>
      <c r="H5" s="16">
        <v>0</v>
      </c>
      <c r="I5" s="3" t="s">
        <v>19</v>
      </c>
      <c r="J5" s="5">
        <f t="shared" ref="J5:J10" si="0">+D5+1</f>
        <v>46178</v>
      </c>
      <c r="K5" s="13" t="s">
        <v>202</v>
      </c>
    </row>
    <row r="6" spans="1:11" ht="15.75" x14ac:dyDescent="0.25">
      <c r="A6" s="3">
        <v>3</v>
      </c>
      <c r="B6" s="3" t="s">
        <v>199</v>
      </c>
      <c r="C6" s="4">
        <v>65</v>
      </c>
      <c r="D6" s="5">
        <f t="shared" ref="D6:D10" si="1">+D5</f>
        <v>46177</v>
      </c>
      <c r="E6" s="14">
        <v>0</v>
      </c>
      <c r="F6" s="13" t="s">
        <v>18</v>
      </c>
      <c r="G6" s="15">
        <v>6753</v>
      </c>
      <c r="H6" s="16">
        <v>0</v>
      </c>
      <c r="I6" s="3" t="s">
        <v>15</v>
      </c>
      <c r="J6" s="5">
        <f t="shared" si="0"/>
        <v>46178</v>
      </c>
      <c r="K6" s="13" t="s">
        <v>65</v>
      </c>
    </row>
    <row r="7" spans="1:11" ht="15.75" x14ac:dyDescent="0.25">
      <c r="A7" s="3">
        <v>4</v>
      </c>
      <c r="B7" s="3" t="s">
        <v>200</v>
      </c>
      <c r="C7" s="4">
        <v>1830</v>
      </c>
      <c r="D7" s="5">
        <f t="shared" si="1"/>
        <v>46177</v>
      </c>
      <c r="E7" s="14">
        <v>0</v>
      </c>
      <c r="F7" s="13" t="s">
        <v>18</v>
      </c>
      <c r="G7" s="15">
        <v>6391</v>
      </c>
      <c r="H7" s="16">
        <v>0</v>
      </c>
      <c r="I7" s="3" t="s">
        <v>15</v>
      </c>
      <c r="J7" s="5">
        <f t="shared" si="0"/>
        <v>46178</v>
      </c>
      <c r="K7" s="13" t="s">
        <v>113</v>
      </c>
    </row>
    <row r="8" spans="1:11" ht="15.75" x14ac:dyDescent="0.25">
      <c r="A8" s="3">
        <v>5</v>
      </c>
      <c r="B8" s="3" t="s">
        <v>201</v>
      </c>
      <c r="C8" s="4">
        <v>20</v>
      </c>
      <c r="D8" s="5">
        <f t="shared" si="1"/>
        <v>46177</v>
      </c>
      <c r="E8" s="14">
        <v>0</v>
      </c>
      <c r="F8" s="13" t="s">
        <v>18</v>
      </c>
      <c r="G8" s="15">
        <v>3500</v>
      </c>
      <c r="H8" s="16">
        <v>0</v>
      </c>
      <c r="I8" s="3" t="s">
        <v>15</v>
      </c>
      <c r="J8" s="5">
        <f t="shared" si="0"/>
        <v>46178</v>
      </c>
      <c r="K8" s="13" t="s">
        <v>187</v>
      </c>
    </row>
    <row r="9" spans="1:11" ht="15.75" x14ac:dyDescent="0.25">
      <c r="A9" s="3">
        <v>6</v>
      </c>
      <c r="B9" s="3" t="s">
        <v>46</v>
      </c>
      <c r="C9" s="4">
        <v>97000</v>
      </c>
      <c r="D9" s="5">
        <f t="shared" si="1"/>
        <v>46177</v>
      </c>
      <c r="E9" s="14">
        <v>0</v>
      </c>
      <c r="F9" s="13" t="s">
        <v>18</v>
      </c>
      <c r="G9" s="15">
        <v>1003</v>
      </c>
      <c r="H9" s="16">
        <v>0</v>
      </c>
      <c r="I9" s="3" t="s">
        <v>15</v>
      </c>
      <c r="J9" s="5">
        <f t="shared" si="0"/>
        <v>46178</v>
      </c>
      <c r="K9" s="13" t="s">
        <v>261</v>
      </c>
    </row>
    <row r="10" spans="1:11" ht="15.75" x14ac:dyDescent="0.25">
      <c r="A10" s="3">
        <v>7</v>
      </c>
      <c r="B10" s="3" t="s">
        <v>46</v>
      </c>
      <c r="C10" s="4">
        <v>15000</v>
      </c>
      <c r="D10" s="5">
        <f t="shared" si="1"/>
        <v>46177</v>
      </c>
      <c r="E10" s="14">
        <v>0</v>
      </c>
      <c r="F10" s="13" t="s">
        <v>18</v>
      </c>
      <c r="G10" s="15">
        <v>1006</v>
      </c>
      <c r="H10" s="16">
        <v>0</v>
      </c>
      <c r="I10" s="3" t="s">
        <v>15</v>
      </c>
      <c r="J10" s="5">
        <f t="shared" si="0"/>
        <v>46178</v>
      </c>
      <c r="K10" s="13" t="s">
        <v>261</v>
      </c>
    </row>
    <row r="11" spans="1:11" ht="18.75" x14ac:dyDescent="0.3">
      <c r="A11" s="3"/>
      <c r="B11" s="17" t="s">
        <v>16</v>
      </c>
      <c r="C11" s="54">
        <f>SUM(C5:C10)</f>
        <v>115365</v>
      </c>
      <c r="D11" s="3"/>
      <c r="E11" s="3"/>
      <c r="F11" s="13"/>
      <c r="G11" s="13"/>
      <c r="H11" s="11"/>
      <c r="I11" s="3"/>
      <c r="J11" s="3"/>
      <c r="K11" s="3"/>
    </row>
    <row r="12" spans="1:11" ht="24.75" x14ac:dyDescent="0.5">
      <c r="A12" s="125" t="s">
        <v>20</v>
      </c>
      <c r="B12" s="126"/>
      <c r="C12" s="126"/>
      <c r="D12" s="126"/>
      <c r="E12" s="126"/>
      <c r="F12" s="126"/>
      <c r="G12" s="126"/>
      <c r="H12" s="126"/>
      <c r="I12" s="126"/>
      <c r="J12" s="126"/>
      <c r="K12" s="127"/>
    </row>
    <row r="13" spans="1:11" ht="18.75" x14ac:dyDescent="0.3">
      <c r="A13" s="19" t="s">
        <v>3</v>
      </c>
      <c r="B13" s="19" t="s">
        <v>21</v>
      </c>
      <c r="C13" s="50" t="s">
        <v>5</v>
      </c>
      <c r="D13" s="1" t="s">
        <v>22</v>
      </c>
      <c r="E13" s="19" t="s">
        <v>7</v>
      </c>
      <c r="F13" s="19" t="s">
        <v>8</v>
      </c>
      <c r="G13" s="19" t="s">
        <v>23</v>
      </c>
      <c r="H13" s="20" t="s">
        <v>24</v>
      </c>
      <c r="I13" s="19" t="s">
        <v>11</v>
      </c>
      <c r="J13" s="19" t="s">
        <v>25</v>
      </c>
      <c r="K13" s="21" t="s">
        <v>26</v>
      </c>
    </row>
    <row r="14" spans="1:11" ht="15.75" x14ac:dyDescent="0.25">
      <c r="A14" s="8">
        <v>1</v>
      </c>
      <c r="B14" s="8" t="s">
        <v>265</v>
      </c>
      <c r="C14" s="47">
        <v>200000</v>
      </c>
      <c r="D14" s="5">
        <v>46177</v>
      </c>
      <c r="E14" s="8"/>
      <c r="F14" s="8"/>
      <c r="G14" s="22">
        <v>691</v>
      </c>
      <c r="H14" s="23"/>
      <c r="I14" s="24"/>
      <c r="J14" s="3"/>
      <c r="K14" s="13" t="s">
        <v>277</v>
      </c>
    </row>
    <row r="15" spans="1:11" ht="15.75" x14ac:dyDescent="0.25">
      <c r="A15" s="8">
        <v>2</v>
      </c>
      <c r="B15" s="8" t="s">
        <v>266</v>
      </c>
      <c r="C15" s="47">
        <v>15000</v>
      </c>
      <c r="D15" s="5">
        <v>46177</v>
      </c>
      <c r="E15" s="8"/>
      <c r="F15" s="8"/>
      <c r="G15" s="22">
        <v>8171</v>
      </c>
      <c r="H15" s="23"/>
      <c r="I15" s="24"/>
      <c r="J15" s="3"/>
      <c r="K15" s="13" t="s">
        <v>288</v>
      </c>
    </row>
    <row r="16" spans="1:11" ht="15.75" x14ac:dyDescent="0.25">
      <c r="A16" s="8">
        <v>3</v>
      </c>
      <c r="B16" s="8" t="s">
        <v>41</v>
      </c>
      <c r="C16" s="47">
        <v>25006</v>
      </c>
      <c r="D16" s="5">
        <v>46177</v>
      </c>
      <c r="E16" s="8"/>
      <c r="F16" s="8"/>
      <c r="G16" s="22">
        <v>210</v>
      </c>
      <c r="H16" s="23"/>
      <c r="I16" s="24"/>
      <c r="J16" s="3"/>
      <c r="K16" s="13" t="s">
        <v>202</v>
      </c>
    </row>
    <row r="17" spans="1:11" ht="15.75" x14ac:dyDescent="0.25">
      <c r="A17" s="8">
        <v>4</v>
      </c>
      <c r="B17" s="8" t="s">
        <v>263</v>
      </c>
      <c r="C17" s="47">
        <v>2000</v>
      </c>
      <c r="D17" s="5">
        <v>46177</v>
      </c>
      <c r="E17" s="8"/>
      <c r="F17" s="8"/>
      <c r="G17" s="22">
        <v>841</v>
      </c>
      <c r="H17" s="23"/>
      <c r="I17" s="24"/>
      <c r="J17" s="3"/>
      <c r="K17" s="13" t="s">
        <v>289</v>
      </c>
    </row>
    <row r="18" spans="1:11" ht="15.75" x14ac:dyDescent="0.25">
      <c r="A18" s="8">
        <v>5</v>
      </c>
      <c r="B18" s="8"/>
      <c r="C18" s="47">
        <v>0</v>
      </c>
      <c r="D18" s="5"/>
      <c r="E18" s="8"/>
      <c r="F18" s="8"/>
      <c r="G18" s="22"/>
      <c r="H18" s="23"/>
      <c r="I18" s="24"/>
      <c r="J18" s="3"/>
      <c r="K18" s="13"/>
    </row>
    <row r="19" spans="1:11" ht="15.75" x14ac:dyDescent="0.25">
      <c r="A19" s="8">
        <v>6</v>
      </c>
      <c r="B19" s="8"/>
      <c r="C19" s="47">
        <v>0</v>
      </c>
      <c r="D19" s="5"/>
      <c r="E19" s="8"/>
      <c r="F19" s="8"/>
      <c r="G19" s="22"/>
      <c r="H19" s="23"/>
      <c r="I19" s="24"/>
      <c r="J19" s="3"/>
      <c r="K19" s="13"/>
    </row>
    <row r="20" spans="1:11" ht="18.75" x14ac:dyDescent="0.25">
      <c r="A20" s="8"/>
      <c r="B20" s="25" t="s">
        <v>27</v>
      </c>
      <c r="C20" s="51">
        <f>SUM(C14:C19)</f>
        <v>242006</v>
      </c>
      <c r="D20" s="3"/>
      <c r="E20" s="8"/>
      <c r="F20" s="8"/>
      <c r="G20" s="8"/>
      <c r="H20" s="27">
        <v>0</v>
      </c>
      <c r="I20" s="24"/>
      <c r="J20" s="3"/>
      <c r="K20" s="28"/>
    </row>
    <row r="21" spans="1:11" x14ac:dyDescent="0.25">
      <c r="C21" s="29"/>
      <c r="H21" s="29"/>
    </row>
    <row r="22" spans="1:11" ht="16.5" x14ac:dyDescent="0.3">
      <c r="B22" s="30" t="s">
        <v>28</v>
      </c>
      <c r="C22" s="31">
        <f>SUM(C7)</f>
        <v>1830</v>
      </c>
      <c r="E22" s="32"/>
      <c r="F22" s="32"/>
      <c r="G22" s="116"/>
      <c r="H22" s="116"/>
    </row>
    <row r="23" spans="1:11" ht="16.5" x14ac:dyDescent="0.3">
      <c r="B23" s="33" t="s">
        <v>29</v>
      </c>
      <c r="C23" s="34">
        <f>SUM(C5,C6)</f>
        <v>1515</v>
      </c>
      <c r="E23" s="35"/>
      <c r="F23" s="35"/>
      <c r="G23" s="36" t="s">
        <v>30</v>
      </c>
      <c r="H23" s="37"/>
    </row>
    <row r="24" spans="1:11" ht="24" x14ac:dyDescent="0.4">
      <c r="B24" s="38" t="s">
        <v>31</v>
      </c>
      <c r="C24" s="39">
        <f>SUM(C9,C10,C8)</f>
        <v>112020</v>
      </c>
      <c r="E24" s="40" t="s">
        <v>32</v>
      </c>
      <c r="F24" s="41"/>
      <c r="G24" s="42"/>
      <c r="H24" s="43"/>
      <c r="I24" s="42"/>
      <c r="J24" s="44"/>
    </row>
    <row r="25" spans="1:11" ht="18.75" x14ac:dyDescent="0.3">
      <c r="B25" s="45" t="s">
        <v>16</v>
      </c>
      <c r="C25" s="46">
        <f>SUM(C22:C24)</f>
        <v>115365</v>
      </c>
      <c r="G25" s="36"/>
      <c r="H25" s="37"/>
      <c r="I25" s="36"/>
      <c r="J25" s="36"/>
    </row>
  </sheetData>
  <mergeCells count="5">
    <mergeCell ref="G22:H22"/>
    <mergeCell ref="A1:K1"/>
    <mergeCell ref="A2:K2"/>
    <mergeCell ref="A3:K3"/>
    <mergeCell ref="A12:K12"/>
  </mergeCells>
  <pageMargins left="0.59055118110236215" right="0.15748031496062992" top="0.47244094488188976" bottom="0.23622047244094488" header="0.31496062992125984" footer="0.31496062992125984"/>
  <pageSetup scale="77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5A2D6-9902-4633-BC7C-4038A5DB797D}">
  <sheetPr>
    <pageSetUpPr fitToPage="1"/>
  </sheetPr>
  <dimension ref="A1:K23"/>
  <sheetViews>
    <sheetView topLeftCell="A3" workbookViewId="0">
      <selection sqref="A1:K23"/>
    </sheetView>
  </sheetViews>
  <sheetFormatPr defaultRowHeight="15" x14ac:dyDescent="0.25"/>
  <cols>
    <col min="1" max="1" width="4.42578125" bestFit="1" customWidth="1"/>
    <col min="2" max="2" width="23.85546875" customWidth="1"/>
    <col min="3" max="3" width="12.570312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13.42578125" bestFit="1" customWidth="1"/>
  </cols>
  <sheetData>
    <row r="1" spans="1:11" ht="48.75" x14ac:dyDescent="0.25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322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206</v>
      </c>
      <c r="C5" s="4">
        <v>1600</v>
      </c>
      <c r="D5" s="5">
        <v>46178</v>
      </c>
      <c r="E5" s="14">
        <v>0</v>
      </c>
      <c r="F5" s="13" t="s">
        <v>18</v>
      </c>
      <c r="G5" s="15">
        <v>9233</v>
      </c>
      <c r="H5" s="16">
        <v>0</v>
      </c>
      <c r="I5" s="3" t="s">
        <v>19</v>
      </c>
      <c r="J5" s="5">
        <f t="shared" ref="J5:J12" si="0">+D5+1</f>
        <v>46179</v>
      </c>
      <c r="K5" s="13" t="s">
        <v>65</v>
      </c>
    </row>
    <row r="6" spans="1:11" ht="15.75" x14ac:dyDescent="0.25">
      <c r="A6" s="3">
        <v>2</v>
      </c>
      <c r="B6" s="3" t="s">
        <v>207</v>
      </c>
      <c r="C6" s="4">
        <v>7740</v>
      </c>
      <c r="D6" s="5">
        <f t="shared" ref="D6:D12" si="1">+D5</f>
        <v>46178</v>
      </c>
      <c r="E6" s="14">
        <v>0</v>
      </c>
      <c r="F6" s="13" t="s">
        <v>18</v>
      </c>
      <c r="G6" s="15">
        <v>9034</v>
      </c>
      <c r="H6" s="16">
        <v>0</v>
      </c>
      <c r="I6" s="3" t="s">
        <v>15</v>
      </c>
      <c r="J6" s="5">
        <f t="shared" si="0"/>
        <v>46179</v>
      </c>
      <c r="K6" s="13" t="s">
        <v>65</v>
      </c>
    </row>
    <row r="7" spans="1:11" ht="15.75" x14ac:dyDescent="0.25">
      <c r="A7" s="3">
        <v>3</v>
      </c>
      <c r="B7" s="3" t="s">
        <v>213</v>
      </c>
      <c r="C7" s="4">
        <v>1800</v>
      </c>
      <c r="D7" s="5">
        <f t="shared" si="1"/>
        <v>46178</v>
      </c>
      <c r="E7" s="14">
        <v>0</v>
      </c>
      <c r="F7" s="13" t="s">
        <v>18</v>
      </c>
      <c r="G7" s="15">
        <v>5359</v>
      </c>
      <c r="H7" s="16">
        <v>0</v>
      </c>
      <c r="I7" s="3" t="s">
        <v>15</v>
      </c>
      <c r="J7" s="5">
        <f t="shared" si="0"/>
        <v>46179</v>
      </c>
      <c r="K7" s="13" t="s">
        <v>90</v>
      </c>
    </row>
    <row r="8" spans="1:11" ht="15.75" x14ac:dyDescent="0.25">
      <c r="A8" s="3">
        <v>4</v>
      </c>
      <c r="B8" s="3" t="s">
        <v>214</v>
      </c>
      <c r="C8" s="4">
        <v>20057</v>
      </c>
      <c r="D8" s="5">
        <f t="shared" si="1"/>
        <v>46178</v>
      </c>
      <c r="E8" s="14">
        <v>0</v>
      </c>
      <c r="F8" s="13" t="s">
        <v>18</v>
      </c>
      <c r="G8" s="15">
        <v>8790</v>
      </c>
      <c r="H8" s="16">
        <v>0</v>
      </c>
      <c r="I8" s="3" t="s">
        <v>15</v>
      </c>
      <c r="J8" s="5">
        <f t="shared" si="0"/>
        <v>46179</v>
      </c>
      <c r="K8" s="13" t="s">
        <v>102</v>
      </c>
    </row>
    <row r="9" spans="1:11" ht="15.75" x14ac:dyDescent="0.25">
      <c r="A9" s="3">
        <v>3</v>
      </c>
      <c r="B9" s="3" t="s">
        <v>208</v>
      </c>
      <c r="C9" s="4">
        <v>900</v>
      </c>
      <c r="D9" s="5">
        <v>46178</v>
      </c>
      <c r="E9" s="14">
        <v>0</v>
      </c>
      <c r="F9" s="13" t="s">
        <v>18</v>
      </c>
      <c r="G9" s="15">
        <v>1579</v>
      </c>
      <c r="H9" s="16">
        <v>0</v>
      </c>
      <c r="I9" s="3" t="s">
        <v>15</v>
      </c>
      <c r="J9" s="5">
        <f t="shared" si="0"/>
        <v>46179</v>
      </c>
      <c r="K9" s="13" t="s">
        <v>65</v>
      </c>
    </row>
    <row r="10" spans="1:11" ht="15.75" x14ac:dyDescent="0.25">
      <c r="A10" s="3">
        <v>4</v>
      </c>
      <c r="B10" s="3" t="s">
        <v>209</v>
      </c>
      <c r="C10" s="4">
        <v>400</v>
      </c>
      <c r="D10" s="5">
        <f t="shared" si="1"/>
        <v>46178</v>
      </c>
      <c r="E10" s="14">
        <v>0</v>
      </c>
      <c r="F10" s="13" t="s">
        <v>18</v>
      </c>
      <c r="G10" s="15">
        <v>1499</v>
      </c>
      <c r="H10" s="16">
        <v>0</v>
      </c>
      <c r="I10" s="3" t="s">
        <v>15</v>
      </c>
      <c r="J10" s="5">
        <f t="shared" si="0"/>
        <v>46179</v>
      </c>
      <c r="K10" s="13" t="s">
        <v>212</v>
      </c>
    </row>
    <row r="11" spans="1:11" ht="15.75" x14ac:dyDescent="0.25">
      <c r="A11" s="3">
        <v>5</v>
      </c>
      <c r="B11" s="3" t="s">
        <v>210</v>
      </c>
      <c r="C11" s="4">
        <v>11000</v>
      </c>
      <c r="D11" s="5">
        <f t="shared" si="1"/>
        <v>46178</v>
      </c>
      <c r="E11" s="14">
        <v>0</v>
      </c>
      <c r="F11" s="13" t="s">
        <v>18</v>
      </c>
      <c r="G11" s="55">
        <v>342</v>
      </c>
      <c r="H11" s="16">
        <v>0</v>
      </c>
      <c r="I11" s="3" t="s">
        <v>15</v>
      </c>
      <c r="J11" s="5">
        <f t="shared" si="0"/>
        <v>46179</v>
      </c>
      <c r="K11" s="13" t="s">
        <v>65</v>
      </c>
    </row>
    <row r="12" spans="1:11" ht="15.75" x14ac:dyDescent="0.25">
      <c r="A12" s="3">
        <v>6</v>
      </c>
      <c r="B12" s="3" t="s">
        <v>211</v>
      </c>
      <c r="C12" s="4">
        <v>345</v>
      </c>
      <c r="D12" s="5">
        <f t="shared" si="1"/>
        <v>46178</v>
      </c>
      <c r="E12" s="14">
        <v>0</v>
      </c>
      <c r="F12" s="13" t="s">
        <v>18</v>
      </c>
      <c r="G12" s="15">
        <v>9144</v>
      </c>
      <c r="H12" s="16">
        <v>0</v>
      </c>
      <c r="I12" s="3" t="s">
        <v>15</v>
      </c>
      <c r="J12" s="5">
        <f t="shared" si="0"/>
        <v>46179</v>
      </c>
      <c r="K12" s="13" t="s">
        <v>65</v>
      </c>
    </row>
    <row r="13" spans="1:11" ht="18.75" x14ac:dyDescent="0.3">
      <c r="A13" s="3"/>
      <c r="B13" s="17" t="s">
        <v>16</v>
      </c>
      <c r="C13" s="54">
        <f>SUM(C5:C12)</f>
        <v>43842</v>
      </c>
      <c r="D13" s="3"/>
      <c r="E13" s="3"/>
      <c r="F13" s="13"/>
      <c r="G13" s="13"/>
      <c r="H13" s="11"/>
      <c r="I13" s="3"/>
      <c r="J13" s="3"/>
      <c r="K13" s="3"/>
    </row>
    <row r="14" spans="1:11" ht="24.75" x14ac:dyDescent="0.5">
      <c r="A14" s="125" t="s">
        <v>20</v>
      </c>
      <c r="B14" s="126"/>
      <c r="C14" s="126"/>
      <c r="D14" s="126"/>
      <c r="E14" s="126"/>
      <c r="F14" s="126"/>
      <c r="G14" s="126"/>
      <c r="H14" s="126"/>
      <c r="I14" s="126"/>
      <c r="J14" s="126"/>
      <c r="K14" s="127"/>
    </row>
    <row r="15" spans="1:11" ht="18.75" x14ac:dyDescent="0.3">
      <c r="A15" s="19" t="s">
        <v>3</v>
      </c>
      <c r="B15" s="19" t="s">
        <v>21</v>
      </c>
      <c r="C15" s="50" t="s">
        <v>5</v>
      </c>
      <c r="D15" s="1" t="s">
        <v>22</v>
      </c>
      <c r="E15" s="19" t="s">
        <v>7</v>
      </c>
      <c r="F15" s="19" t="s">
        <v>8</v>
      </c>
      <c r="G15" s="19" t="s">
        <v>23</v>
      </c>
      <c r="H15" s="20" t="s">
        <v>24</v>
      </c>
      <c r="I15" s="19" t="s">
        <v>11</v>
      </c>
      <c r="J15" s="19" t="s">
        <v>25</v>
      </c>
      <c r="K15" s="21" t="s">
        <v>26</v>
      </c>
    </row>
    <row r="16" spans="1:11" ht="15.75" x14ac:dyDescent="0.25">
      <c r="A16" s="8">
        <v>1</v>
      </c>
      <c r="B16" s="8" t="s">
        <v>64</v>
      </c>
      <c r="C16" s="47">
        <v>25006</v>
      </c>
      <c r="D16" s="5">
        <v>46178</v>
      </c>
      <c r="E16" s="8"/>
      <c r="F16" s="8"/>
      <c r="G16" s="22">
        <v>92</v>
      </c>
      <c r="H16" s="23"/>
      <c r="I16" s="24"/>
      <c r="J16" s="3"/>
      <c r="K16" s="13" t="s">
        <v>267</v>
      </c>
    </row>
    <row r="17" spans="1:11" ht="15.75" x14ac:dyDescent="0.25">
      <c r="A17" s="8">
        <v>2</v>
      </c>
      <c r="B17" s="8"/>
      <c r="C17" s="47">
        <v>0</v>
      </c>
      <c r="D17" s="5"/>
      <c r="E17" s="8"/>
      <c r="F17" s="8"/>
      <c r="G17" s="22"/>
      <c r="H17" s="23"/>
      <c r="I17" s="24"/>
      <c r="J17" s="3"/>
      <c r="K17" s="13"/>
    </row>
    <row r="18" spans="1:11" ht="18.75" x14ac:dyDescent="0.25">
      <c r="A18" s="8"/>
      <c r="B18" s="25" t="s">
        <v>27</v>
      </c>
      <c r="C18" s="51">
        <f>SUM(C16:C17)</f>
        <v>25006</v>
      </c>
      <c r="D18" s="3"/>
      <c r="E18" s="8"/>
      <c r="F18" s="8"/>
      <c r="G18" s="8"/>
      <c r="H18" s="27">
        <v>0</v>
      </c>
      <c r="I18" s="24"/>
      <c r="J18" s="3"/>
      <c r="K18" s="28"/>
    </row>
    <row r="19" spans="1:11" x14ac:dyDescent="0.25">
      <c r="C19" s="29"/>
      <c r="H19" s="29"/>
    </row>
    <row r="20" spans="1:11" ht="16.5" x14ac:dyDescent="0.3">
      <c r="B20" s="30" t="s">
        <v>28</v>
      </c>
      <c r="C20" s="31">
        <f>SUM(C8)</f>
        <v>20057</v>
      </c>
      <c r="E20" s="32"/>
      <c r="F20" s="32"/>
      <c r="G20" s="116"/>
      <c r="H20" s="116"/>
    </row>
    <row r="21" spans="1:11" ht="16.5" x14ac:dyDescent="0.3">
      <c r="B21" s="33" t="s">
        <v>29</v>
      </c>
      <c r="C21" s="34">
        <f>SUM(C12,C11,C9,C6,C5)</f>
        <v>21585</v>
      </c>
      <c r="E21" s="35"/>
      <c r="F21" s="35"/>
      <c r="G21" s="36" t="s">
        <v>30</v>
      </c>
      <c r="H21" s="37"/>
    </row>
    <row r="22" spans="1:11" ht="24" x14ac:dyDescent="0.4">
      <c r="B22" s="38" t="s">
        <v>31</v>
      </c>
      <c r="C22" s="39">
        <f>SUM(C10,C7)</f>
        <v>2200</v>
      </c>
      <c r="E22" s="40" t="s">
        <v>32</v>
      </c>
      <c r="F22" s="41"/>
      <c r="G22" s="42"/>
      <c r="H22" s="43"/>
      <c r="I22" s="42"/>
      <c r="J22" s="44"/>
    </row>
    <row r="23" spans="1:11" ht="18.75" x14ac:dyDescent="0.3">
      <c r="B23" s="45" t="s">
        <v>16</v>
      </c>
      <c r="C23" s="46">
        <f>SUM(C20:C22)</f>
        <v>43842</v>
      </c>
      <c r="G23" s="36"/>
      <c r="H23" s="37"/>
      <c r="I23" s="36"/>
      <c r="J23" s="36"/>
    </row>
  </sheetData>
  <mergeCells count="5">
    <mergeCell ref="G20:H20"/>
    <mergeCell ref="A1:K1"/>
    <mergeCell ref="A2:K2"/>
    <mergeCell ref="A3:K3"/>
    <mergeCell ref="A14:K14"/>
  </mergeCells>
  <pageMargins left="0.59055118110236215" right="0.15748031496062992" top="0.47244094488188976" bottom="0.23622047244094488" header="0.31496062992125984" footer="0.31496062992125984"/>
  <pageSetup scale="95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E9972-55F3-4468-8C63-6A42DB3FF2FE}">
  <sheetPr>
    <pageSetUpPr fitToPage="1"/>
  </sheetPr>
  <dimension ref="A1:K25"/>
  <sheetViews>
    <sheetView topLeftCell="A8" workbookViewId="0">
      <selection sqref="A1:K25"/>
    </sheetView>
  </sheetViews>
  <sheetFormatPr defaultRowHeight="15" x14ac:dyDescent="0.25"/>
  <cols>
    <col min="1" max="1" width="4.42578125" bestFit="1" customWidth="1"/>
    <col min="2" max="2" width="16.7109375" bestFit="1" customWidth="1"/>
    <col min="3" max="3" width="12.5703125" bestFit="1" customWidth="1"/>
    <col min="4" max="4" width="13.85546875" bestFit="1" customWidth="1"/>
    <col min="5" max="5" width="11.4257812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32.5703125" customWidth="1"/>
  </cols>
  <sheetData>
    <row r="1" spans="1:11" ht="48.75" x14ac:dyDescent="0.25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323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215</v>
      </c>
      <c r="C5" s="4">
        <v>2860</v>
      </c>
      <c r="D5" s="5">
        <v>46179</v>
      </c>
      <c r="E5" s="14">
        <v>0</v>
      </c>
      <c r="F5" s="13" t="s">
        <v>18</v>
      </c>
      <c r="G5" s="15">
        <v>1222</v>
      </c>
      <c r="H5" s="16">
        <v>0</v>
      </c>
      <c r="I5" s="3" t="s">
        <v>19</v>
      </c>
      <c r="J5" s="5">
        <f t="shared" ref="J5:J11" si="0">+D5+1</f>
        <v>46180</v>
      </c>
      <c r="K5" s="13" t="s">
        <v>65</v>
      </c>
    </row>
    <row r="6" spans="1:11" ht="15.75" x14ac:dyDescent="0.25">
      <c r="A6" s="3">
        <v>2</v>
      </c>
      <c r="B6" s="3" t="s">
        <v>216</v>
      </c>
      <c r="C6" s="4">
        <v>1500</v>
      </c>
      <c r="D6" s="5">
        <f t="shared" ref="D6:D11" si="1">+D5</f>
        <v>46179</v>
      </c>
      <c r="E6" s="14">
        <v>0</v>
      </c>
      <c r="F6" s="13" t="s">
        <v>18</v>
      </c>
      <c r="G6" s="55">
        <v>326</v>
      </c>
      <c r="H6" s="16">
        <v>0</v>
      </c>
      <c r="I6" s="3" t="s">
        <v>15</v>
      </c>
      <c r="J6" s="5">
        <f t="shared" si="0"/>
        <v>46180</v>
      </c>
      <c r="K6" s="13" t="s">
        <v>285</v>
      </c>
    </row>
    <row r="7" spans="1:11" ht="15.75" x14ac:dyDescent="0.25">
      <c r="A7" s="3">
        <v>3</v>
      </c>
      <c r="B7" s="3" t="s">
        <v>217</v>
      </c>
      <c r="C7" s="4">
        <v>25</v>
      </c>
      <c r="D7" s="5">
        <f t="shared" si="1"/>
        <v>46179</v>
      </c>
      <c r="E7" s="14">
        <v>0</v>
      </c>
      <c r="F7" s="13" t="s">
        <v>18</v>
      </c>
      <c r="G7" s="15">
        <v>7409</v>
      </c>
      <c r="H7" s="16">
        <v>0</v>
      </c>
      <c r="I7" s="3" t="s">
        <v>15</v>
      </c>
      <c r="J7" s="5">
        <f t="shared" si="0"/>
        <v>46180</v>
      </c>
      <c r="K7" s="13" t="s">
        <v>65</v>
      </c>
    </row>
    <row r="8" spans="1:11" ht="15.75" x14ac:dyDescent="0.25">
      <c r="A8" s="3">
        <v>4</v>
      </c>
      <c r="B8" s="3" t="s">
        <v>218</v>
      </c>
      <c r="C8" s="4">
        <v>37000</v>
      </c>
      <c r="D8" s="5">
        <f t="shared" si="1"/>
        <v>46179</v>
      </c>
      <c r="E8" s="14">
        <v>0</v>
      </c>
      <c r="F8" s="13" t="s">
        <v>18</v>
      </c>
      <c r="G8" s="15">
        <v>5176</v>
      </c>
      <c r="H8" s="16">
        <v>0</v>
      </c>
      <c r="I8" s="3" t="s">
        <v>15</v>
      </c>
      <c r="J8" s="5">
        <f t="shared" si="0"/>
        <v>46180</v>
      </c>
      <c r="K8" s="13" t="s">
        <v>102</v>
      </c>
    </row>
    <row r="9" spans="1:11" ht="15.75" x14ac:dyDescent="0.25">
      <c r="A9" s="3">
        <v>5</v>
      </c>
      <c r="B9" s="3" t="s">
        <v>219</v>
      </c>
      <c r="C9" s="4">
        <v>2100</v>
      </c>
      <c r="D9" s="5">
        <f t="shared" si="1"/>
        <v>46179</v>
      </c>
      <c r="E9" s="14">
        <v>0</v>
      </c>
      <c r="F9" s="13" t="s">
        <v>18</v>
      </c>
      <c r="G9" s="15">
        <v>4470</v>
      </c>
      <c r="H9" s="16">
        <v>0</v>
      </c>
      <c r="I9" s="3" t="s">
        <v>15</v>
      </c>
      <c r="J9" s="5">
        <f t="shared" si="0"/>
        <v>46180</v>
      </c>
      <c r="K9" s="56" t="s">
        <v>65</v>
      </c>
    </row>
    <row r="10" spans="1:11" ht="15.75" x14ac:dyDescent="0.25">
      <c r="A10" s="3">
        <v>6</v>
      </c>
      <c r="B10" s="3" t="s">
        <v>220</v>
      </c>
      <c r="C10" s="4">
        <v>2000</v>
      </c>
      <c r="D10" s="5">
        <f t="shared" si="1"/>
        <v>46179</v>
      </c>
      <c r="E10" s="14">
        <v>0</v>
      </c>
      <c r="F10" s="13" t="s">
        <v>18</v>
      </c>
      <c r="G10" s="15">
        <v>2261</v>
      </c>
      <c r="H10" s="16">
        <v>0</v>
      </c>
      <c r="I10" s="3" t="s">
        <v>15</v>
      </c>
      <c r="J10" s="5">
        <f t="shared" si="0"/>
        <v>46180</v>
      </c>
      <c r="K10" s="13" t="s">
        <v>90</v>
      </c>
    </row>
    <row r="11" spans="1:11" ht="15.75" x14ac:dyDescent="0.25">
      <c r="A11" s="3">
        <v>7</v>
      </c>
      <c r="B11" s="3" t="s">
        <v>221</v>
      </c>
      <c r="C11" s="4">
        <v>4900</v>
      </c>
      <c r="D11" s="5">
        <f t="shared" si="1"/>
        <v>46179</v>
      </c>
      <c r="E11" s="14">
        <v>0</v>
      </c>
      <c r="F11" s="13" t="s">
        <v>18</v>
      </c>
      <c r="G11" s="15">
        <v>6622</v>
      </c>
      <c r="H11" s="16">
        <v>0</v>
      </c>
      <c r="I11" s="3" t="s">
        <v>15</v>
      </c>
      <c r="J11" s="5">
        <f t="shared" si="0"/>
        <v>46180</v>
      </c>
      <c r="K11" s="13" t="s">
        <v>65</v>
      </c>
    </row>
    <row r="12" spans="1:11" ht="18.75" x14ac:dyDescent="0.3">
      <c r="A12" s="3"/>
      <c r="B12" s="17" t="s">
        <v>16</v>
      </c>
      <c r="C12" s="54">
        <f>SUM(C5:C11)</f>
        <v>50385</v>
      </c>
      <c r="D12" s="3"/>
      <c r="E12" s="3"/>
      <c r="F12" s="13"/>
      <c r="G12" s="13"/>
      <c r="H12" s="11"/>
      <c r="I12" s="3"/>
      <c r="J12" s="3"/>
      <c r="K12" s="3"/>
    </row>
    <row r="13" spans="1:11" ht="24.75" x14ac:dyDescent="0.5">
      <c r="A13" s="125" t="s">
        <v>20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7"/>
    </row>
    <row r="14" spans="1:11" ht="18.75" x14ac:dyDescent="0.3">
      <c r="A14" s="19" t="s">
        <v>3</v>
      </c>
      <c r="B14" s="19" t="s">
        <v>21</v>
      </c>
      <c r="C14" s="50" t="s">
        <v>5</v>
      </c>
      <c r="D14" s="1" t="s">
        <v>22</v>
      </c>
      <c r="E14" s="19" t="s">
        <v>7</v>
      </c>
      <c r="F14" s="19" t="s">
        <v>8</v>
      </c>
      <c r="G14" s="19" t="s">
        <v>23</v>
      </c>
      <c r="H14" s="20" t="s">
        <v>24</v>
      </c>
      <c r="I14" s="19" t="s">
        <v>11</v>
      </c>
      <c r="J14" s="19" t="s">
        <v>25</v>
      </c>
      <c r="K14" s="21" t="s">
        <v>26</v>
      </c>
    </row>
    <row r="15" spans="1:11" ht="15.75" x14ac:dyDescent="0.25">
      <c r="A15" s="8">
        <v>1</v>
      </c>
      <c r="B15" s="8" t="s">
        <v>185</v>
      </c>
      <c r="C15" s="47">
        <v>2000</v>
      </c>
      <c r="D15" s="5">
        <v>46179</v>
      </c>
      <c r="E15" s="8"/>
      <c r="F15" s="8"/>
      <c r="G15" s="22">
        <v>1477</v>
      </c>
      <c r="H15" s="23"/>
      <c r="I15" s="24"/>
      <c r="J15" s="3"/>
      <c r="K15" s="13" t="s">
        <v>286</v>
      </c>
    </row>
    <row r="16" spans="1:11" ht="15.75" x14ac:dyDescent="0.25">
      <c r="A16" s="8">
        <v>2</v>
      </c>
      <c r="B16" s="8" t="s">
        <v>268</v>
      </c>
      <c r="C16" s="47">
        <v>2900</v>
      </c>
      <c r="D16" s="5">
        <v>46179</v>
      </c>
      <c r="E16" s="8"/>
      <c r="F16" s="8"/>
      <c r="G16" s="22">
        <v>9281</v>
      </c>
      <c r="H16" s="23"/>
      <c r="I16" s="24"/>
      <c r="J16" s="3"/>
      <c r="K16" s="13" t="s">
        <v>276</v>
      </c>
    </row>
    <row r="17" spans="1:11" ht="15.75" x14ac:dyDescent="0.25">
      <c r="A17" s="8">
        <v>3</v>
      </c>
      <c r="B17" s="8" t="s">
        <v>41</v>
      </c>
      <c r="C17" s="47">
        <v>21816</v>
      </c>
      <c r="D17" s="5">
        <v>46179</v>
      </c>
      <c r="E17" s="8"/>
      <c r="F17" s="8"/>
      <c r="G17" s="22">
        <v>134</v>
      </c>
      <c r="H17" s="23"/>
      <c r="I17" s="24"/>
      <c r="J17" s="3"/>
      <c r="K17" s="13" t="s">
        <v>65</v>
      </c>
    </row>
    <row r="18" spans="1:11" ht="15.75" x14ac:dyDescent="0.25">
      <c r="A18" s="8">
        <v>4</v>
      </c>
      <c r="B18" s="8" t="s">
        <v>239</v>
      </c>
      <c r="C18" s="47">
        <v>413</v>
      </c>
      <c r="D18" s="5">
        <v>46179</v>
      </c>
      <c r="E18" s="8"/>
      <c r="F18" s="8"/>
      <c r="G18" s="22">
        <v>7617</v>
      </c>
      <c r="H18" s="23"/>
      <c r="I18" s="24"/>
      <c r="J18" s="3"/>
      <c r="K18" s="13" t="s">
        <v>287</v>
      </c>
    </row>
    <row r="19" spans="1:11" ht="15.75" x14ac:dyDescent="0.25">
      <c r="A19" s="8">
        <v>5</v>
      </c>
      <c r="B19" s="8"/>
      <c r="C19" s="47">
        <v>0</v>
      </c>
      <c r="D19" s="5"/>
      <c r="E19" s="8"/>
      <c r="F19" s="8"/>
      <c r="G19" s="22"/>
      <c r="H19" s="23"/>
      <c r="I19" s="24"/>
      <c r="J19" s="3"/>
      <c r="K19" s="13"/>
    </row>
    <row r="20" spans="1:11" ht="18.75" x14ac:dyDescent="0.25">
      <c r="A20" s="8"/>
      <c r="B20" s="25" t="s">
        <v>27</v>
      </c>
      <c r="C20" s="51">
        <f>SUM(C15:C19)</f>
        <v>27129</v>
      </c>
      <c r="D20" s="3"/>
      <c r="E20" s="8"/>
      <c r="F20" s="8"/>
      <c r="G20" s="8"/>
      <c r="H20" s="27">
        <v>0</v>
      </c>
      <c r="I20" s="24"/>
      <c r="J20" s="3"/>
      <c r="K20" s="28"/>
    </row>
    <row r="21" spans="1:11" x14ac:dyDescent="0.25">
      <c r="C21" s="29"/>
      <c r="H21" s="29"/>
    </row>
    <row r="22" spans="1:11" ht="16.5" x14ac:dyDescent="0.3">
      <c r="B22" s="30" t="s">
        <v>28</v>
      </c>
      <c r="C22" s="31">
        <f>SUM(C8)</f>
        <v>37000</v>
      </c>
      <c r="E22" s="32"/>
      <c r="F22" s="32"/>
      <c r="G22" s="116"/>
      <c r="H22" s="116"/>
    </row>
    <row r="23" spans="1:11" ht="16.5" x14ac:dyDescent="0.3">
      <c r="B23" s="33" t="s">
        <v>29</v>
      </c>
      <c r="C23" s="34">
        <f>SUM(C5,C7,C9,C11)</f>
        <v>9885</v>
      </c>
      <c r="E23" s="35"/>
      <c r="F23" s="35"/>
      <c r="G23" s="36" t="s">
        <v>30</v>
      </c>
      <c r="H23" s="37"/>
    </row>
    <row r="24" spans="1:11" ht="24" x14ac:dyDescent="0.4">
      <c r="B24" s="38" t="s">
        <v>31</v>
      </c>
      <c r="C24" s="39">
        <f>SUM(C10,C6)</f>
        <v>3500</v>
      </c>
      <c r="E24" s="40" t="s">
        <v>32</v>
      </c>
      <c r="F24" s="41"/>
      <c r="G24" s="42"/>
      <c r="H24" s="43"/>
      <c r="I24" s="42"/>
      <c r="J24" s="44"/>
    </row>
    <row r="25" spans="1:11" ht="18.75" x14ac:dyDescent="0.3">
      <c r="B25" s="45" t="s">
        <v>16</v>
      </c>
      <c r="C25" s="46">
        <f>SUM(C22:C24)</f>
        <v>50385</v>
      </c>
      <c r="G25" s="36"/>
      <c r="H25" s="37"/>
      <c r="I25" s="36"/>
      <c r="J25" s="36"/>
    </row>
  </sheetData>
  <mergeCells count="5">
    <mergeCell ref="G22:H22"/>
    <mergeCell ref="A1:K1"/>
    <mergeCell ref="A2:K2"/>
    <mergeCell ref="A3:K3"/>
    <mergeCell ref="A13:K13"/>
  </mergeCells>
  <pageMargins left="0.59055118110236215" right="0.15748031496062992" top="0.47244094488188976" bottom="0.23622047244094488" header="0.31496062992125984" footer="0.31496062992125984"/>
  <pageSetup scale="88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4D1D1-AE79-48D0-9A95-07DA1052BAFB}">
  <sheetPr>
    <pageSetUpPr fitToPage="1"/>
  </sheetPr>
  <dimension ref="A1:K25"/>
  <sheetViews>
    <sheetView topLeftCell="A4" workbookViewId="0">
      <selection sqref="A1:K25"/>
    </sheetView>
  </sheetViews>
  <sheetFormatPr defaultRowHeight="15" x14ac:dyDescent="0.25"/>
  <cols>
    <col min="1" max="1" width="4.42578125" bestFit="1" customWidth="1"/>
    <col min="2" max="2" width="16.7109375" bestFit="1" customWidth="1"/>
    <col min="3" max="3" width="14.4257812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19.5703125" customWidth="1"/>
  </cols>
  <sheetData>
    <row r="1" spans="1:11" ht="48.75" x14ac:dyDescent="0.25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226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222</v>
      </c>
      <c r="C5" s="4">
        <v>2000</v>
      </c>
      <c r="D5" s="5">
        <v>46180</v>
      </c>
      <c r="E5" s="14">
        <v>0</v>
      </c>
      <c r="F5" s="13" t="s">
        <v>18</v>
      </c>
      <c r="G5" s="15">
        <v>721</v>
      </c>
      <c r="H5" s="16">
        <v>0</v>
      </c>
      <c r="I5" s="3" t="s">
        <v>19</v>
      </c>
      <c r="J5" s="5">
        <f t="shared" ref="J5:J11" si="0">+D5+1</f>
        <v>46181</v>
      </c>
      <c r="K5" s="13" t="s">
        <v>282</v>
      </c>
    </row>
    <row r="6" spans="1:11" ht="15.75" x14ac:dyDescent="0.25">
      <c r="A6" s="3">
        <v>2</v>
      </c>
      <c r="B6" s="3" t="s">
        <v>223</v>
      </c>
      <c r="C6" s="4">
        <v>3450</v>
      </c>
      <c r="D6" s="5">
        <f t="shared" ref="D6:D11" si="1">+D5</f>
        <v>46180</v>
      </c>
      <c r="E6" s="14">
        <v>0</v>
      </c>
      <c r="F6" s="13" t="s">
        <v>18</v>
      </c>
      <c r="G6" s="15">
        <v>5182</v>
      </c>
      <c r="H6" s="16">
        <v>0</v>
      </c>
      <c r="I6" s="3" t="s">
        <v>15</v>
      </c>
      <c r="J6" s="5">
        <f t="shared" si="0"/>
        <v>46181</v>
      </c>
      <c r="K6" s="13" t="s">
        <v>227</v>
      </c>
    </row>
    <row r="7" spans="1:11" ht="15.75" x14ac:dyDescent="0.25">
      <c r="A7" s="3">
        <v>3</v>
      </c>
      <c r="B7" s="3" t="s">
        <v>224</v>
      </c>
      <c r="C7" s="4">
        <v>200</v>
      </c>
      <c r="D7" s="5">
        <f t="shared" si="1"/>
        <v>46180</v>
      </c>
      <c r="E7" s="14">
        <v>0</v>
      </c>
      <c r="F7" s="13" t="s">
        <v>18</v>
      </c>
      <c r="G7" s="15">
        <v>4103</v>
      </c>
      <c r="H7" s="16">
        <v>0</v>
      </c>
      <c r="I7" s="3" t="s">
        <v>15</v>
      </c>
      <c r="J7" s="5">
        <f t="shared" si="0"/>
        <v>46181</v>
      </c>
      <c r="K7" s="13" t="s">
        <v>65</v>
      </c>
    </row>
    <row r="8" spans="1:11" ht="15.75" x14ac:dyDescent="0.25">
      <c r="A8" s="3">
        <v>4</v>
      </c>
      <c r="B8" s="3" t="s">
        <v>215</v>
      </c>
      <c r="C8" s="4">
        <v>40</v>
      </c>
      <c r="D8" s="5">
        <f t="shared" si="1"/>
        <v>46180</v>
      </c>
      <c r="E8" s="14">
        <v>0</v>
      </c>
      <c r="F8" s="13" t="s">
        <v>18</v>
      </c>
      <c r="G8" s="15">
        <v>5290</v>
      </c>
      <c r="H8" s="16">
        <v>0</v>
      </c>
      <c r="I8" s="3" t="s">
        <v>15</v>
      </c>
      <c r="J8" s="5">
        <f t="shared" si="0"/>
        <v>46181</v>
      </c>
      <c r="K8" s="13" t="s">
        <v>65</v>
      </c>
    </row>
    <row r="9" spans="1:11" ht="15.75" x14ac:dyDescent="0.25">
      <c r="A9" s="3">
        <v>5</v>
      </c>
      <c r="B9" s="3" t="s">
        <v>207</v>
      </c>
      <c r="C9" s="4">
        <v>530</v>
      </c>
      <c r="D9" s="5">
        <f t="shared" si="1"/>
        <v>46180</v>
      </c>
      <c r="E9" s="14">
        <v>0</v>
      </c>
      <c r="F9" s="13" t="s">
        <v>18</v>
      </c>
      <c r="G9" s="15">
        <v>2231</v>
      </c>
      <c r="H9" s="16">
        <v>0</v>
      </c>
      <c r="I9" s="3" t="s">
        <v>15</v>
      </c>
      <c r="J9" s="5">
        <f t="shared" si="0"/>
        <v>46181</v>
      </c>
      <c r="K9" s="13" t="s">
        <v>65</v>
      </c>
    </row>
    <row r="10" spans="1:11" ht="15.75" x14ac:dyDescent="0.25">
      <c r="A10" s="3">
        <v>6</v>
      </c>
      <c r="B10" s="3" t="s">
        <v>225</v>
      </c>
      <c r="C10" s="4">
        <v>18725</v>
      </c>
      <c r="D10" s="5">
        <f t="shared" si="1"/>
        <v>46180</v>
      </c>
      <c r="E10" s="14">
        <v>0</v>
      </c>
      <c r="F10" s="13" t="s">
        <v>18</v>
      </c>
      <c r="G10" s="15">
        <v>4623</v>
      </c>
      <c r="H10" s="16">
        <v>0</v>
      </c>
      <c r="I10" s="3" t="s">
        <v>15</v>
      </c>
      <c r="J10" s="5">
        <f t="shared" si="0"/>
        <v>46181</v>
      </c>
      <c r="K10" s="13" t="s">
        <v>102</v>
      </c>
    </row>
    <row r="11" spans="1:11" ht="15.75" x14ac:dyDescent="0.25">
      <c r="A11" s="3">
        <v>7</v>
      </c>
      <c r="B11" s="3" t="s">
        <v>207</v>
      </c>
      <c r="C11" s="4">
        <v>530</v>
      </c>
      <c r="D11" s="5">
        <f t="shared" si="1"/>
        <v>46180</v>
      </c>
      <c r="E11" s="14">
        <v>0</v>
      </c>
      <c r="F11" s="13" t="s">
        <v>18</v>
      </c>
      <c r="G11" s="15">
        <v>9581</v>
      </c>
      <c r="H11" s="16">
        <v>0</v>
      </c>
      <c r="I11" s="3" t="s">
        <v>15</v>
      </c>
      <c r="J11" s="5">
        <f t="shared" si="0"/>
        <v>46181</v>
      </c>
      <c r="K11" s="13" t="s">
        <v>65</v>
      </c>
    </row>
    <row r="12" spans="1:11" ht="18.75" x14ac:dyDescent="0.3">
      <c r="A12" s="3"/>
      <c r="B12" s="17" t="s">
        <v>16</v>
      </c>
      <c r="C12" s="54">
        <f>SUM(C5:C11)</f>
        <v>25475</v>
      </c>
      <c r="D12" s="3"/>
      <c r="E12" s="3"/>
      <c r="F12" s="13"/>
      <c r="G12" s="13"/>
      <c r="H12" s="11"/>
      <c r="I12" s="3"/>
      <c r="J12" s="3"/>
      <c r="K12" s="3"/>
    </row>
    <row r="13" spans="1:11" ht="24.75" x14ac:dyDescent="0.5">
      <c r="A13" s="125" t="s">
        <v>20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7"/>
    </row>
    <row r="14" spans="1:11" ht="18.75" x14ac:dyDescent="0.3">
      <c r="A14" s="19" t="s">
        <v>3</v>
      </c>
      <c r="B14" s="19" t="s">
        <v>21</v>
      </c>
      <c r="C14" s="50" t="s">
        <v>5</v>
      </c>
      <c r="D14" s="1" t="s">
        <v>22</v>
      </c>
      <c r="E14" s="19" t="s">
        <v>7</v>
      </c>
      <c r="F14" s="19" t="s">
        <v>8</v>
      </c>
      <c r="G14" s="19" t="s">
        <v>23</v>
      </c>
      <c r="H14" s="20" t="s">
        <v>24</v>
      </c>
      <c r="I14" s="19" t="s">
        <v>11</v>
      </c>
      <c r="J14" s="19" t="s">
        <v>25</v>
      </c>
      <c r="K14" s="21" t="s">
        <v>26</v>
      </c>
    </row>
    <row r="15" spans="1:11" ht="15.75" x14ac:dyDescent="0.25">
      <c r="A15" s="8">
        <v>1</v>
      </c>
      <c r="B15" s="8" t="s">
        <v>269</v>
      </c>
      <c r="C15" s="47">
        <v>64843</v>
      </c>
      <c r="D15" s="5">
        <v>46180</v>
      </c>
      <c r="E15" s="8"/>
      <c r="F15" s="8"/>
      <c r="G15" s="22">
        <v>4893</v>
      </c>
      <c r="H15" s="23"/>
      <c r="I15" s="24"/>
      <c r="J15" s="3"/>
      <c r="K15" s="13" t="s">
        <v>283</v>
      </c>
    </row>
    <row r="16" spans="1:11" ht="15.75" x14ac:dyDescent="0.25">
      <c r="A16" s="8">
        <v>2</v>
      </c>
      <c r="B16" s="8" t="s">
        <v>185</v>
      </c>
      <c r="C16" s="47">
        <v>1000</v>
      </c>
      <c r="D16" s="5">
        <v>46180</v>
      </c>
      <c r="E16" s="8"/>
      <c r="F16" s="8"/>
      <c r="G16" s="22">
        <v>6331</v>
      </c>
      <c r="H16" s="23"/>
      <c r="I16" s="24"/>
      <c r="J16" s="3"/>
      <c r="K16" s="13" t="s">
        <v>284</v>
      </c>
    </row>
    <row r="17" spans="1:11" ht="15.75" x14ac:dyDescent="0.25">
      <c r="A17" s="8">
        <v>3</v>
      </c>
      <c r="B17" s="8" t="s">
        <v>41</v>
      </c>
      <c r="C17" s="47">
        <v>12951</v>
      </c>
      <c r="D17" s="5">
        <v>46180</v>
      </c>
      <c r="E17" s="8"/>
      <c r="F17" s="8"/>
      <c r="G17" s="22">
        <v>119</v>
      </c>
      <c r="H17" s="23"/>
      <c r="I17" s="24"/>
      <c r="J17" s="3"/>
      <c r="K17" s="13" t="s">
        <v>202</v>
      </c>
    </row>
    <row r="18" spans="1:11" ht="15.75" x14ac:dyDescent="0.25">
      <c r="A18" s="8">
        <v>4</v>
      </c>
      <c r="B18" s="8" t="s">
        <v>41</v>
      </c>
      <c r="C18" s="47">
        <v>27991</v>
      </c>
      <c r="D18" s="5">
        <v>46180</v>
      </c>
      <c r="E18" s="8"/>
      <c r="F18" s="8"/>
      <c r="G18" s="22">
        <v>120</v>
      </c>
      <c r="H18" s="23"/>
      <c r="I18" s="24"/>
      <c r="J18" s="3"/>
      <c r="K18" s="13" t="s">
        <v>65</v>
      </c>
    </row>
    <row r="19" spans="1:11" ht="15.75" x14ac:dyDescent="0.25">
      <c r="A19" s="8">
        <v>5</v>
      </c>
      <c r="B19" s="8"/>
      <c r="C19" s="47">
        <v>0</v>
      </c>
      <c r="D19" s="5"/>
      <c r="E19" s="8"/>
      <c r="F19" s="8"/>
      <c r="G19" s="22"/>
      <c r="H19" s="23"/>
      <c r="I19" s="24"/>
      <c r="J19" s="3"/>
      <c r="K19" s="13"/>
    </row>
    <row r="20" spans="1:11" ht="18.75" x14ac:dyDescent="0.25">
      <c r="A20" s="8"/>
      <c r="B20" s="25" t="s">
        <v>27</v>
      </c>
      <c r="C20" s="51">
        <f>SUM(C15:C19)</f>
        <v>106785</v>
      </c>
      <c r="D20" s="3"/>
      <c r="E20" s="8"/>
      <c r="F20" s="8"/>
      <c r="G20" s="8"/>
      <c r="H20" s="27">
        <v>0</v>
      </c>
      <c r="I20" s="24"/>
      <c r="J20" s="3"/>
      <c r="K20" s="28"/>
    </row>
    <row r="21" spans="1:11" x14ac:dyDescent="0.25">
      <c r="C21" s="29"/>
      <c r="H21" s="29"/>
    </row>
    <row r="22" spans="1:11" ht="16.5" x14ac:dyDescent="0.3">
      <c r="B22" s="30" t="s">
        <v>28</v>
      </c>
      <c r="C22" s="31">
        <f>SUM(C10)</f>
        <v>18725</v>
      </c>
      <c r="E22" s="32"/>
      <c r="F22" s="32"/>
      <c r="G22" s="116"/>
      <c r="H22" s="116"/>
    </row>
    <row r="23" spans="1:11" ht="16.5" x14ac:dyDescent="0.3">
      <c r="B23" s="33" t="s">
        <v>29</v>
      </c>
      <c r="C23" s="34">
        <f>SUM(C11,C9,C8,C7,C6)</f>
        <v>4750</v>
      </c>
      <c r="E23" s="35"/>
      <c r="F23" s="35"/>
      <c r="G23" s="36" t="s">
        <v>30</v>
      </c>
      <c r="H23" s="37"/>
    </row>
    <row r="24" spans="1:11" ht="24" x14ac:dyDescent="0.4">
      <c r="B24" s="38" t="s">
        <v>31</v>
      </c>
      <c r="C24" s="39">
        <f>SUM(C5)</f>
        <v>2000</v>
      </c>
      <c r="E24" s="40" t="s">
        <v>32</v>
      </c>
      <c r="F24" s="41"/>
      <c r="G24" s="42"/>
      <c r="H24" s="43"/>
      <c r="I24" s="42"/>
      <c r="J24" s="44"/>
    </row>
    <row r="25" spans="1:11" ht="18.75" x14ac:dyDescent="0.3">
      <c r="B25" s="45" t="s">
        <v>16</v>
      </c>
      <c r="C25" s="46">
        <f>SUM(C22:C24)</f>
        <v>25475</v>
      </c>
      <c r="G25" s="36"/>
      <c r="H25" s="37"/>
      <c r="I25" s="36"/>
      <c r="J25" s="36"/>
    </row>
  </sheetData>
  <mergeCells count="5">
    <mergeCell ref="G22:H22"/>
    <mergeCell ref="A1:K1"/>
    <mergeCell ref="A2:K2"/>
    <mergeCell ref="A3:K3"/>
    <mergeCell ref="A13:K13"/>
  </mergeCells>
  <pageMargins left="0.59055118110236215" right="0.15748031496062992" top="0.47244094488188976" bottom="0.23622047244094488" header="0.31496062992125984" footer="0.31496062992125984"/>
  <pageSetup scale="9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82DC3-340C-426C-B22B-F14D91023A5C}">
  <sheetPr>
    <pageSetUpPr fitToPage="1"/>
  </sheetPr>
  <dimension ref="A1:K27"/>
  <sheetViews>
    <sheetView topLeftCell="A7" workbookViewId="0">
      <selection sqref="A1:K28"/>
    </sheetView>
  </sheetViews>
  <sheetFormatPr defaultRowHeight="15" x14ac:dyDescent="0.25"/>
  <cols>
    <col min="1" max="1" width="4.42578125" bestFit="1" customWidth="1"/>
    <col min="2" max="2" width="16.7109375" bestFit="1" customWidth="1"/>
    <col min="3" max="3" width="14.4257812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9" max="9" width="10" bestFit="1" customWidth="1"/>
    <col min="10" max="10" width="16.85546875" bestFit="1" customWidth="1"/>
    <col min="11" max="11" width="34.7109375" customWidth="1"/>
  </cols>
  <sheetData>
    <row r="1" spans="1:11" ht="48.75" x14ac:dyDescent="0.25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228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231</v>
      </c>
      <c r="C5" s="4">
        <v>2600</v>
      </c>
      <c r="D5" s="5">
        <v>46181</v>
      </c>
      <c r="E5" s="14">
        <v>0</v>
      </c>
      <c r="F5" s="13" t="s">
        <v>18</v>
      </c>
      <c r="G5" s="15">
        <v>6784</v>
      </c>
      <c r="H5" s="16">
        <v>0</v>
      </c>
      <c r="I5" s="3" t="s">
        <v>19</v>
      </c>
      <c r="J5" s="5">
        <f t="shared" ref="J5:J14" si="0">+D5+1</f>
        <v>46182</v>
      </c>
      <c r="K5" s="13" t="s">
        <v>275</v>
      </c>
    </row>
    <row r="6" spans="1:11" ht="15.75" x14ac:dyDescent="0.25">
      <c r="A6" s="3">
        <v>2</v>
      </c>
      <c r="B6" s="3" t="s">
        <v>232</v>
      </c>
      <c r="C6" s="4">
        <v>50</v>
      </c>
      <c r="D6" s="5">
        <f t="shared" ref="D6:D14" si="1">+D5</f>
        <v>46181</v>
      </c>
      <c r="E6" s="14">
        <v>0</v>
      </c>
      <c r="F6" s="13" t="s">
        <v>18</v>
      </c>
      <c r="G6" s="15">
        <v>9117</v>
      </c>
      <c r="H6" s="16">
        <v>0</v>
      </c>
      <c r="I6" s="3" t="s">
        <v>15</v>
      </c>
      <c r="J6" s="5">
        <f t="shared" si="0"/>
        <v>46182</v>
      </c>
      <c r="K6" s="13" t="s">
        <v>102</v>
      </c>
    </row>
    <row r="7" spans="1:11" ht="15.75" x14ac:dyDescent="0.25">
      <c r="A7" s="3">
        <v>3</v>
      </c>
      <c r="B7" s="3" t="s">
        <v>232</v>
      </c>
      <c r="C7" s="4">
        <v>29900</v>
      </c>
      <c r="D7" s="5">
        <f t="shared" si="1"/>
        <v>46181</v>
      </c>
      <c r="E7" s="14">
        <v>0</v>
      </c>
      <c r="F7" s="13" t="s">
        <v>18</v>
      </c>
      <c r="G7" s="15">
        <v>1454</v>
      </c>
      <c r="H7" s="16">
        <v>0</v>
      </c>
      <c r="I7" s="3" t="s">
        <v>15</v>
      </c>
      <c r="J7" s="5">
        <f t="shared" si="0"/>
        <v>46182</v>
      </c>
      <c r="K7" s="13" t="s">
        <v>102</v>
      </c>
    </row>
    <row r="8" spans="1:11" ht="15.75" x14ac:dyDescent="0.25">
      <c r="A8" s="3">
        <v>4</v>
      </c>
      <c r="B8" s="3" t="s">
        <v>233</v>
      </c>
      <c r="C8" s="4">
        <v>2800</v>
      </c>
      <c r="D8" s="5">
        <f t="shared" si="1"/>
        <v>46181</v>
      </c>
      <c r="E8" s="14">
        <v>0</v>
      </c>
      <c r="F8" s="13" t="s">
        <v>18</v>
      </c>
      <c r="G8" s="15">
        <v>6240</v>
      </c>
      <c r="H8" s="16">
        <v>0</v>
      </c>
      <c r="I8" s="3" t="s">
        <v>15</v>
      </c>
      <c r="J8" s="5">
        <f t="shared" si="0"/>
        <v>46182</v>
      </c>
      <c r="K8" s="13" t="s">
        <v>275</v>
      </c>
    </row>
    <row r="9" spans="1:11" ht="15.75" x14ac:dyDescent="0.25">
      <c r="A9" s="3">
        <v>5</v>
      </c>
      <c r="B9" s="3" t="s">
        <v>234</v>
      </c>
      <c r="C9" s="4">
        <v>39500</v>
      </c>
      <c r="D9" s="5">
        <f t="shared" si="1"/>
        <v>46181</v>
      </c>
      <c r="E9" s="14">
        <v>0</v>
      </c>
      <c r="F9" s="13" t="s">
        <v>18</v>
      </c>
      <c r="G9" s="15">
        <v>7758</v>
      </c>
      <c r="H9" s="16">
        <v>0</v>
      </c>
      <c r="I9" s="3" t="s">
        <v>15</v>
      </c>
      <c r="J9" s="5">
        <f t="shared" si="0"/>
        <v>46182</v>
      </c>
      <c r="K9" s="13" t="s">
        <v>102</v>
      </c>
    </row>
    <row r="10" spans="1:11" ht="15.75" x14ac:dyDescent="0.25">
      <c r="A10" s="3">
        <v>6</v>
      </c>
      <c r="B10" s="3" t="s">
        <v>235</v>
      </c>
      <c r="C10" s="4">
        <v>13800</v>
      </c>
      <c r="D10" s="5">
        <f t="shared" si="1"/>
        <v>46181</v>
      </c>
      <c r="E10" s="14">
        <v>0</v>
      </c>
      <c r="F10" s="13" t="s">
        <v>18</v>
      </c>
      <c r="G10" s="15">
        <v>5729</v>
      </c>
      <c r="H10" s="16">
        <v>0</v>
      </c>
      <c r="I10" s="3" t="s">
        <v>15</v>
      </c>
      <c r="J10" s="5">
        <f t="shared" si="0"/>
        <v>46182</v>
      </c>
      <c r="K10" s="13" t="s">
        <v>65</v>
      </c>
    </row>
    <row r="11" spans="1:11" ht="15.75" x14ac:dyDescent="0.25">
      <c r="A11" s="3">
        <v>7</v>
      </c>
      <c r="B11" s="3" t="s">
        <v>236</v>
      </c>
      <c r="C11" s="4">
        <v>5000</v>
      </c>
      <c r="D11" s="5">
        <f t="shared" si="1"/>
        <v>46181</v>
      </c>
      <c r="E11" s="14">
        <v>0</v>
      </c>
      <c r="F11" s="13" t="s">
        <v>18</v>
      </c>
      <c r="G11" s="15">
        <v>756</v>
      </c>
      <c r="H11" s="16">
        <v>0</v>
      </c>
      <c r="I11" s="3" t="s">
        <v>15</v>
      </c>
      <c r="J11" s="5">
        <f t="shared" si="0"/>
        <v>46182</v>
      </c>
      <c r="K11" s="13" t="s">
        <v>65</v>
      </c>
    </row>
    <row r="12" spans="1:11" ht="15.75" x14ac:dyDescent="0.25">
      <c r="A12" s="3">
        <v>8</v>
      </c>
      <c r="B12" s="3" t="s">
        <v>241</v>
      </c>
      <c r="C12" s="4">
        <v>6200</v>
      </c>
      <c r="D12" s="5">
        <f t="shared" si="1"/>
        <v>46181</v>
      </c>
      <c r="E12" s="14">
        <v>0</v>
      </c>
      <c r="F12" s="13" t="s">
        <v>18</v>
      </c>
      <c r="G12" s="15">
        <v>607</v>
      </c>
      <c r="H12" s="16">
        <v>0</v>
      </c>
      <c r="I12" s="3" t="s">
        <v>15</v>
      </c>
      <c r="J12" s="5">
        <f t="shared" si="0"/>
        <v>46182</v>
      </c>
      <c r="K12" s="13" t="s">
        <v>280</v>
      </c>
    </row>
    <row r="13" spans="1:11" ht="15.75" x14ac:dyDescent="0.25">
      <c r="A13" s="3">
        <v>9</v>
      </c>
      <c r="B13" s="3" t="s">
        <v>242</v>
      </c>
      <c r="C13" s="4">
        <v>1700</v>
      </c>
      <c r="D13" s="5">
        <f t="shared" si="1"/>
        <v>46181</v>
      </c>
      <c r="E13" s="14">
        <v>0</v>
      </c>
      <c r="F13" s="13" t="s">
        <v>18</v>
      </c>
      <c r="G13" s="15">
        <v>9082</v>
      </c>
      <c r="H13" s="16">
        <v>0</v>
      </c>
      <c r="I13" s="3" t="s">
        <v>15</v>
      </c>
      <c r="J13" s="5">
        <f t="shared" si="0"/>
        <v>46182</v>
      </c>
      <c r="K13" s="13" t="s">
        <v>204</v>
      </c>
    </row>
    <row r="14" spans="1:11" ht="15.75" x14ac:dyDescent="0.25">
      <c r="A14" s="3">
        <v>10</v>
      </c>
      <c r="B14" s="3" t="s">
        <v>243</v>
      </c>
      <c r="C14" s="4">
        <v>2000</v>
      </c>
      <c r="D14" s="5">
        <f t="shared" si="1"/>
        <v>46181</v>
      </c>
      <c r="E14" s="14">
        <v>0</v>
      </c>
      <c r="F14" s="13" t="s">
        <v>18</v>
      </c>
      <c r="G14" s="15">
        <v>1383</v>
      </c>
      <c r="H14" s="16">
        <v>0</v>
      </c>
      <c r="I14" s="3" t="s">
        <v>15</v>
      </c>
      <c r="J14" s="5">
        <f t="shared" si="0"/>
        <v>46182</v>
      </c>
      <c r="K14" s="13" t="s">
        <v>281</v>
      </c>
    </row>
    <row r="15" spans="1:11" ht="18.75" x14ac:dyDescent="0.3">
      <c r="A15" s="3"/>
      <c r="B15" s="17" t="s">
        <v>16</v>
      </c>
      <c r="C15" s="54">
        <f>SUM(C5:C14)</f>
        <v>103550</v>
      </c>
      <c r="D15" s="3"/>
      <c r="E15" s="3"/>
      <c r="F15" s="13"/>
      <c r="G15" s="13"/>
      <c r="H15" s="11"/>
      <c r="I15" s="3"/>
      <c r="J15" s="3"/>
      <c r="K15" s="3"/>
    </row>
    <row r="16" spans="1:11" ht="24.75" x14ac:dyDescent="0.5">
      <c r="A16" s="125" t="s">
        <v>20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7"/>
    </row>
    <row r="17" spans="1:11" ht="18.75" x14ac:dyDescent="0.3">
      <c r="A17" s="19" t="s">
        <v>3</v>
      </c>
      <c r="B17" s="19" t="s">
        <v>21</v>
      </c>
      <c r="C17" s="50" t="s">
        <v>5</v>
      </c>
      <c r="D17" s="1" t="s">
        <v>22</v>
      </c>
      <c r="E17" s="19" t="s">
        <v>7</v>
      </c>
      <c r="F17" s="19" t="s">
        <v>8</v>
      </c>
      <c r="G17" s="19" t="s">
        <v>23</v>
      </c>
      <c r="H17" s="20" t="s">
        <v>24</v>
      </c>
      <c r="I17" s="19" t="s">
        <v>11</v>
      </c>
      <c r="J17" s="19" t="s">
        <v>25</v>
      </c>
      <c r="K17" s="21" t="s">
        <v>26</v>
      </c>
    </row>
    <row r="18" spans="1:11" ht="15.75" x14ac:dyDescent="0.25">
      <c r="A18" s="8">
        <v>1</v>
      </c>
      <c r="B18" s="8" t="s">
        <v>64</v>
      </c>
      <c r="C18" s="47">
        <v>20666</v>
      </c>
      <c r="D18" s="5">
        <v>46181</v>
      </c>
      <c r="E18" s="8"/>
      <c r="F18" s="8"/>
      <c r="G18" s="22">
        <v>174</v>
      </c>
      <c r="H18" s="23"/>
      <c r="I18" s="24"/>
      <c r="J18" s="3"/>
      <c r="K18" s="13" t="s">
        <v>115</v>
      </c>
    </row>
    <row r="19" spans="1:11" ht="15.75" x14ac:dyDescent="0.25">
      <c r="A19" s="8">
        <v>2</v>
      </c>
      <c r="B19" s="8" t="s">
        <v>270</v>
      </c>
      <c r="C19" s="47">
        <v>100000</v>
      </c>
      <c r="D19" s="5">
        <v>46181</v>
      </c>
      <c r="E19" s="8"/>
      <c r="F19" s="8"/>
      <c r="G19" s="22">
        <v>3</v>
      </c>
      <c r="H19" s="23"/>
      <c r="I19" s="24"/>
      <c r="J19" s="3"/>
      <c r="K19" s="13" t="s">
        <v>68</v>
      </c>
    </row>
    <row r="20" spans="1:11" ht="15.75" x14ac:dyDescent="0.25">
      <c r="A20" s="8">
        <v>3</v>
      </c>
      <c r="B20" s="8"/>
      <c r="C20" s="47">
        <v>0</v>
      </c>
      <c r="D20" s="5"/>
      <c r="E20" s="8"/>
      <c r="F20" s="8"/>
      <c r="G20" s="22"/>
      <c r="H20" s="23"/>
      <c r="I20" s="24"/>
      <c r="J20" s="3"/>
      <c r="K20" s="13"/>
    </row>
    <row r="21" spans="1:11" ht="18.75" x14ac:dyDescent="0.25">
      <c r="A21" s="8"/>
      <c r="B21" s="25" t="s">
        <v>27</v>
      </c>
      <c r="C21" s="51">
        <f>SUM(C18:C20)</f>
        <v>120666</v>
      </c>
      <c r="D21" s="3"/>
      <c r="E21" s="8"/>
      <c r="F21" s="8"/>
      <c r="G21" s="8"/>
      <c r="H21" s="27">
        <v>0</v>
      </c>
      <c r="I21" s="24"/>
      <c r="J21" s="3"/>
      <c r="K21" s="28"/>
    </row>
    <row r="22" spans="1:11" x14ac:dyDescent="0.25">
      <c r="C22" s="29"/>
      <c r="H22" s="29"/>
    </row>
    <row r="23" spans="1:11" ht="16.5" x14ac:dyDescent="0.3">
      <c r="B23" s="30" t="s">
        <v>28</v>
      </c>
      <c r="C23" s="31">
        <f>SUM(C6,C7,C9,C13)</f>
        <v>71150</v>
      </c>
      <c r="E23" s="32"/>
      <c r="F23" s="32"/>
      <c r="G23" s="116"/>
      <c r="H23" s="116"/>
    </row>
    <row r="24" spans="1:11" ht="16.5" x14ac:dyDescent="0.3">
      <c r="B24" s="33" t="s">
        <v>29</v>
      </c>
      <c r="C24" s="34">
        <f>SUM(C10,C11,C12)</f>
        <v>25000</v>
      </c>
      <c r="E24" s="35"/>
      <c r="F24" s="35"/>
      <c r="G24" s="36" t="s">
        <v>30</v>
      </c>
      <c r="H24" s="37"/>
    </row>
    <row r="25" spans="1:11" ht="24" x14ac:dyDescent="0.4">
      <c r="B25" s="38" t="s">
        <v>31</v>
      </c>
      <c r="C25" s="39">
        <f>SUM(C5,C8)</f>
        <v>5400</v>
      </c>
      <c r="E25" s="40" t="s">
        <v>32</v>
      </c>
      <c r="F25" s="41"/>
      <c r="G25" s="42"/>
      <c r="H25" s="43"/>
      <c r="I25" s="42"/>
      <c r="J25" s="44"/>
    </row>
    <row r="26" spans="1:11" ht="24" x14ac:dyDescent="0.4">
      <c r="B26" s="33" t="s">
        <v>324</v>
      </c>
      <c r="C26" s="34">
        <f>SUM(C14)</f>
        <v>2000</v>
      </c>
      <c r="E26" s="40"/>
      <c r="F26" s="41"/>
      <c r="G26" s="42"/>
      <c r="H26" s="43"/>
      <c r="I26" s="42"/>
      <c r="J26" s="44"/>
    </row>
    <row r="27" spans="1:11" ht="18.75" x14ac:dyDescent="0.3">
      <c r="B27" s="45" t="s">
        <v>16</v>
      </c>
      <c r="C27" s="46">
        <f>SUM(C23:C26)</f>
        <v>103550</v>
      </c>
      <c r="G27" s="36"/>
      <c r="H27" s="37"/>
      <c r="I27" s="36"/>
      <c r="J27" s="36"/>
    </row>
  </sheetData>
  <mergeCells count="5">
    <mergeCell ref="G23:H23"/>
    <mergeCell ref="A1:K1"/>
    <mergeCell ref="A2:K2"/>
    <mergeCell ref="A3:K3"/>
    <mergeCell ref="A16:K16"/>
  </mergeCells>
  <pageMargins left="0.59055118110236215" right="0.15748031496062992" top="0.47244094488188976" bottom="0.23622047244094488" header="0.31496062992125984" footer="0.31496062992125984"/>
  <pageSetup scale="86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990D5-8D1B-4F9A-B27A-161CAE74789D}">
  <sheetPr>
    <pageSetUpPr fitToPage="1"/>
  </sheetPr>
  <dimension ref="A1:K31"/>
  <sheetViews>
    <sheetView topLeftCell="A10" workbookViewId="0">
      <selection sqref="A1:K31"/>
    </sheetView>
  </sheetViews>
  <sheetFormatPr defaultRowHeight="15" x14ac:dyDescent="0.25"/>
  <cols>
    <col min="1" max="1" width="4.42578125" bestFit="1" customWidth="1"/>
    <col min="2" max="2" width="30.140625" bestFit="1" customWidth="1"/>
    <col min="3" max="3" width="14.4257812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6.28515625" customWidth="1"/>
  </cols>
  <sheetData>
    <row r="1" spans="1:11" ht="48.75" x14ac:dyDescent="0.25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244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245</v>
      </c>
      <c r="C5" s="4">
        <v>4160</v>
      </c>
      <c r="D5" s="5">
        <v>46182</v>
      </c>
      <c r="E5" s="14">
        <v>0</v>
      </c>
      <c r="F5" s="13" t="s">
        <v>18</v>
      </c>
      <c r="G5" s="15">
        <v>7059</v>
      </c>
      <c r="H5" s="16">
        <v>0</v>
      </c>
      <c r="I5" s="3" t="s">
        <v>19</v>
      </c>
      <c r="J5" s="5">
        <f t="shared" ref="J5:J16" si="0">+D5+1</f>
        <v>46183</v>
      </c>
      <c r="K5" s="13" t="s">
        <v>204</v>
      </c>
    </row>
    <row r="6" spans="1:11" ht="15.75" x14ac:dyDescent="0.25">
      <c r="A6" s="3">
        <v>2</v>
      </c>
      <c r="B6" s="3" t="s">
        <v>246</v>
      </c>
      <c r="C6" s="4">
        <v>1280</v>
      </c>
      <c r="D6" s="5">
        <f t="shared" ref="D6:D16" si="1">+D5</f>
        <v>46182</v>
      </c>
      <c r="E6" s="14">
        <v>0</v>
      </c>
      <c r="F6" s="13" t="s">
        <v>18</v>
      </c>
      <c r="G6" s="15">
        <v>4598</v>
      </c>
      <c r="H6" s="16">
        <v>0</v>
      </c>
      <c r="I6" s="3" t="s">
        <v>15</v>
      </c>
      <c r="J6" s="5">
        <f t="shared" si="0"/>
        <v>46183</v>
      </c>
      <c r="K6" s="13" t="s">
        <v>115</v>
      </c>
    </row>
    <row r="7" spans="1:11" ht="15.75" x14ac:dyDescent="0.25">
      <c r="A7" s="3">
        <v>3</v>
      </c>
      <c r="B7" s="3" t="s">
        <v>247</v>
      </c>
      <c r="C7" s="4">
        <v>1450</v>
      </c>
      <c r="D7" s="5">
        <f t="shared" si="1"/>
        <v>46182</v>
      </c>
      <c r="E7" s="14">
        <v>0</v>
      </c>
      <c r="F7" s="13" t="s">
        <v>18</v>
      </c>
      <c r="G7" s="15">
        <v>3342</v>
      </c>
      <c r="H7" s="16">
        <v>0</v>
      </c>
      <c r="I7" s="3" t="s">
        <v>15</v>
      </c>
      <c r="J7" s="5">
        <f t="shared" si="0"/>
        <v>46183</v>
      </c>
      <c r="K7" s="13" t="s">
        <v>115</v>
      </c>
    </row>
    <row r="8" spans="1:11" ht="15.75" x14ac:dyDescent="0.25">
      <c r="A8" s="3">
        <v>4</v>
      </c>
      <c r="B8" s="3" t="s">
        <v>222</v>
      </c>
      <c r="C8" s="4">
        <v>2000</v>
      </c>
      <c r="D8" s="5">
        <f t="shared" si="1"/>
        <v>46182</v>
      </c>
      <c r="E8" s="14">
        <v>0</v>
      </c>
      <c r="F8" s="13" t="s">
        <v>18</v>
      </c>
      <c r="G8" s="15">
        <v>7998</v>
      </c>
      <c r="H8" s="16">
        <v>0</v>
      </c>
      <c r="I8" s="3" t="s">
        <v>15</v>
      </c>
      <c r="J8" s="5">
        <f t="shared" si="0"/>
        <v>46183</v>
      </c>
      <c r="K8" s="13" t="s">
        <v>279</v>
      </c>
    </row>
    <row r="9" spans="1:11" ht="15.75" x14ac:dyDescent="0.25">
      <c r="A9" s="3">
        <v>5</v>
      </c>
      <c r="B9" s="3" t="s">
        <v>248</v>
      </c>
      <c r="C9" s="4">
        <v>2875</v>
      </c>
      <c r="D9" s="5">
        <f t="shared" si="1"/>
        <v>46182</v>
      </c>
      <c r="E9" s="14">
        <v>0</v>
      </c>
      <c r="F9" s="13" t="s">
        <v>18</v>
      </c>
      <c r="G9" s="15">
        <v>954</v>
      </c>
      <c r="H9" s="16">
        <v>0</v>
      </c>
      <c r="I9" s="3" t="s">
        <v>15</v>
      </c>
      <c r="J9" s="5">
        <f t="shared" si="0"/>
        <v>46183</v>
      </c>
      <c r="K9" s="13" t="s">
        <v>115</v>
      </c>
    </row>
    <row r="10" spans="1:11" ht="15.75" x14ac:dyDescent="0.25">
      <c r="A10" s="3">
        <v>6</v>
      </c>
      <c r="B10" s="3" t="s">
        <v>249</v>
      </c>
      <c r="C10" s="4">
        <v>4505</v>
      </c>
      <c r="D10" s="5">
        <f t="shared" si="1"/>
        <v>46182</v>
      </c>
      <c r="E10" s="14">
        <v>0</v>
      </c>
      <c r="F10" s="13" t="s">
        <v>18</v>
      </c>
      <c r="G10" s="15">
        <v>4804</v>
      </c>
      <c r="H10" s="16">
        <v>0</v>
      </c>
      <c r="I10" s="3" t="s">
        <v>15</v>
      </c>
      <c r="J10" s="5">
        <f t="shared" si="0"/>
        <v>46183</v>
      </c>
      <c r="K10" s="13" t="s">
        <v>115</v>
      </c>
    </row>
    <row r="11" spans="1:11" ht="15.75" x14ac:dyDescent="0.25">
      <c r="A11" s="3">
        <v>7</v>
      </c>
      <c r="B11" s="3" t="s">
        <v>236</v>
      </c>
      <c r="C11" s="4">
        <v>2480</v>
      </c>
      <c r="D11" s="5">
        <f t="shared" si="1"/>
        <v>46182</v>
      </c>
      <c r="E11" s="14">
        <v>0</v>
      </c>
      <c r="F11" s="13" t="s">
        <v>18</v>
      </c>
      <c r="G11" s="15">
        <v>8828</v>
      </c>
      <c r="H11" s="16">
        <v>0</v>
      </c>
      <c r="I11" s="3" t="s">
        <v>15</v>
      </c>
      <c r="J11" s="5">
        <f t="shared" si="0"/>
        <v>46183</v>
      </c>
      <c r="K11" s="13" t="s">
        <v>115</v>
      </c>
    </row>
    <row r="12" spans="1:11" ht="15.75" x14ac:dyDescent="0.25">
      <c r="A12" s="3">
        <v>8</v>
      </c>
      <c r="B12" s="3" t="s">
        <v>250</v>
      </c>
      <c r="C12" s="4">
        <v>5000</v>
      </c>
      <c r="D12" s="5">
        <f t="shared" si="1"/>
        <v>46182</v>
      </c>
      <c r="E12" s="14">
        <v>0</v>
      </c>
      <c r="F12" s="13" t="s">
        <v>18</v>
      </c>
      <c r="G12" s="15">
        <v>450</v>
      </c>
      <c r="H12" s="16">
        <v>0</v>
      </c>
      <c r="I12" s="3" t="s">
        <v>15</v>
      </c>
      <c r="J12" s="5">
        <f t="shared" si="0"/>
        <v>46183</v>
      </c>
      <c r="K12" s="13" t="s">
        <v>115</v>
      </c>
    </row>
    <row r="13" spans="1:11" ht="15.75" x14ac:dyDescent="0.25">
      <c r="A13" s="3">
        <v>9</v>
      </c>
      <c r="B13" s="3" t="s">
        <v>251</v>
      </c>
      <c r="C13" s="4">
        <v>25</v>
      </c>
      <c r="D13" s="5">
        <f t="shared" si="1"/>
        <v>46182</v>
      </c>
      <c r="E13" s="14">
        <v>0</v>
      </c>
      <c r="F13" s="13" t="s">
        <v>18</v>
      </c>
      <c r="G13" s="15">
        <v>5864</v>
      </c>
      <c r="H13" s="16">
        <v>0</v>
      </c>
      <c r="I13" s="3" t="s">
        <v>15</v>
      </c>
      <c r="J13" s="5">
        <f t="shared" si="0"/>
        <v>46183</v>
      </c>
      <c r="K13" s="13" t="s">
        <v>115</v>
      </c>
    </row>
    <row r="14" spans="1:11" ht="15.75" x14ac:dyDescent="0.25">
      <c r="A14" s="3">
        <v>10</v>
      </c>
      <c r="B14" s="3" t="s">
        <v>252</v>
      </c>
      <c r="C14" s="4">
        <v>2660</v>
      </c>
      <c r="D14" s="5">
        <f t="shared" si="1"/>
        <v>46182</v>
      </c>
      <c r="E14" s="14">
        <v>0</v>
      </c>
      <c r="F14" s="13" t="s">
        <v>18</v>
      </c>
      <c r="G14" s="15">
        <v>765</v>
      </c>
      <c r="H14" s="16">
        <v>0</v>
      </c>
      <c r="I14" s="3" t="s">
        <v>15</v>
      </c>
      <c r="J14" s="5">
        <f t="shared" si="0"/>
        <v>46183</v>
      </c>
      <c r="K14" s="13" t="s">
        <v>115</v>
      </c>
    </row>
    <row r="15" spans="1:11" ht="15.75" x14ac:dyDescent="0.25">
      <c r="A15" s="3">
        <v>11</v>
      </c>
      <c r="B15" s="3" t="s">
        <v>46</v>
      </c>
      <c r="C15" s="4">
        <v>96000</v>
      </c>
      <c r="D15" s="5">
        <f t="shared" si="1"/>
        <v>46182</v>
      </c>
      <c r="E15" s="14">
        <v>0</v>
      </c>
      <c r="F15" s="13" t="s">
        <v>18</v>
      </c>
      <c r="G15" s="15">
        <v>1558</v>
      </c>
      <c r="H15" s="16">
        <v>0</v>
      </c>
      <c r="I15" s="3" t="s">
        <v>15</v>
      </c>
      <c r="J15" s="5">
        <f t="shared" si="0"/>
        <v>46183</v>
      </c>
      <c r="K15" s="13" t="s">
        <v>46</v>
      </c>
    </row>
    <row r="16" spans="1:11" ht="15.75" x14ac:dyDescent="0.25">
      <c r="A16" s="3">
        <v>12</v>
      </c>
      <c r="B16" s="3" t="s">
        <v>46</v>
      </c>
      <c r="C16" s="4">
        <v>51000</v>
      </c>
      <c r="D16" s="5">
        <f t="shared" si="1"/>
        <v>46182</v>
      </c>
      <c r="E16" s="14">
        <v>0</v>
      </c>
      <c r="F16" s="13" t="s">
        <v>18</v>
      </c>
      <c r="G16" s="15">
        <v>1561</v>
      </c>
      <c r="H16" s="16">
        <v>0</v>
      </c>
      <c r="I16" s="3" t="s">
        <v>15</v>
      </c>
      <c r="J16" s="5">
        <f t="shared" si="0"/>
        <v>46183</v>
      </c>
      <c r="K16" s="13" t="s">
        <v>46</v>
      </c>
    </row>
    <row r="17" spans="1:11" ht="18.75" x14ac:dyDescent="0.3">
      <c r="A17" s="3"/>
      <c r="B17" s="17" t="s">
        <v>16</v>
      </c>
      <c r="C17" s="54">
        <f>SUM(C5:C16)</f>
        <v>173435</v>
      </c>
      <c r="D17" s="3"/>
      <c r="E17" s="3"/>
      <c r="F17" s="13"/>
      <c r="G17" s="13"/>
      <c r="H17" s="11"/>
      <c r="I17" s="3"/>
      <c r="J17" s="3"/>
      <c r="K17" s="3"/>
    </row>
    <row r="18" spans="1:11" ht="24.75" x14ac:dyDescent="0.5">
      <c r="A18" s="125" t="s">
        <v>20</v>
      </c>
      <c r="B18" s="126"/>
      <c r="C18" s="126"/>
      <c r="D18" s="126"/>
      <c r="E18" s="126"/>
      <c r="F18" s="126"/>
      <c r="G18" s="126"/>
      <c r="H18" s="126"/>
      <c r="I18" s="126"/>
      <c r="J18" s="126"/>
      <c r="K18" s="127"/>
    </row>
    <row r="19" spans="1:11" ht="18.75" x14ac:dyDescent="0.3">
      <c r="A19" s="19" t="s">
        <v>3</v>
      </c>
      <c r="B19" s="19" t="s">
        <v>21</v>
      </c>
      <c r="C19" s="50" t="s">
        <v>5</v>
      </c>
      <c r="D19" s="1" t="s">
        <v>22</v>
      </c>
      <c r="E19" s="19" t="s">
        <v>7</v>
      </c>
      <c r="F19" s="19" t="s">
        <v>8</v>
      </c>
      <c r="G19" s="19" t="s">
        <v>23</v>
      </c>
      <c r="H19" s="20" t="s">
        <v>24</v>
      </c>
      <c r="I19" s="19" t="s">
        <v>11</v>
      </c>
      <c r="J19" s="19" t="s">
        <v>25</v>
      </c>
      <c r="K19" s="21" t="s">
        <v>26</v>
      </c>
    </row>
    <row r="20" spans="1:11" ht="15.75" x14ac:dyDescent="0.25">
      <c r="A20" s="8">
        <v>1</v>
      </c>
      <c r="B20" s="8" t="s">
        <v>41</v>
      </c>
      <c r="C20" s="47">
        <v>18056</v>
      </c>
      <c r="D20" s="5">
        <v>46182</v>
      </c>
      <c r="E20" s="8"/>
      <c r="F20" s="8"/>
      <c r="G20" s="22">
        <v>24</v>
      </c>
      <c r="H20" s="23"/>
      <c r="I20" s="24"/>
      <c r="J20" s="3"/>
      <c r="K20" s="13" t="s">
        <v>65</v>
      </c>
    </row>
    <row r="21" spans="1:11" ht="15.75" x14ac:dyDescent="0.25">
      <c r="A21" s="8">
        <v>2</v>
      </c>
      <c r="B21" s="8" t="s">
        <v>271</v>
      </c>
      <c r="C21" s="47">
        <v>1050</v>
      </c>
      <c r="D21" s="5">
        <v>46182</v>
      </c>
      <c r="E21" s="8"/>
      <c r="F21" s="8"/>
      <c r="G21" s="22">
        <v>5182</v>
      </c>
      <c r="H21" s="23"/>
      <c r="I21" s="24"/>
      <c r="J21" s="3"/>
      <c r="K21" s="13" t="s">
        <v>290</v>
      </c>
    </row>
    <row r="22" spans="1:11" ht="15.75" x14ac:dyDescent="0.25">
      <c r="A22" s="8">
        <v>3</v>
      </c>
      <c r="B22" s="8" t="s">
        <v>272</v>
      </c>
      <c r="C22" s="47">
        <v>100000</v>
      </c>
      <c r="D22" s="5">
        <v>46182</v>
      </c>
      <c r="E22" s="8"/>
      <c r="F22" s="8"/>
      <c r="G22" s="22">
        <v>8604</v>
      </c>
      <c r="H22" s="23"/>
      <c r="I22" s="24"/>
      <c r="J22" s="3"/>
      <c r="K22" s="13" t="s">
        <v>277</v>
      </c>
    </row>
    <row r="23" spans="1:11" ht="15.75" x14ac:dyDescent="0.25">
      <c r="A23" s="8">
        <v>4</v>
      </c>
      <c r="B23" s="8" t="s">
        <v>273</v>
      </c>
      <c r="C23" s="47">
        <v>50000</v>
      </c>
      <c r="D23" s="5">
        <v>46182</v>
      </c>
      <c r="E23" s="8"/>
      <c r="F23" s="8"/>
      <c r="G23" s="22">
        <v>3292</v>
      </c>
      <c r="H23" s="23"/>
      <c r="I23" s="24"/>
      <c r="J23" s="3"/>
      <c r="K23" s="13" t="s">
        <v>68</v>
      </c>
    </row>
    <row r="24" spans="1:11" ht="15.75" x14ac:dyDescent="0.25">
      <c r="A24" s="8">
        <v>5</v>
      </c>
      <c r="B24" s="8"/>
      <c r="C24" s="47">
        <v>0</v>
      </c>
      <c r="D24" s="5"/>
      <c r="E24" s="8"/>
      <c r="F24" s="8"/>
      <c r="G24" s="22"/>
      <c r="H24" s="23"/>
      <c r="I24" s="24"/>
      <c r="J24" s="3"/>
      <c r="K24" s="13"/>
    </row>
    <row r="25" spans="1:11" ht="18.75" x14ac:dyDescent="0.25">
      <c r="A25" s="8"/>
      <c r="B25" s="25" t="s">
        <v>27</v>
      </c>
      <c r="C25" s="51">
        <f>SUM(C20:C24)</f>
        <v>169106</v>
      </c>
      <c r="D25" s="3"/>
      <c r="E25" s="8"/>
      <c r="F25" s="8"/>
      <c r="G25" s="8"/>
      <c r="H25" s="27">
        <v>0</v>
      </c>
      <c r="I25" s="24"/>
      <c r="J25" s="3"/>
      <c r="K25" s="28"/>
    </row>
    <row r="26" spans="1:11" x14ac:dyDescent="0.25">
      <c r="C26" s="29"/>
      <c r="H26" s="29"/>
    </row>
    <row r="27" spans="1:11" ht="16.5" x14ac:dyDescent="0.3">
      <c r="B27" s="30" t="s">
        <v>28</v>
      </c>
      <c r="C27" s="31">
        <f>SUM(C5)</f>
        <v>4160</v>
      </c>
      <c r="E27" s="32"/>
      <c r="F27" s="32"/>
      <c r="G27" s="116"/>
      <c r="H27" s="116"/>
    </row>
    <row r="28" spans="1:11" ht="16.5" x14ac:dyDescent="0.3">
      <c r="B28" s="33" t="s">
        <v>29</v>
      </c>
      <c r="C28" s="34">
        <f>SUM(C6,C7,C9,C10,C11,C12,C14,C13)</f>
        <v>20275</v>
      </c>
      <c r="E28" s="35"/>
      <c r="F28" s="35"/>
      <c r="G28" s="36" t="s">
        <v>30</v>
      </c>
      <c r="H28" s="37"/>
    </row>
    <row r="29" spans="1:11" ht="24" x14ac:dyDescent="0.4">
      <c r="B29" s="38" t="s">
        <v>31</v>
      </c>
      <c r="C29" s="39">
        <f>SUM(C8)</f>
        <v>2000</v>
      </c>
      <c r="E29" s="40" t="s">
        <v>32</v>
      </c>
      <c r="F29" s="41"/>
      <c r="G29" s="42"/>
      <c r="H29" s="43"/>
      <c r="I29" s="42"/>
      <c r="J29" s="44"/>
    </row>
    <row r="30" spans="1:11" ht="24" x14ac:dyDescent="0.4">
      <c r="B30" s="58" t="s">
        <v>46</v>
      </c>
      <c r="C30" s="59">
        <f>SUM(C15,C16)</f>
        <v>147000</v>
      </c>
      <c r="E30" s="40"/>
      <c r="F30" s="41"/>
      <c r="G30" s="42"/>
      <c r="H30" s="43"/>
      <c r="I30" s="42"/>
      <c r="J30" s="44"/>
    </row>
    <row r="31" spans="1:11" ht="18.75" x14ac:dyDescent="0.3">
      <c r="B31" s="45" t="s">
        <v>16</v>
      </c>
      <c r="C31" s="46">
        <f>SUM(C27:C30)</f>
        <v>173435</v>
      </c>
      <c r="G31" s="36"/>
      <c r="H31" s="37"/>
      <c r="I31" s="36"/>
      <c r="J31" s="36"/>
    </row>
  </sheetData>
  <mergeCells count="5">
    <mergeCell ref="G27:H27"/>
    <mergeCell ref="A1:K1"/>
    <mergeCell ref="A2:K2"/>
    <mergeCell ref="A3:K3"/>
    <mergeCell ref="A18:K18"/>
  </mergeCells>
  <pageMargins left="0.59055118110236215" right="0.15748031496062992" top="0.47244094488188976" bottom="0.23622047244094488" header="0.31496062992125984" footer="0.31496062992125984"/>
  <pageSetup scale="82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D44FC-1FDF-469F-A68D-D5E370B615C9}">
  <sheetPr>
    <pageSetUpPr fitToPage="1"/>
  </sheetPr>
  <dimension ref="A1:K22"/>
  <sheetViews>
    <sheetView workbookViewId="0">
      <selection activeCell="J12" sqref="J12"/>
    </sheetView>
  </sheetViews>
  <sheetFormatPr defaultRowHeight="15" x14ac:dyDescent="0.25"/>
  <cols>
    <col min="1" max="1" width="4.42578125" bestFit="1" customWidth="1"/>
    <col min="2" max="2" width="20.28515625" bestFit="1" customWidth="1"/>
    <col min="3" max="3" width="12.570312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3.85546875" customWidth="1"/>
  </cols>
  <sheetData>
    <row r="1" spans="1:11" ht="48.75" x14ac:dyDescent="0.25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253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254</v>
      </c>
      <c r="C5" s="4">
        <v>5325</v>
      </c>
      <c r="D5" s="5">
        <v>46183</v>
      </c>
      <c r="E5" s="14">
        <v>0</v>
      </c>
      <c r="F5" s="13" t="s">
        <v>18</v>
      </c>
      <c r="G5" s="15">
        <v>5064</v>
      </c>
      <c r="H5" s="16">
        <v>0</v>
      </c>
      <c r="I5" s="3" t="s">
        <v>19</v>
      </c>
      <c r="J5" s="5">
        <f t="shared" ref="J5:J9" si="0">+D5+1</f>
        <v>46184</v>
      </c>
      <c r="K5" s="13" t="s">
        <v>65</v>
      </c>
    </row>
    <row r="6" spans="1:11" ht="15.75" x14ac:dyDescent="0.25">
      <c r="A6" s="3">
        <v>2</v>
      </c>
      <c r="B6" s="3" t="s">
        <v>255</v>
      </c>
      <c r="C6" s="4">
        <v>4545</v>
      </c>
      <c r="D6" s="5">
        <f t="shared" ref="D6:D9" si="1">+D5</f>
        <v>46183</v>
      </c>
      <c r="E6" s="14">
        <v>0</v>
      </c>
      <c r="F6" s="13" t="s">
        <v>18</v>
      </c>
      <c r="G6" s="15">
        <v>9850</v>
      </c>
      <c r="H6" s="16">
        <v>0</v>
      </c>
      <c r="I6" s="3" t="s">
        <v>15</v>
      </c>
      <c r="J6" s="5">
        <f t="shared" si="0"/>
        <v>46184</v>
      </c>
      <c r="K6" s="13" t="s">
        <v>65</v>
      </c>
    </row>
    <row r="7" spans="1:11" ht="15.75" x14ac:dyDescent="0.25">
      <c r="A7" s="3">
        <v>3</v>
      </c>
      <c r="B7" s="3" t="s">
        <v>256</v>
      </c>
      <c r="C7" s="4">
        <v>13800</v>
      </c>
      <c r="D7" s="5">
        <f t="shared" si="1"/>
        <v>46183</v>
      </c>
      <c r="E7" s="14">
        <v>0</v>
      </c>
      <c r="F7" s="13" t="s">
        <v>18</v>
      </c>
      <c r="G7" s="15">
        <v>2427</v>
      </c>
      <c r="H7" s="16">
        <v>0</v>
      </c>
      <c r="I7" s="3" t="s">
        <v>15</v>
      </c>
      <c r="J7" s="5">
        <f t="shared" si="0"/>
        <v>46184</v>
      </c>
      <c r="K7" s="13" t="s">
        <v>102</v>
      </c>
    </row>
    <row r="8" spans="1:11" ht="15.75" x14ac:dyDescent="0.25">
      <c r="A8" s="3">
        <v>4</v>
      </c>
      <c r="B8" s="3" t="s">
        <v>53</v>
      </c>
      <c r="C8" s="4">
        <v>9800</v>
      </c>
      <c r="D8" s="5">
        <f t="shared" si="1"/>
        <v>46183</v>
      </c>
      <c r="E8" s="14">
        <v>0</v>
      </c>
      <c r="F8" s="13" t="s">
        <v>18</v>
      </c>
      <c r="G8" s="15">
        <v>9315</v>
      </c>
      <c r="H8" s="16">
        <v>0</v>
      </c>
      <c r="I8" s="3" t="s">
        <v>15</v>
      </c>
      <c r="J8" s="5">
        <f t="shared" si="0"/>
        <v>46184</v>
      </c>
      <c r="K8" s="13" t="s">
        <v>102</v>
      </c>
    </row>
    <row r="9" spans="1:11" ht="16.5" customHeight="1" x14ac:dyDescent="0.25">
      <c r="A9" s="3">
        <v>5</v>
      </c>
      <c r="B9" s="3"/>
      <c r="C9" s="4"/>
      <c r="D9" s="5">
        <f t="shared" si="1"/>
        <v>46183</v>
      </c>
      <c r="E9" s="14">
        <v>0</v>
      </c>
      <c r="F9" s="13" t="s">
        <v>18</v>
      </c>
      <c r="G9" s="15"/>
      <c r="H9" s="16">
        <v>0</v>
      </c>
      <c r="I9" s="3" t="s">
        <v>15</v>
      </c>
      <c r="J9" s="5">
        <f t="shared" si="0"/>
        <v>46184</v>
      </c>
      <c r="K9" s="13"/>
    </row>
    <row r="10" spans="1:11" ht="18.75" x14ac:dyDescent="0.3">
      <c r="A10" s="3"/>
      <c r="B10" s="17" t="s">
        <v>16</v>
      </c>
      <c r="C10" s="54">
        <f>SUM(C5:C9)</f>
        <v>33470</v>
      </c>
      <c r="D10" s="3"/>
      <c r="E10" s="3"/>
      <c r="F10" s="13"/>
      <c r="G10" s="13"/>
      <c r="H10" s="11"/>
      <c r="I10" s="3"/>
      <c r="J10" s="3"/>
      <c r="K10" s="3"/>
    </row>
    <row r="11" spans="1:11" ht="24.75" x14ac:dyDescent="0.5">
      <c r="A11" s="125" t="s">
        <v>20</v>
      </c>
      <c r="B11" s="126"/>
      <c r="C11" s="126"/>
      <c r="D11" s="126"/>
      <c r="E11" s="126"/>
      <c r="F11" s="126"/>
      <c r="G11" s="126"/>
      <c r="H11" s="126"/>
      <c r="I11" s="126"/>
      <c r="J11" s="126"/>
      <c r="K11" s="127"/>
    </row>
    <row r="12" spans="1:11" ht="18.75" x14ac:dyDescent="0.3">
      <c r="A12" s="19" t="s">
        <v>3</v>
      </c>
      <c r="B12" s="19" t="s">
        <v>21</v>
      </c>
      <c r="C12" s="50" t="s">
        <v>5</v>
      </c>
      <c r="D12" s="1" t="s">
        <v>22</v>
      </c>
      <c r="E12" s="19" t="s">
        <v>7</v>
      </c>
      <c r="F12" s="19" t="s">
        <v>8</v>
      </c>
      <c r="G12" s="19" t="s">
        <v>23</v>
      </c>
      <c r="H12" s="20" t="s">
        <v>24</v>
      </c>
      <c r="I12" s="19" t="s">
        <v>11</v>
      </c>
      <c r="J12" s="19" t="s">
        <v>25</v>
      </c>
      <c r="K12" s="21" t="s">
        <v>26</v>
      </c>
    </row>
    <row r="13" spans="1:11" ht="15.75" x14ac:dyDescent="0.25">
      <c r="A13" s="8">
        <v>1</v>
      </c>
      <c r="B13" s="8" t="s">
        <v>41</v>
      </c>
      <c r="C13" s="47">
        <v>37466</v>
      </c>
      <c r="D13" s="5">
        <v>46183</v>
      </c>
      <c r="E13" s="8"/>
      <c r="F13" s="8"/>
      <c r="G13" s="22">
        <v>31</v>
      </c>
      <c r="H13" s="23"/>
      <c r="I13" s="24"/>
      <c r="J13" s="3"/>
      <c r="K13" s="13" t="s">
        <v>115</v>
      </c>
    </row>
    <row r="14" spans="1:11" ht="15.75" x14ac:dyDescent="0.25">
      <c r="A14" s="8">
        <v>2</v>
      </c>
      <c r="B14" s="8" t="s">
        <v>274</v>
      </c>
      <c r="C14" s="47">
        <v>116.82</v>
      </c>
      <c r="D14" s="5">
        <v>46183</v>
      </c>
      <c r="E14" s="8"/>
      <c r="F14" s="8"/>
      <c r="G14" s="22">
        <v>0</v>
      </c>
      <c r="H14" s="23"/>
      <c r="I14" s="24"/>
      <c r="J14" s="3"/>
      <c r="K14" s="13" t="s">
        <v>296</v>
      </c>
    </row>
    <row r="15" spans="1:11" ht="15.75" x14ac:dyDescent="0.25">
      <c r="A15" s="8">
        <v>3</v>
      </c>
      <c r="B15" s="8" t="s">
        <v>185</v>
      </c>
      <c r="C15" s="47">
        <v>1000</v>
      </c>
      <c r="D15" s="5">
        <v>46183</v>
      </c>
      <c r="E15" s="8"/>
      <c r="F15" s="8"/>
      <c r="G15" s="22">
        <v>179</v>
      </c>
      <c r="H15" s="23"/>
      <c r="I15" s="24"/>
      <c r="J15" s="3"/>
      <c r="K15" s="13" t="s">
        <v>278</v>
      </c>
    </row>
    <row r="16" spans="1:11" ht="15.75" x14ac:dyDescent="0.25">
      <c r="A16" s="8">
        <v>4</v>
      </c>
      <c r="B16" s="8"/>
      <c r="C16" s="47">
        <v>0</v>
      </c>
      <c r="D16" s="5"/>
      <c r="E16" s="8"/>
      <c r="F16" s="8"/>
      <c r="G16" s="22"/>
      <c r="H16" s="23"/>
      <c r="I16" s="24"/>
      <c r="J16" s="3"/>
      <c r="K16" s="13"/>
    </row>
    <row r="17" spans="1:11" ht="18.75" x14ac:dyDescent="0.25">
      <c r="A17" s="8"/>
      <c r="B17" s="25" t="s">
        <v>27</v>
      </c>
      <c r="C17" s="51">
        <f>SUM(C13:C16)</f>
        <v>38582.82</v>
      </c>
      <c r="D17" s="3"/>
      <c r="E17" s="8"/>
      <c r="F17" s="8"/>
      <c r="G17" s="8"/>
      <c r="H17" s="27">
        <v>0</v>
      </c>
      <c r="I17" s="24"/>
      <c r="J17" s="3"/>
      <c r="K17" s="28"/>
    </row>
    <row r="18" spans="1:11" x14ac:dyDescent="0.25">
      <c r="C18" s="29"/>
      <c r="H18" s="29"/>
    </row>
    <row r="19" spans="1:11" ht="16.5" x14ac:dyDescent="0.3">
      <c r="B19" s="30" t="s">
        <v>28</v>
      </c>
      <c r="C19" s="31">
        <f>SUM(C8,C7)</f>
        <v>23600</v>
      </c>
      <c r="E19" s="32"/>
      <c r="F19" s="32"/>
      <c r="G19" s="116"/>
      <c r="H19" s="116"/>
    </row>
    <row r="20" spans="1:11" ht="16.5" x14ac:dyDescent="0.3">
      <c r="B20" s="33" t="s">
        <v>29</v>
      </c>
      <c r="C20" s="34">
        <f>SUM(C5,C6)</f>
        <v>9870</v>
      </c>
      <c r="E20" s="35"/>
      <c r="F20" s="35"/>
      <c r="G20" s="36" t="s">
        <v>30</v>
      </c>
      <c r="H20" s="37"/>
    </row>
    <row r="21" spans="1:11" ht="24" x14ac:dyDescent="0.4">
      <c r="B21" s="38" t="s">
        <v>31</v>
      </c>
      <c r="C21" s="39"/>
      <c r="E21" s="40" t="s">
        <v>32</v>
      </c>
      <c r="F21" s="41"/>
      <c r="G21" s="42"/>
      <c r="H21" s="43"/>
      <c r="I21" s="42"/>
      <c r="J21" s="44"/>
    </row>
    <row r="22" spans="1:11" ht="18.75" x14ac:dyDescent="0.3">
      <c r="B22" s="45" t="s">
        <v>16</v>
      </c>
      <c r="C22" s="46">
        <f>SUM(C19:C21)</f>
        <v>33470</v>
      </c>
      <c r="G22" s="36"/>
      <c r="H22" s="37"/>
      <c r="I22" s="36"/>
      <c r="J22" s="36"/>
    </row>
  </sheetData>
  <mergeCells count="5">
    <mergeCell ref="G19:H19"/>
    <mergeCell ref="A1:K1"/>
    <mergeCell ref="A2:K2"/>
    <mergeCell ref="A3:K3"/>
    <mergeCell ref="A11:K11"/>
  </mergeCells>
  <pageMargins left="0.59055118110236215" right="0.15748031496062992" top="0.47244094488188976" bottom="0.23622047244094488" header="0.31496062992125984" footer="0.31496062992125984"/>
  <pageSetup scale="91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BC48C-5827-4FAF-B11B-59817FE75AA8}">
  <sheetPr>
    <pageSetUpPr fitToPage="1"/>
  </sheetPr>
  <dimension ref="A1:K21"/>
  <sheetViews>
    <sheetView workbookViewId="0">
      <selection sqref="A1:K21"/>
    </sheetView>
  </sheetViews>
  <sheetFormatPr defaultRowHeight="15" x14ac:dyDescent="0.25"/>
  <cols>
    <col min="1" max="1" width="4.42578125" bestFit="1" customWidth="1"/>
    <col min="2" max="2" width="20.5703125" bestFit="1" customWidth="1"/>
    <col min="3" max="3" width="12.570312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31.5703125" customWidth="1"/>
  </cols>
  <sheetData>
    <row r="1" spans="1:11" ht="48.75" x14ac:dyDescent="0.25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297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298</v>
      </c>
      <c r="C5" s="4">
        <v>900</v>
      </c>
      <c r="D5" s="5">
        <v>46184</v>
      </c>
      <c r="E5" s="14">
        <v>0</v>
      </c>
      <c r="F5" s="13" t="s">
        <v>18</v>
      </c>
      <c r="G5" s="15">
        <v>9249</v>
      </c>
      <c r="H5" s="16">
        <v>0</v>
      </c>
      <c r="I5" s="3" t="s">
        <v>19</v>
      </c>
      <c r="J5" s="5">
        <f t="shared" ref="J5:J10" si="0">+D5+1</f>
        <v>46185</v>
      </c>
      <c r="K5" s="13" t="s">
        <v>267</v>
      </c>
    </row>
    <row r="6" spans="1:11" ht="15.75" x14ac:dyDescent="0.25">
      <c r="A6" s="3">
        <v>2</v>
      </c>
      <c r="B6" s="3" t="s">
        <v>299</v>
      </c>
      <c r="C6" s="4">
        <v>660</v>
      </c>
      <c r="D6" s="5">
        <f t="shared" ref="D6:D10" si="1">+D5</f>
        <v>46184</v>
      </c>
      <c r="E6" s="14">
        <v>0</v>
      </c>
      <c r="F6" s="13" t="s">
        <v>18</v>
      </c>
      <c r="G6" s="15">
        <v>5290</v>
      </c>
      <c r="H6" s="16">
        <v>0</v>
      </c>
      <c r="I6" s="3" t="s">
        <v>15</v>
      </c>
      <c r="J6" s="5">
        <f t="shared" si="0"/>
        <v>46185</v>
      </c>
      <c r="K6" s="13" t="s">
        <v>267</v>
      </c>
    </row>
    <row r="7" spans="1:11" ht="15.75" x14ac:dyDescent="0.25">
      <c r="A7" s="3">
        <v>3</v>
      </c>
      <c r="B7" s="3" t="s">
        <v>300</v>
      </c>
      <c r="C7" s="4">
        <v>2210</v>
      </c>
      <c r="D7" s="5">
        <f t="shared" si="1"/>
        <v>46184</v>
      </c>
      <c r="E7" s="14">
        <v>0</v>
      </c>
      <c r="F7" s="13" t="s">
        <v>18</v>
      </c>
      <c r="G7" s="15">
        <v>3019</v>
      </c>
      <c r="H7" s="16">
        <v>0</v>
      </c>
      <c r="I7" s="3" t="s">
        <v>15</v>
      </c>
      <c r="J7" s="5">
        <f t="shared" si="0"/>
        <v>46185</v>
      </c>
      <c r="K7" s="13" t="s">
        <v>267</v>
      </c>
    </row>
    <row r="8" spans="1:11" ht="15.75" x14ac:dyDescent="0.25">
      <c r="A8" s="3">
        <v>4</v>
      </c>
      <c r="B8" s="3" t="s">
        <v>301</v>
      </c>
      <c r="C8" s="4">
        <v>16500</v>
      </c>
      <c r="D8" s="5">
        <f t="shared" si="1"/>
        <v>46184</v>
      </c>
      <c r="E8" s="14">
        <v>0</v>
      </c>
      <c r="F8" s="13" t="s">
        <v>18</v>
      </c>
      <c r="G8" s="15">
        <v>3248</v>
      </c>
      <c r="H8" s="16">
        <v>0</v>
      </c>
      <c r="I8" s="3" t="s">
        <v>15</v>
      </c>
      <c r="J8" s="5">
        <f t="shared" si="0"/>
        <v>46185</v>
      </c>
      <c r="K8" s="13" t="s">
        <v>187</v>
      </c>
    </row>
    <row r="9" spans="1:11" ht="15.75" x14ac:dyDescent="0.25">
      <c r="A9" s="3">
        <v>5</v>
      </c>
      <c r="B9" s="3" t="s">
        <v>302</v>
      </c>
      <c r="C9" s="4">
        <v>980</v>
      </c>
      <c r="D9" s="5">
        <f t="shared" si="1"/>
        <v>46184</v>
      </c>
      <c r="E9" s="14">
        <v>0</v>
      </c>
      <c r="F9" s="13" t="s">
        <v>18</v>
      </c>
      <c r="G9" s="15">
        <v>2607</v>
      </c>
      <c r="H9" s="16">
        <v>0</v>
      </c>
      <c r="I9" s="3" t="s">
        <v>15</v>
      </c>
      <c r="J9" s="5">
        <f t="shared" si="0"/>
        <v>46185</v>
      </c>
      <c r="K9" s="13" t="s">
        <v>187</v>
      </c>
    </row>
    <row r="10" spans="1:11" ht="15.75" x14ac:dyDescent="0.25">
      <c r="A10" s="3">
        <v>6</v>
      </c>
      <c r="B10" s="3" t="s">
        <v>303</v>
      </c>
      <c r="C10" s="4">
        <v>70</v>
      </c>
      <c r="D10" s="5">
        <f t="shared" si="1"/>
        <v>46184</v>
      </c>
      <c r="E10" s="14">
        <v>0</v>
      </c>
      <c r="F10" s="13" t="s">
        <v>18</v>
      </c>
      <c r="G10" s="15">
        <v>4035</v>
      </c>
      <c r="H10" s="16">
        <v>0</v>
      </c>
      <c r="I10" s="3" t="s">
        <v>15</v>
      </c>
      <c r="J10" s="5">
        <f t="shared" si="0"/>
        <v>46185</v>
      </c>
      <c r="K10" s="13" t="s">
        <v>267</v>
      </c>
    </row>
    <row r="11" spans="1:11" ht="18.75" x14ac:dyDescent="0.3">
      <c r="A11" s="3"/>
      <c r="B11" s="17" t="s">
        <v>16</v>
      </c>
      <c r="C11" s="54">
        <f>SUM(C5:C10)</f>
        <v>21320</v>
      </c>
      <c r="D11" s="3"/>
      <c r="E11" s="3"/>
      <c r="F11" s="13"/>
      <c r="G11" s="13"/>
      <c r="H11" s="11"/>
      <c r="I11" s="3"/>
      <c r="J11" s="3"/>
      <c r="K11" s="3"/>
    </row>
    <row r="12" spans="1:11" ht="24.75" x14ac:dyDescent="0.5">
      <c r="A12" s="125" t="s">
        <v>20</v>
      </c>
      <c r="B12" s="126"/>
      <c r="C12" s="126"/>
      <c r="D12" s="126"/>
      <c r="E12" s="126"/>
      <c r="F12" s="126"/>
      <c r="G12" s="126"/>
      <c r="H12" s="126"/>
      <c r="I12" s="126"/>
      <c r="J12" s="126"/>
      <c r="K12" s="127"/>
    </row>
    <row r="13" spans="1:11" ht="18.75" x14ac:dyDescent="0.3">
      <c r="A13" s="19" t="s">
        <v>3</v>
      </c>
      <c r="B13" s="19" t="s">
        <v>21</v>
      </c>
      <c r="C13" s="50" t="s">
        <v>5</v>
      </c>
      <c r="D13" s="1" t="s">
        <v>22</v>
      </c>
      <c r="E13" s="19" t="s">
        <v>7</v>
      </c>
      <c r="F13" s="19" t="s">
        <v>8</v>
      </c>
      <c r="G13" s="19" t="s">
        <v>23</v>
      </c>
      <c r="H13" s="20" t="s">
        <v>24</v>
      </c>
      <c r="I13" s="19" t="s">
        <v>11</v>
      </c>
      <c r="J13" s="19" t="s">
        <v>25</v>
      </c>
      <c r="K13" s="21" t="s">
        <v>26</v>
      </c>
    </row>
    <row r="14" spans="1:11" ht="15.75" x14ac:dyDescent="0.25">
      <c r="A14" s="8">
        <v>1</v>
      </c>
      <c r="B14" s="8" t="s">
        <v>64</v>
      </c>
      <c r="C14" s="47">
        <v>19586</v>
      </c>
      <c r="D14" s="5">
        <v>46184</v>
      </c>
      <c r="E14" s="8"/>
      <c r="F14" s="8"/>
      <c r="G14" s="22">
        <v>18</v>
      </c>
      <c r="H14" s="23"/>
      <c r="I14" s="24"/>
      <c r="J14" s="3"/>
      <c r="K14" s="13" t="s">
        <v>267</v>
      </c>
    </row>
    <row r="15" spans="1:11" ht="15.75" x14ac:dyDescent="0.25">
      <c r="A15" s="8">
        <v>2</v>
      </c>
      <c r="B15" s="8"/>
      <c r="C15" s="47">
        <v>0</v>
      </c>
      <c r="D15" s="5"/>
      <c r="E15" s="8"/>
      <c r="F15" s="8"/>
      <c r="G15" s="22"/>
      <c r="H15" s="23"/>
      <c r="I15" s="24"/>
      <c r="J15" s="3"/>
      <c r="K15" s="13"/>
    </row>
    <row r="16" spans="1:11" ht="18.75" x14ac:dyDescent="0.25">
      <c r="A16" s="8"/>
      <c r="B16" s="25" t="s">
        <v>27</v>
      </c>
      <c r="C16" s="51">
        <f>SUM(C14:C15)</f>
        <v>19586</v>
      </c>
      <c r="D16" s="3"/>
      <c r="E16" s="8"/>
      <c r="F16" s="8"/>
      <c r="G16" s="8"/>
      <c r="H16" s="27">
        <v>0</v>
      </c>
      <c r="I16" s="24"/>
      <c r="J16" s="3"/>
      <c r="K16" s="28"/>
    </row>
    <row r="17" spans="2:10" x14ac:dyDescent="0.25">
      <c r="C17" s="29"/>
      <c r="H17" s="29"/>
    </row>
    <row r="18" spans="2:10" ht="16.5" x14ac:dyDescent="0.3">
      <c r="B18" s="30" t="s">
        <v>28</v>
      </c>
      <c r="C18" s="31">
        <v>0</v>
      </c>
      <c r="E18" s="32"/>
      <c r="F18" s="32"/>
      <c r="G18" s="116"/>
      <c r="H18" s="116"/>
    </row>
    <row r="19" spans="2:10" ht="16.5" x14ac:dyDescent="0.3">
      <c r="B19" s="33" t="s">
        <v>29</v>
      </c>
      <c r="C19" s="34">
        <f>SUM(C5,C6,C7,C10)</f>
        <v>3840</v>
      </c>
      <c r="E19" s="35"/>
      <c r="F19" s="35"/>
      <c r="G19" s="36" t="s">
        <v>30</v>
      </c>
      <c r="H19" s="37"/>
    </row>
    <row r="20" spans="2:10" ht="24" x14ac:dyDescent="0.4">
      <c r="B20" s="38" t="s">
        <v>31</v>
      </c>
      <c r="C20" s="39">
        <f>SUM(C8,C9)</f>
        <v>17480</v>
      </c>
      <c r="E20" s="40" t="s">
        <v>32</v>
      </c>
      <c r="F20" s="41"/>
      <c r="G20" s="42"/>
      <c r="H20" s="43"/>
      <c r="I20" s="42"/>
      <c r="J20" s="44"/>
    </row>
    <row r="21" spans="2:10" ht="18.75" x14ac:dyDescent="0.3">
      <c r="B21" s="45" t="s">
        <v>16</v>
      </c>
      <c r="C21" s="46">
        <f>SUM(C18:C20)</f>
        <v>21320</v>
      </c>
      <c r="G21" s="36"/>
      <c r="H21" s="37"/>
      <c r="I21" s="36"/>
      <c r="J21" s="36"/>
    </row>
  </sheetData>
  <mergeCells count="5">
    <mergeCell ref="G18:H18"/>
    <mergeCell ref="A1:K1"/>
    <mergeCell ref="A2:K2"/>
    <mergeCell ref="A3:K3"/>
    <mergeCell ref="A12:K12"/>
  </mergeCells>
  <pageMargins left="0.59055118110236215" right="0.15748031496062992" top="0.47244094488188976" bottom="0.23622047244094488" header="0.31496062992125984" footer="0.31496062992125984"/>
  <pageSetup scale="86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4BE1E-4BD6-4F5A-8B5B-EAE639B66463}">
  <sheetPr>
    <pageSetUpPr fitToPage="1"/>
  </sheetPr>
  <dimension ref="A1:K28"/>
  <sheetViews>
    <sheetView workbookViewId="0">
      <selection activeCell="P2" sqref="P2"/>
    </sheetView>
  </sheetViews>
  <sheetFormatPr defaultRowHeight="15" x14ac:dyDescent="0.25"/>
  <cols>
    <col min="1" max="1" width="4.42578125" bestFit="1" customWidth="1"/>
    <col min="2" max="2" width="24.85546875" bestFit="1" customWidth="1"/>
    <col min="3" max="3" width="14.4257812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6.140625" customWidth="1"/>
  </cols>
  <sheetData>
    <row r="1" spans="1:11" ht="48.75" x14ac:dyDescent="0.25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315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305</v>
      </c>
      <c r="C5" s="4">
        <v>18673</v>
      </c>
      <c r="D5" s="5">
        <v>46185</v>
      </c>
      <c r="E5" s="14">
        <v>0</v>
      </c>
      <c r="F5" s="13" t="s">
        <v>18</v>
      </c>
      <c r="G5" s="15">
        <v>5278</v>
      </c>
      <c r="H5" s="16">
        <v>0</v>
      </c>
      <c r="I5" s="3" t="s">
        <v>19</v>
      </c>
      <c r="J5" s="5">
        <f t="shared" ref="J5:J12" si="0">+D5+1</f>
        <v>46186</v>
      </c>
      <c r="K5" s="13" t="s">
        <v>317</v>
      </c>
    </row>
    <row r="6" spans="1:11" ht="15.75" x14ac:dyDescent="0.25">
      <c r="A6" s="3">
        <v>2</v>
      </c>
      <c r="B6" s="3" t="s">
        <v>306</v>
      </c>
      <c r="C6" s="4">
        <v>660</v>
      </c>
      <c r="D6" s="5">
        <f t="shared" ref="D6:D12" si="1">+D5</f>
        <v>46185</v>
      </c>
      <c r="E6" s="14">
        <v>0</v>
      </c>
      <c r="F6" s="13" t="s">
        <v>18</v>
      </c>
      <c r="G6" s="15">
        <v>8403</v>
      </c>
      <c r="H6" s="16">
        <v>0</v>
      </c>
      <c r="I6" s="3" t="s">
        <v>15</v>
      </c>
      <c r="J6" s="5">
        <f t="shared" si="0"/>
        <v>46186</v>
      </c>
      <c r="K6" s="13" t="s">
        <v>115</v>
      </c>
    </row>
    <row r="7" spans="1:11" ht="15.75" x14ac:dyDescent="0.25">
      <c r="A7" s="3">
        <v>3</v>
      </c>
      <c r="B7" s="3" t="s">
        <v>307</v>
      </c>
      <c r="C7" s="4">
        <v>8300</v>
      </c>
      <c r="D7" s="5">
        <f t="shared" si="1"/>
        <v>46185</v>
      </c>
      <c r="E7" s="14">
        <v>0</v>
      </c>
      <c r="F7" s="13" t="s">
        <v>18</v>
      </c>
      <c r="G7" s="15">
        <v>3757</v>
      </c>
      <c r="H7" s="16">
        <v>0</v>
      </c>
      <c r="I7" s="3" t="s">
        <v>15</v>
      </c>
      <c r="J7" s="5">
        <f t="shared" si="0"/>
        <v>46186</v>
      </c>
      <c r="K7" s="13" t="s">
        <v>317</v>
      </c>
    </row>
    <row r="8" spans="1:11" ht="15.75" x14ac:dyDescent="0.25">
      <c r="A8" s="3">
        <v>4</v>
      </c>
      <c r="B8" s="3" t="s">
        <v>308</v>
      </c>
      <c r="C8" s="4">
        <v>2885</v>
      </c>
      <c r="D8" s="5">
        <f t="shared" si="1"/>
        <v>46185</v>
      </c>
      <c r="E8" s="14">
        <v>0</v>
      </c>
      <c r="F8" s="13" t="s">
        <v>18</v>
      </c>
      <c r="G8" s="15">
        <v>1960</v>
      </c>
      <c r="H8" s="16">
        <v>0</v>
      </c>
      <c r="I8" s="3" t="s">
        <v>15</v>
      </c>
      <c r="J8" s="5">
        <f t="shared" si="0"/>
        <v>46186</v>
      </c>
      <c r="K8" s="13" t="s">
        <v>318</v>
      </c>
    </row>
    <row r="9" spans="1:11" ht="15.75" x14ac:dyDescent="0.25">
      <c r="A9" s="3">
        <v>5</v>
      </c>
      <c r="B9" s="3" t="s">
        <v>309</v>
      </c>
      <c r="C9" s="4">
        <v>6885</v>
      </c>
      <c r="D9" s="5">
        <f t="shared" si="1"/>
        <v>46185</v>
      </c>
      <c r="E9" s="14">
        <v>0</v>
      </c>
      <c r="F9" s="13" t="s">
        <v>18</v>
      </c>
      <c r="G9" s="15">
        <v>9210</v>
      </c>
      <c r="H9" s="16">
        <v>0</v>
      </c>
      <c r="I9" s="3" t="s">
        <v>15</v>
      </c>
      <c r="J9" s="5">
        <f t="shared" si="0"/>
        <v>46186</v>
      </c>
      <c r="K9" s="13" t="s">
        <v>320</v>
      </c>
    </row>
    <row r="10" spans="1:11" ht="15.75" x14ac:dyDescent="0.25">
      <c r="A10" s="3">
        <v>6</v>
      </c>
      <c r="B10" s="3" t="s">
        <v>310</v>
      </c>
      <c r="C10" s="4">
        <v>4335</v>
      </c>
      <c r="D10" s="5">
        <f t="shared" si="1"/>
        <v>46185</v>
      </c>
      <c r="E10" s="14">
        <v>0</v>
      </c>
      <c r="F10" s="13" t="s">
        <v>18</v>
      </c>
      <c r="G10" s="15">
        <v>2722</v>
      </c>
      <c r="H10" s="16">
        <v>0</v>
      </c>
      <c r="I10" s="3" t="s">
        <v>15</v>
      </c>
      <c r="J10" s="5">
        <f t="shared" si="0"/>
        <v>46186</v>
      </c>
      <c r="K10" s="13" t="s">
        <v>115</v>
      </c>
    </row>
    <row r="11" spans="1:11" ht="15.75" x14ac:dyDescent="0.25">
      <c r="A11" s="3">
        <v>7</v>
      </c>
      <c r="B11" s="3" t="s">
        <v>261</v>
      </c>
      <c r="C11" s="4">
        <v>53000</v>
      </c>
      <c r="D11" s="5">
        <f t="shared" si="1"/>
        <v>46185</v>
      </c>
      <c r="E11" s="14">
        <v>0</v>
      </c>
      <c r="F11" s="13" t="s">
        <v>18</v>
      </c>
      <c r="G11" s="15">
        <v>1814</v>
      </c>
      <c r="H11" s="16">
        <v>0</v>
      </c>
      <c r="I11" s="3" t="s">
        <v>15</v>
      </c>
      <c r="J11" s="5">
        <f t="shared" si="0"/>
        <v>46186</v>
      </c>
      <c r="K11" s="13" t="s">
        <v>261</v>
      </c>
    </row>
    <row r="12" spans="1:11" ht="15" customHeight="1" x14ac:dyDescent="0.25">
      <c r="A12" s="3">
        <v>8</v>
      </c>
      <c r="B12" s="3" t="s">
        <v>260</v>
      </c>
      <c r="C12" s="4">
        <v>20000</v>
      </c>
      <c r="D12" s="5">
        <f t="shared" si="1"/>
        <v>46185</v>
      </c>
      <c r="E12" s="14">
        <v>0</v>
      </c>
      <c r="F12" s="13" t="s">
        <v>18</v>
      </c>
      <c r="G12" s="15">
        <v>7422</v>
      </c>
      <c r="H12" s="16">
        <v>0</v>
      </c>
      <c r="I12" s="3" t="s">
        <v>15</v>
      </c>
      <c r="J12" s="5">
        <f t="shared" si="0"/>
        <v>46186</v>
      </c>
      <c r="K12" s="13" t="s">
        <v>262</v>
      </c>
    </row>
    <row r="13" spans="1:11" ht="18.75" x14ac:dyDescent="0.3">
      <c r="A13" s="3"/>
      <c r="B13" s="17" t="s">
        <v>16</v>
      </c>
      <c r="C13" s="54">
        <f>SUM(C5:C12)</f>
        <v>114738</v>
      </c>
      <c r="D13" s="3"/>
      <c r="E13" s="3"/>
      <c r="F13" s="13"/>
      <c r="G13" s="13"/>
      <c r="H13" s="11"/>
      <c r="I13" s="3"/>
      <c r="J13" s="3"/>
      <c r="K13" s="3"/>
    </row>
    <row r="14" spans="1:11" ht="24.75" x14ac:dyDescent="0.5">
      <c r="A14" s="125" t="s">
        <v>20</v>
      </c>
      <c r="B14" s="126"/>
      <c r="C14" s="126"/>
      <c r="D14" s="126"/>
      <c r="E14" s="126"/>
      <c r="F14" s="126"/>
      <c r="G14" s="126"/>
      <c r="H14" s="126"/>
      <c r="I14" s="126"/>
      <c r="J14" s="126"/>
      <c r="K14" s="127"/>
    </row>
    <row r="15" spans="1:11" ht="18.75" x14ac:dyDescent="0.3">
      <c r="A15" s="19" t="s">
        <v>3</v>
      </c>
      <c r="B15" s="19" t="s">
        <v>21</v>
      </c>
      <c r="C15" s="50" t="s">
        <v>5</v>
      </c>
      <c r="D15" s="1" t="s">
        <v>22</v>
      </c>
      <c r="E15" s="19" t="s">
        <v>7</v>
      </c>
      <c r="F15" s="19" t="s">
        <v>8</v>
      </c>
      <c r="G15" s="19" t="s">
        <v>23</v>
      </c>
      <c r="H15" s="20" t="s">
        <v>24</v>
      </c>
      <c r="I15" s="19" t="s">
        <v>11</v>
      </c>
      <c r="J15" s="19" t="s">
        <v>25</v>
      </c>
      <c r="K15" s="21" t="s">
        <v>26</v>
      </c>
    </row>
    <row r="16" spans="1:11" ht="15.75" x14ac:dyDescent="0.25">
      <c r="A16" s="8">
        <v>1</v>
      </c>
      <c r="B16" s="8" t="s">
        <v>311</v>
      </c>
      <c r="C16" s="47">
        <v>37937</v>
      </c>
      <c r="D16" s="5">
        <v>46185</v>
      </c>
      <c r="E16" s="8"/>
      <c r="F16" s="8"/>
      <c r="G16" s="22">
        <v>7845</v>
      </c>
      <c r="H16" s="23"/>
      <c r="I16" s="24"/>
      <c r="J16" s="3"/>
      <c r="K16" s="13" t="s">
        <v>277</v>
      </c>
    </row>
    <row r="17" spans="1:11" ht="15.75" x14ac:dyDescent="0.25">
      <c r="A17" s="8">
        <v>2</v>
      </c>
      <c r="B17" s="8" t="s">
        <v>41</v>
      </c>
      <c r="C17" s="47">
        <v>13126</v>
      </c>
      <c r="D17" s="5">
        <v>46185</v>
      </c>
      <c r="E17" s="8"/>
      <c r="F17" s="8"/>
      <c r="G17" s="22">
        <v>121</v>
      </c>
      <c r="H17" s="23"/>
      <c r="I17" s="24"/>
      <c r="J17" s="3"/>
      <c r="K17" s="13" t="s">
        <v>115</v>
      </c>
    </row>
    <row r="18" spans="1:11" ht="15.75" x14ac:dyDescent="0.25">
      <c r="A18" s="8">
        <v>3</v>
      </c>
      <c r="B18" s="8" t="s">
        <v>312</v>
      </c>
      <c r="C18" s="47">
        <v>60600</v>
      </c>
      <c r="D18" s="5">
        <v>46185</v>
      </c>
      <c r="E18" s="8"/>
      <c r="F18" s="8"/>
      <c r="G18" s="22">
        <v>4527</v>
      </c>
      <c r="H18" s="23"/>
      <c r="I18" s="24"/>
      <c r="J18" s="3"/>
      <c r="K18" s="13" t="s">
        <v>319</v>
      </c>
    </row>
    <row r="19" spans="1:11" ht="15.75" x14ac:dyDescent="0.25">
      <c r="A19" s="8">
        <v>4</v>
      </c>
      <c r="B19" s="8" t="s">
        <v>257</v>
      </c>
      <c r="C19" s="47">
        <v>360.2</v>
      </c>
      <c r="D19" s="5">
        <v>46185</v>
      </c>
      <c r="E19" s="8"/>
      <c r="F19" s="8"/>
      <c r="G19" s="22">
        <v>0</v>
      </c>
      <c r="H19" s="23"/>
      <c r="I19" s="24"/>
      <c r="J19" s="3"/>
      <c r="K19" s="13" t="s">
        <v>316</v>
      </c>
    </row>
    <row r="20" spans="1:11" ht="15.75" x14ac:dyDescent="0.25">
      <c r="A20" s="8">
        <v>5</v>
      </c>
      <c r="B20" s="8" t="s">
        <v>313</v>
      </c>
      <c r="C20" s="47">
        <v>5600</v>
      </c>
      <c r="D20" s="5">
        <v>46185</v>
      </c>
      <c r="E20" s="8"/>
      <c r="F20" s="8"/>
      <c r="G20" s="22">
        <v>5394</v>
      </c>
      <c r="H20" s="23"/>
      <c r="I20" s="24"/>
      <c r="J20" s="3"/>
      <c r="K20" s="13" t="s">
        <v>314</v>
      </c>
    </row>
    <row r="21" spans="1:11" ht="15.75" x14ac:dyDescent="0.25">
      <c r="A21" s="8">
        <v>6</v>
      </c>
      <c r="B21" s="8"/>
      <c r="C21" s="47">
        <v>0</v>
      </c>
      <c r="D21" s="5"/>
      <c r="E21" s="8"/>
      <c r="F21" s="8"/>
      <c r="G21" s="22"/>
      <c r="H21" s="23"/>
      <c r="I21" s="24"/>
      <c r="J21" s="3"/>
      <c r="K21" s="13"/>
    </row>
    <row r="22" spans="1:11" ht="18.75" x14ac:dyDescent="0.25">
      <c r="A22" s="8"/>
      <c r="B22" s="25" t="s">
        <v>27</v>
      </c>
      <c r="C22" s="51">
        <f>SUM(C16:C21)</f>
        <v>117623.2</v>
      </c>
      <c r="D22" s="3"/>
      <c r="E22" s="8"/>
      <c r="F22" s="8"/>
      <c r="G22" s="8"/>
      <c r="H22" s="27">
        <v>0</v>
      </c>
      <c r="I22" s="24"/>
      <c r="J22" s="3"/>
      <c r="K22" s="28"/>
    </row>
    <row r="23" spans="1:11" x14ac:dyDescent="0.25">
      <c r="C23" s="29"/>
      <c r="H23" s="29"/>
    </row>
    <row r="24" spans="1:11" ht="16.5" x14ac:dyDescent="0.3">
      <c r="B24" s="30" t="s">
        <v>28</v>
      </c>
      <c r="C24" s="31">
        <f>SUM(C5,C7,C8)</f>
        <v>29858</v>
      </c>
      <c r="E24" s="32"/>
      <c r="F24" s="32"/>
      <c r="G24" s="116"/>
      <c r="H24" s="116"/>
    </row>
    <row r="25" spans="1:11" ht="16.5" x14ac:dyDescent="0.3">
      <c r="B25" s="58" t="s">
        <v>325</v>
      </c>
      <c r="C25" s="59">
        <f>SUM(C9)</f>
        <v>6885</v>
      </c>
      <c r="E25" s="32"/>
      <c r="F25" s="32"/>
      <c r="G25" s="57"/>
      <c r="H25" s="57"/>
    </row>
    <row r="26" spans="1:11" ht="16.5" x14ac:dyDescent="0.3">
      <c r="B26" s="33" t="s">
        <v>29</v>
      </c>
      <c r="C26" s="34">
        <f>SUM(C6,C10)</f>
        <v>4995</v>
      </c>
      <c r="E26" s="35"/>
      <c r="F26" s="35"/>
      <c r="G26" s="36" t="s">
        <v>30</v>
      </c>
      <c r="H26" s="37"/>
    </row>
    <row r="27" spans="1:11" ht="24" x14ac:dyDescent="0.4">
      <c r="B27" s="38" t="s">
        <v>31</v>
      </c>
      <c r="C27" s="39">
        <f>SUM(C11,C12)</f>
        <v>73000</v>
      </c>
      <c r="E27" s="40" t="s">
        <v>32</v>
      </c>
      <c r="F27" s="41"/>
      <c r="G27" s="42"/>
      <c r="H27" s="43"/>
      <c r="I27" s="42"/>
      <c r="J27" s="44"/>
    </row>
    <row r="28" spans="1:11" ht="18.75" x14ac:dyDescent="0.3">
      <c r="B28" s="45" t="s">
        <v>16</v>
      </c>
      <c r="C28" s="46">
        <f>SUM(C24:C27)</f>
        <v>114738</v>
      </c>
      <c r="G28" s="36"/>
      <c r="H28" s="37"/>
      <c r="I28" s="36"/>
      <c r="J28" s="36"/>
    </row>
  </sheetData>
  <mergeCells count="5">
    <mergeCell ref="G24:H24"/>
    <mergeCell ref="A1:K1"/>
    <mergeCell ref="A2:K2"/>
    <mergeCell ref="A3:K3"/>
    <mergeCell ref="A14:K14"/>
  </mergeCells>
  <pageMargins left="0.59055118110236215" right="0.15748031496062992" top="0.47244094488188976" bottom="0.23622047244094488" header="0.31496062992125984" footer="0.31496062992125984"/>
  <pageSetup scale="8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4DE4A-9626-43F2-B03F-41572EA03A45}">
  <sheetPr>
    <pageSetUpPr fitToPage="1"/>
  </sheetPr>
  <dimension ref="A1:K35"/>
  <sheetViews>
    <sheetView workbookViewId="0">
      <selection sqref="A1:K35"/>
    </sheetView>
  </sheetViews>
  <sheetFormatPr defaultRowHeight="15" x14ac:dyDescent="0.25"/>
  <cols>
    <col min="1" max="1" width="4.42578125" bestFit="1" customWidth="1"/>
    <col min="2" max="2" width="28.28515625" bestFit="1" customWidth="1"/>
    <col min="3" max="3" width="14.4257812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36.140625" bestFit="1" customWidth="1"/>
  </cols>
  <sheetData>
    <row r="1" spans="1:11" ht="48.75" x14ac:dyDescent="0.25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326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242</v>
      </c>
      <c r="C5" s="4">
        <v>1460</v>
      </c>
      <c r="D5" s="5">
        <v>46186</v>
      </c>
      <c r="E5" s="14">
        <v>0</v>
      </c>
      <c r="F5" s="13" t="s">
        <v>18</v>
      </c>
      <c r="G5" s="15">
        <v>2539</v>
      </c>
      <c r="H5" s="16">
        <v>0</v>
      </c>
      <c r="I5" s="3" t="s">
        <v>19</v>
      </c>
      <c r="J5" s="5">
        <f t="shared" ref="J5:J19" si="0">+D5+1</f>
        <v>46187</v>
      </c>
      <c r="K5" s="13" t="s">
        <v>65</v>
      </c>
    </row>
    <row r="6" spans="1:11" ht="15.75" x14ac:dyDescent="0.25">
      <c r="A6" s="3">
        <v>2</v>
      </c>
      <c r="B6" s="3" t="s">
        <v>327</v>
      </c>
      <c r="C6" s="4">
        <v>6200</v>
      </c>
      <c r="D6" s="5">
        <f t="shared" ref="D6:D13" si="1">+D5</f>
        <v>46186</v>
      </c>
      <c r="E6" s="14">
        <v>0</v>
      </c>
      <c r="F6" s="13" t="s">
        <v>18</v>
      </c>
      <c r="G6" s="15">
        <v>6406</v>
      </c>
      <c r="H6" s="16">
        <v>0</v>
      </c>
      <c r="I6" s="3" t="s">
        <v>15</v>
      </c>
      <c r="J6" s="5">
        <f t="shared" si="0"/>
        <v>46187</v>
      </c>
      <c r="K6" s="13" t="s">
        <v>65</v>
      </c>
    </row>
    <row r="7" spans="1:11" ht="15.75" x14ac:dyDescent="0.25">
      <c r="A7" s="3">
        <v>3</v>
      </c>
      <c r="B7" s="3" t="s">
        <v>313</v>
      </c>
      <c r="C7" s="4">
        <v>180</v>
      </c>
      <c r="D7" s="5">
        <f t="shared" si="1"/>
        <v>46186</v>
      </c>
      <c r="E7" s="14">
        <v>0</v>
      </c>
      <c r="F7" s="13" t="s">
        <v>18</v>
      </c>
      <c r="G7" s="15">
        <v>9178</v>
      </c>
      <c r="H7" s="16">
        <v>0</v>
      </c>
      <c r="I7" s="3" t="s">
        <v>15</v>
      </c>
      <c r="J7" s="5">
        <f t="shared" si="0"/>
        <v>46187</v>
      </c>
      <c r="K7" s="13" t="s">
        <v>65</v>
      </c>
    </row>
    <row r="8" spans="1:11" ht="15.75" x14ac:dyDescent="0.25">
      <c r="A8" s="3">
        <v>4</v>
      </c>
      <c r="B8" s="3" t="s">
        <v>328</v>
      </c>
      <c r="C8" s="4">
        <v>28000</v>
      </c>
      <c r="D8" s="5">
        <f t="shared" si="1"/>
        <v>46186</v>
      </c>
      <c r="E8" s="14">
        <v>0</v>
      </c>
      <c r="F8" s="13" t="s">
        <v>18</v>
      </c>
      <c r="G8" s="15">
        <v>8293</v>
      </c>
      <c r="H8" s="16">
        <v>0</v>
      </c>
      <c r="I8" s="3" t="s">
        <v>15</v>
      </c>
      <c r="J8" s="5">
        <f t="shared" si="0"/>
        <v>46187</v>
      </c>
      <c r="K8" s="13" t="s">
        <v>347</v>
      </c>
    </row>
    <row r="9" spans="1:11" ht="15.75" x14ac:dyDescent="0.25">
      <c r="A9" s="3">
        <v>5</v>
      </c>
      <c r="B9" s="3" t="s">
        <v>329</v>
      </c>
      <c r="C9" s="4">
        <v>615</v>
      </c>
      <c r="D9" s="5">
        <f t="shared" si="1"/>
        <v>46186</v>
      </c>
      <c r="E9" s="14">
        <v>0</v>
      </c>
      <c r="F9" s="13" t="s">
        <v>18</v>
      </c>
      <c r="G9" s="15">
        <v>1919</v>
      </c>
      <c r="H9" s="16">
        <v>0</v>
      </c>
      <c r="I9" s="3" t="s">
        <v>15</v>
      </c>
      <c r="J9" s="5">
        <f t="shared" si="0"/>
        <v>46187</v>
      </c>
      <c r="K9" s="13" t="s">
        <v>65</v>
      </c>
    </row>
    <row r="10" spans="1:11" ht="15.75" x14ac:dyDescent="0.25">
      <c r="A10" s="3">
        <v>6</v>
      </c>
      <c r="B10" s="3" t="s">
        <v>330</v>
      </c>
      <c r="C10" s="4">
        <v>1400</v>
      </c>
      <c r="D10" s="5">
        <f t="shared" si="1"/>
        <v>46186</v>
      </c>
      <c r="E10" s="14">
        <v>0</v>
      </c>
      <c r="F10" s="13" t="s">
        <v>18</v>
      </c>
      <c r="G10" s="15">
        <v>736</v>
      </c>
      <c r="H10" s="16">
        <v>0</v>
      </c>
      <c r="I10" s="3" t="s">
        <v>15</v>
      </c>
      <c r="J10" s="5">
        <f t="shared" si="0"/>
        <v>46187</v>
      </c>
      <c r="K10" s="13" t="s">
        <v>65</v>
      </c>
    </row>
    <row r="11" spans="1:11" ht="15.75" x14ac:dyDescent="0.25">
      <c r="A11" s="3">
        <v>7</v>
      </c>
      <c r="B11" s="3" t="s">
        <v>330</v>
      </c>
      <c r="C11" s="4">
        <v>2000</v>
      </c>
      <c r="D11" s="5">
        <f t="shared" si="1"/>
        <v>46186</v>
      </c>
      <c r="E11" s="14">
        <v>0</v>
      </c>
      <c r="F11" s="13" t="s">
        <v>18</v>
      </c>
      <c r="G11" s="15">
        <v>508</v>
      </c>
      <c r="H11" s="16">
        <v>0</v>
      </c>
      <c r="I11" s="3" t="s">
        <v>15</v>
      </c>
      <c r="J11" s="5">
        <f t="shared" si="0"/>
        <v>46187</v>
      </c>
      <c r="K11" s="13" t="s">
        <v>203</v>
      </c>
    </row>
    <row r="12" spans="1:11" ht="15.75" x14ac:dyDescent="0.25">
      <c r="A12" s="3">
        <v>8</v>
      </c>
      <c r="B12" s="3" t="s">
        <v>330</v>
      </c>
      <c r="C12" s="4">
        <v>2000</v>
      </c>
      <c r="D12" s="5">
        <f t="shared" si="1"/>
        <v>46186</v>
      </c>
      <c r="E12" s="14">
        <v>0</v>
      </c>
      <c r="F12" s="13" t="s">
        <v>18</v>
      </c>
      <c r="G12" s="15">
        <v>5300</v>
      </c>
      <c r="H12" s="16">
        <v>0</v>
      </c>
      <c r="I12" s="3" t="s">
        <v>15</v>
      </c>
      <c r="J12" s="5">
        <f t="shared" si="0"/>
        <v>46187</v>
      </c>
      <c r="K12" s="13" t="s">
        <v>203</v>
      </c>
    </row>
    <row r="13" spans="1:11" ht="15.75" x14ac:dyDescent="0.25">
      <c r="A13" s="3">
        <v>9</v>
      </c>
      <c r="B13" s="3" t="s">
        <v>330</v>
      </c>
      <c r="C13" s="4">
        <v>2000</v>
      </c>
      <c r="D13" s="5">
        <f t="shared" si="1"/>
        <v>46186</v>
      </c>
      <c r="E13" s="14">
        <v>0</v>
      </c>
      <c r="F13" s="13" t="s">
        <v>18</v>
      </c>
      <c r="G13" s="15">
        <v>6076</v>
      </c>
      <c r="H13" s="16">
        <v>0</v>
      </c>
      <c r="I13" s="3" t="s">
        <v>15</v>
      </c>
      <c r="J13" s="5">
        <f t="shared" si="0"/>
        <v>46187</v>
      </c>
      <c r="K13" s="13" t="s">
        <v>203</v>
      </c>
    </row>
    <row r="14" spans="1:11" ht="15.75" x14ac:dyDescent="0.25">
      <c r="A14" s="3">
        <v>10</v>
      </c>
      <c r="B14" s="3" t="s">
        <v>331</v>
      </c>
      <c r="C14" s="4">
        <v>20000</v>
      </c>
      <c r="D14" s="5">
        <f t="shared" ref="D14:D19" si="2">+D13</f>
        <v>46186</v>
      </c>
      <c r="E14" s="14">
        <v>0</v>
      </c>
      <c r="F14" s="13" t="s">
        <v>18</v>
      </c>
      <c r="G14" s="15">
        <v>6812</v>
      </c>
      <c r="H14" s="16">
        <v>0</v>
      </c>
      <c r="I14" s="3" t="s">
        <v>15</v>
      </c>
      <c r="J14" s="5">
        <f t="shared" si="0"/>
        <v>46187</v>
      </c>
      <c r="K14" s="13" t="s">
        <v>352</v>
      </c>
    </row>
    <row r="15" spans="1:11" ht="15.75" x14ac:dyDescent="0.25">
      <c r="A15" s="3">
        <v>11</v>
      </c>
      <c r="B15" s="3" t="s">
        <v>332</v>
      </c>
      <c r="C15" s="4">
        <v>2000</v>
      </c>
      <c r="D15" s="5">
        <f t="shared" si="2"/>
        <v>46186</v>
      </c>
      <c r="E15" s="14">
        <v>0</v>
      </c>
      <c r="F15" s="13" t="s">
        <v>18</v>
      </c>
      <c r="G15" s="15">
        <v>489</v>
      </c>
      <c r="H15" s="16">
        <v>0</v>
      </c>
      <c r="I15" s="3" t="s">
        <v>15</v>
      </c>
      <c r="J15" s="5">
        <f t="shared" si="0"/>
        <v>46187</v>
      </c>
      <c r="K15" s="13" t="s">
        <v>349</v>
      </c>
    </row>
    <row r="16" spans="1:11" ht="15.75" x14ac:dyDescent="0.25">
      <c r="A16" s="3">
        <v>12</v>
      </c>
      <c r="B16" s="3" t="s">
        <v>333</v>
      </c>
      <c r="C16" s="4">
        <v>725</v>
      </c>
      <c r="D16" s="5">
        <f t="shared" si="2"/>
        <v>46186</v>
      </c>
      <c r="E16" s="14">
        <v>0</v>
      </c>
      <c r="F16" s="13" t="s">
        <v>18</v>
      </c>
      <c r="G16" s="15">
        <v>3773</v>
      </c>
      <c r="H16" s="16">
        <v>0</v>
      </c>
      <c r="I16" s="3" t="s">
        <v>15</v>
      </c>
      <c r="J16" s="5">
        <f t="shared" si="0"/>
        <v>46187</v>
      </c>
      <c r="K16" s="13" t="s">
        <v>293</v>
      </c>
    </row>
    <row r="17" spans="1:11" ht="15.75" x14ac:dyDescent="0.25">
      <c r="A17" s="3">
        <v>13</v>
      </c>
      <c r="B17" s="3" t="s">
        <v>46</v>
      </c>
      <c r="C17" s="4">
        <v>1500</v>
      </c>
      <c r="D17" s="5">
        <f t="shared" si="2"/>
        <v>46186</v>
      </c>
      <c r="E17" s="14">
        <v>0</v>
      </c>
      <c r="F17" s="13" t="s">
        <v>18</v>
      </c>
      <c r="G17" s="15">
        <v>1945</v>
      </c>
      <c r="H17" s="16">
        <v>0</v>
      </c>
      <c r="I17" s="3" t="s">
        <v>15</v>
      </c>
      <c r="J17" s="5">
        <f t="shared" si="0"/>
        <v>46187</v>
      </c>
      <c r="K17" s="13" t="s">
        <v>261</v>
      </c>
    </row>
    <row r="18" spans="1:11" ht="15.75" x14ac:dyDescent="0.25">
      <c r="A18" s="3">
        <v>14</v>
      </c>
      <c r="B18" s="3" t="s">
        <v>46</v>
      </c>
      <c r="C18" s="4">
        <v>75500</v>
      </c>
      <c r="D18" s="5">
        <f t="shared" si="2"/>
        <v>46186</v>
      </c>
      <c r="E18" s="14">
        <v>0</v>
      </c>
      <c r="F18" s="13" t="s">
        <v>18</v>
      </c>
      <c r="G18" s="15">
        <v>1942</v>
      </c>
      <c r="H18" s="16">
        <v>0</v>
      </c>
      <c r="I18" s="3" t="s">
        <v>15</v>
      </c>
      <c r="J18" s="5">
        <f t="shared" si="0"/>
        <v>46187</v>
      </c>
      <c r="K18" s="13" t="s">
        <v>261</v>
      </c>
    </row>
    <row r="19" spans="1:11" ht="15.75" x14ac:dyDescent="0.25">
      <c r="A19" s="3">
        <v>15</v>
      </c>
      <c r="B19" s="3" t="s">
        <v>46</v>
      </c>
      <c r="C19" s="4">
        <v>100000</v>
      </c>
      <c r="D19" s="5">
        <f t="shared" si="2"/>
        <v>46186</v>
      </c>
      <c r="E19" s="14">
        <v>0</v>
      </c>
      <c r="F19" s="13" t="s">
        <v>18</v>
      </c>
      <c r="G19" s="15">
        <v>1939</v>
      </c>
      <c r="H19" s="16">
        <v>0</v>
      </c>
      <c r="I19" s="3" t="s">
        <v>15</v>
      </c>
      <c r="J19" s="5">
        <f t="shared" si="0"/>
        <v>46187</v>
      </c>
      <c r="K19" s="13" t="s">
        <v>261</v>
      </c>
    </row>
    <row r="20" spans="1:11" ht="18.75" x14ac:dyDescent="0.3">
      <c r="A20" s="3"/>
      <c r="B20" s="17" t="s">
        <v>16</v>
      </c>
      <c r="C20" s="54">
        <f>SUM(C5:C19)</f>
        <v>243580</v>
      </c>
      <c r="D20" s="3"/>
      <c r="E20" s="3"/>
      <c r="F20" s="13"/>
      <c r="G20" s="13"/>
      <c r="H20" s="11"/>
      <c r="I20" s="3"/>
      <c r="J20" s="3"/>
      <c r="K20" s="3"/>
    </row>
    <row r="21" spans="1:11" ht="24.75" x14ac:dyDescent="0.5">
      <c r="A21" s="125" t="s">
        <v>20</v>
      </c>
      <c r="B21" s="126"/>
      <c r="C21" s="126"/>
      <c r="D21" s="126"/>
      <c r="E21" s="126"/>
      <c r="F21" s="126"/>
      <c r="G21" s="126"/>
      <c r="H21" s="126"/>
      <c r="I21" s="126"/>
      <c r="J21" s="126"/>
      <c r="K21" s="127"/>
    </row>
    <row r="22" spans="1:11" ht="18.75" x14ac:dyDescent="0.3">
      <c r="A22" s="19" t="s">
        <v>3</v>
      </c>
      <c r="B22" s="19" t="s">
        <v>21</v>
      </c>
      <c r="C22" s="50" t="s">
        <v>5</v>
      </c>
      <c r="D22" s="1" t="s">
        <v>22</v>
      </c>
      <c r="E22" s="19" t="s">
        <v>7</v>
      </c>
      <c r="F22" s="19" t="s">
        <v>8</v>
      </c>
      <c r="G22" s="19" t="s">
        <v>23</v>
      </c>
      <c r="H22" s="20" t="s">
        <v>24</v>
      </c>
      <c r="I22" s="19" t="s">
        <v>11</v>
      </c>
      <c r="J22" s="19" t="s">
        <v>25</v>
      </c>
      <c r="K22" s="21" t="s">
        <v>26</v>
      </c>
    </row>
    <row r="23" spans="1:11" ht="15.75" x14ac:dyDescent="0.25">
      <c r="A23" s="8">
        <v>1</v>
      </c>
      <c r="B23" s="8" t="s">
        <v>339</v>
      </c>
      <c r="C23" s="47">
        <v>1680</v>
      </c>
      <c r="D23" s="5">
        <v>46186</v>
      </c>
      <c r="E23" s="8"/>
      <c r="F23" s="8"/>
      <c r="G23" s="22">
        <v>5364</v>
      </c>
      <c r="H23" s="23"/>
      <c r="I23" s="24"/>
      <c r="J23" s="3"/>
      <c r="K23" s="13" t="s">
        <v>351</v>
      </c>
    </row>
    <row r="24" spans="1:11" ht="15.75" x14ac:dyDescent="0.25">
      <c r="A24" s="8">
        <v>2</v>
      </c>
      <c r="B24" s="8" t="s">
        <v>185</v>
      </c>
      <c r="C24" s="47">
        <v>1000</v>
      </c>
      <c r="D24" s="5">
        <v>46186</v>
      </c>
      <c r="E24" s="8"/>
      <c r="F24" s="8"/>
      <c r="G24" s="22">
        <v>3475</v>
      </c>
      <c r="H24" s="23"/>
      <c r="I24" s="24"/>
      <c r="J24" s="3"/>
      <c r="K24" s="13" t="s">
        <v>353</v>
      </c>
    </row>
    <row r="25" spans="1:11" ht="15.75" x14ac:dyDescent="0.25">
      <c r="A25" s="8">
        <v>3</v>
      </c>
      <c r="B25" s="8" t="s">
        <v>53</v>
      </c>
      <c r="C25" s="47">
        <v>500</v>
      </c>
      <c r="D25" s="5">
        <v>46186</v>
      </c>
      <c r="E25" s="8"/>
      <c r="F25" s="8"/>
      <c r="G25" s="22">
        <v>8533</v>
      </c>
      <c r="H25" s="23"/>
      <c r="I25" s="24"/>
      <c r="J25" s="3"/>
      <c r="K25" s="13" t="s">
        <v>348</v>
      </c>
    </row>
    <row r="26" spans="1:11" ht="15.75" x14ac:dyDescent="0.25">
      <c r="A26" s="8">
        <v>4</v>
      </c>
      <c r="B26" s="8" t="s">
        <v>312</v>
      </c>
      <c r="C26" s="47">
        <v>56000</v>
      </c>
      <c r="D26" s="5">
        <v>46186</v>
      </c>
      <c r="E26" s="8"/>
      <c r="F26" s="8"/>
      <c r="G26" s="22">
        <v>3438</v>
      </c>
      <c r="H26" s="23"/>
      <c r="I26" s="24"/>
      <c r="J26" s="3"/>
      <c r="K26" s="13" t="s">
        <v>354</v>
      </c>
    </row>
    <row r="27" spans="1:11" ht="15.75" x14ac:dyDescent="0.25">
      <c r="A27" s="8">
        <v>5</v>
      </c>
      <c r="B27" s="8" t="s">
        <v>340</v>
      </c>
      <c r="C27" s="47">
        <v>50825</v>
      </c>
      <c r="D27" s="5">
        <v>46186</v>
      </c>
      <c r="E27" s="8"/>
      <c r="F27" s="8"/>
      <c r="G27" s="22">
        <v>48</v>
      </c>
      <c r="H27" s="23"/>
      <c r="I27" s="24"/>
      <c r="J27" s="3"/>
      <c r="K27" s="13" t="s">
        <v>68</v>
      </c>
    </row>
    <row r="28" spans="1:11" ht="15.75" x14ac:dyDescent="0.25">
      <c r="A28" s="8">
        <v>6</v>
      </c>
      <c r="B28" s="8" t="s">
        <v>341</v>
      </c>
      <c r="C28" s="47">
        <v>3000</v>
      </c>
      <c r="D28" s="5">
        <v>46186</v>
      </c>
      <c r="E28" s="8"/>
      <c r="F28" s="8"/>
      <c r="G28" s="22">
        <v>3236</v>
      </c>
      <c r="H28" s="23"/>
      <c r="I28" s="24"/>
      <c r="J28" s="3"/>
      <c r="K28" s="13" t="s">
        <v>355</v>
      </c>
    </row>
    <row r="29" spans="1:11" ht="15.75" x14ac:dyDescent="0.25">
      <c r="A29" s="8">
        <v>7</v>
      </c>
      <c r="B29" s="8" t="s">
        <v>41</v>
      </c>
      <c r="C29" s="47">
        <v>43161</v>
      </c>
      <c r="D29" s="5">
        <v>46186</v>
      </c>
      <c r="E29" s="8"/>
      <c r="F29" s="8"/>
      <c r="G29" s="22">
        <v>4</v>
      </c>
      <c r="H29" s="23"/>
      <c r="I29" s="24"/>
      <c r="J29" s="3"/>
      <c r="K29" s="13" t="s">
        <v>115</v>
      </c>
    </row>
    <row r="30" spans="1:11" ht="18.75" x14ac:dyDescent="0.25">
      <c r="A30" s="8"/>
      <c r="B30" s="25" t="s">
        <v>27</v>
      </c>
      <c r="C30" s="51">
        <f>SUM(C23:C29)</f>
        <v>156166</v>
      </c>
      <c r="D30" s="3"/>
      <c r="E30" s="8"/>
      <c r="F30" s="8"/>
      <c r="G30" s="8"/>
      <c r="H30" s="27">
        <v>0</v>
      </c>
      <c r="I30" s="24"/>
      <c r="J30" s="3"/>
      <c r="K30" s="28"/>
    </row>
    <row r="31" spans="1:11" x14ac:dyDescent="0.25">
      <c r="C31" s="29"/>
      <c r="H31" s="29"/>
    </row>
    <row r="32" spans="1:11" ht="16.5" x14ac:dyDescent="0.3">
      <c r="B32" s="30" t="s">
        <v>28</v>
      </c>
      <c r="C32" s="31">
        <f>SUM(C8,C11,C12,C13)</f>
        <v>34000</v>
      </c>
      <c r="E32" s="32"/>
      <c r="F32" s="32"/>
      <c r="G32" s="116"/>
      <c r="H32" s="116"/>
    </row>
    <row r="33" spans="2:10" ht="16.5" x14ac:dyDescent="0.3">
      <c r="B33" s="33" t="s">
        <v>29</v>
      </c>
      <c r="C33" s="34">
        <f>SUM(C5,C6,C7,C9,C10,C16)</f>
        <v>10580</v>
      </c>
      <c r="E33" s="35"/>
      <c r="F33" s="35"/>
      <c r="G33" s="36" t="s">
        <v>30</v>
      </c>
      <c r="H33" s="37"/>
    </row>
    <row r="34" spans="2:10" ht="24" x14ac:dyDescent="0.4">
      <c r="B34" s="38" t="s">
        <v>31</v>
      </c>
      <c r="C34" s="39">
        <f>SUM(C14,C15,C17,C18,C19)</f>
        <v>199000</v>
      </c>
      <c r="E34" s="40" t="s">
        <v>32</v>
      </c>
      <c r="F34" s="41"/>
      <c r="G34" s="42"/>
      <c r="H34" s="43"/>
      <c r="I34" s="42"/>
      <c r="J34" s="44"/>
    </row>
    <row r="35" spans="2:10" ht="18.75" x14ac:dyDescent="0.3">
      <c r="B35" s="45" t="s">
        <v>16</v>
      </c>
      <c r="C35" s="46">
        <f>SUM(C32:C34)</f>
        <v>243580</v>
      </c>
      <c r="G35" s="36"/>
      <c r="H35" s="37"/>
      <c r="I35" s="36"/>
      <c r="J35" s="36"/>
    </row>
  </sheetData>
  <mergeCells count="5">
    <mergeCell ref="G32:H32"/>
    <mergeCell ref="A1:K1"/>
    <mergeCell ref="A2:K2"/>
    <mergeCell ref="A3:K3"/>
    <mergeCell ref="A21:K21"/>
  </mergeCells>
  <pageMargins left="0.59055118110236215" right="0.15748031496062992" top="0.47244094488188976" bottom="0.23622047244094488" header="0.31496062992125984" footer="0.31496062992125984"/>
  <pageSetup scale="78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0721D-FD22-40B6-8273-5189AC8A6A85}">
  <sheetPr>
    <pageSetUpPr fitToPage="1"/>
  </sheetPr>
  <dimension ref="A1:K27"/>
  <sheetViews>
    <sheetView workbookViewId="0">
      <selection activeCell="K21" sqref="K21"/>
    </sheetView>
  </sheetViews>
  <sheetFormatPr defaultRowHeight="15" x14ac:dyDescent="0.25"/>
  <cols>
    <col min="2" max="2" width="20.42578125" bestFit="1" customWidth="1"/>
    <col min="3" max="3" width="12.570312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7.140625" customWidth="1"/>
  </cols>
  <sheetData>
    <row r="1" spans="1:11" ht="48.75" x14ac:dyDescent="0.25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345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334</v>
      </c>
      <c r="C5" s="4">
        <v>5000</v>
      </c>
      <c r="D5" s="5">
        <v>46187</v>
      </c>
      <c r="E5" s="14">
        <v>0</v>
      </c>
      <c r="F5" s="13" t="s">
        <v>18</v>
      </c>
      <c r="G5" s="55">
        <v>806</v>
      </c>
      <c r="H5" s="16">
        <v>0</v>
      </c>
      <c r="I5" s="3" t="s">
        <v>19</v>
      </c>
      <c r="J5" s="5">
        <f t="shared" ref="J5:J11" si="0">+D5+1</f>
        <v>46188</v>
      </c>
      <c r="K5" s="13" t="s">
        <v>157</v>
      </c>
    </row>
    <row r="6" spans="1:11" ht="15.75" x14ac:dyDescent="0.25">
      <c r="A6" s="3">
        <v>2</v>
      </c>
      <c r="B6" s="3" t="s">
        <v>335</v>
      </c>
      <c r="C6" s="4">
        <v>2800</v>
      </c>
      <c r="D6" s="5">
        <f t="shared" ref="D6:D11" si="1">+D5</f>
        <v>46187</v>
      </c>
      <c r="E6" s="14">
        <v>0</v>
      </c>
      <c r="F6" s="13" t="s">
        <v>18</v>
      </c>
      <c r="G6" s="55">
        <v>7137</v>
      </c>
      <c r="H6" s="16">
        <v>0</v>
      </c>
      <c r="I6" s="3" t="s">
        <v>15</v>
      </c>
      <c r="J6" s="5">
        <f t="shared" si="0"/>
        <v>46188</v>
      </c>
      <c r="K6" s="13" t="s">
        <v>90</v>
      </c>
    </row>
    <row r="7" spans="1:11" ht="15.75" x14ac:dyDescent="0.25">
      <c r="A7" s="3">
        <v>3</v>
      </c>
      <c r="B7" s="3" t="s">
        <v>336</v>
      </c>
      <c r="C7" s="4">
        <v>180</v>
      </c>
      <c r="D7" s="5">
        <f t="shared" si="1"/>
        <v>46187</v>
      </c>
      <c r="E7" s="14">
        <v>0</v>
      </c>
      <c r="F7" s="13" t="s">
        <v>18</v>
      </c>
      <c r="G7" s="55">
        <v>1591</v>
      </c>
      <c r="H7" s="16">
        <v>0</v>
      </c>
      <c r="I7" s="3" t="s">
        <v>15</v>
      </c>
      <c r="J7" s="5">
        <f t="shared" si="0"/>
        <v>46188</v>
      </c>
      <c r="K7" s="13" t="s">
        <v>65</v>
      </c>
    </row>
    <row r="8" spans="1:11" ht="15.75" x14ac:dyDescent="0.25">
      <c r="A8" s="3">
        <v>4</v>
      </c>
      <c r="B8" s="3" t="s">
        <v>337</v>
      </c>
      <c r="C8" s="4">
        <v>1480</v>
      </c>
      <c r="D8" s="5">
        <f t="shared" si="1"/>
        <v>46187</v>
      </c>
      <c r="E8" s="14">
        <v>0</v>
      </c>
      <c r="F8" s="13" t="s">
        <v>18</v>
      </c>
      <c r="G8" s="55">
        <v>8824</v>
      </c>
      <c r="H8" s="16">
        <v>0</v>
      </c>
      <c r="I8" s="3" t="s">
        <v>15</v>
      </c>
      <c r="J8" s="5">
        <f t="shared" si="0"/>
        <v>46188</v>
      </c>
      <c r="K8" s="13" t="s">
        <v>65</v>
      </c>
    </row>
    <row r="9" spans="1:11" ht="15.75" x14ac:dyDescent="0.25">
      <c r="A9" s="3">
        <v>5</v>
      </c>
      <c r="B9" s="3" t="s">
        <v>338</v>
      </c>
      <c r="C9" s="4">
        <v>25</v>
      </c>
      <c r="D9" s="5">
        <f t="shared" si="1"/>
        <v>46187</v>
      </c>
      <c r="E9" s="14">
        <v>0</v>
      </c>
      <c r="F9" s="13" t="s">
        <v>18</v>
      </c>
      <c r="G9" s="55">
        <v>5245</v>
      </c>
      <c r="H9" s="16">
        <v>0</v>
      </c>
      <c r="I9" s="3" t="s">
        <v>15</v>
      </c>
      <c r="J9" s="5">
        <f t="shared" si="0"/>
        <v>46188</v>
      </c>
      <c r="K9" s="13" t="s">
        <v>202</v>
      </c>
    </row>
    <row r="10" spans="1:11" ht="15.75" x14ac:dyDescent="0.25">
      <c r="A10" s="3">
        <v>6</v>
      </c>
      <c r="B10" s="3" t="s">
        <v>336</v>
      </c>
      <c r="C10" s="4">
        <v>360</v>
      </c>
      <c r="D10" s="5">
        <f t="shared" si="1"/>
        <v>46187</v>
      </c>
      <c r="E10" s="14">
        <v>0</v>
      </c>
      <c r="F10" s="13" t="s">
        <v>18</v>
      </c>
      <c r="G10" s="55">
        <v>7148</v>
      </c>
      <c r="H10" s="16">
        <v>0</v>
      </c>
      <c r="I10" s="3" t="s">
        <v>15</v>
      </c>
      <c r="J10" s="5">
        <f t="shared" si="0"/>
        <v>46188</v>
      </c>
      <c r="K10" s="13" t="s">
        <v>65</v>
      </c>
    </row>
    <row r="11" spans="1:11" ht="15.75" x14ac:dyDescent="0.25">
      <c r="A11" s="3">
        <v>7</v>
      </c>
      <c r="B11" s="3" t="s">
        <v>342</v>
      </c>
      <c r="C11" s="4">
        <v>66564.179999999993</v>
      </c>
      <c r="D11" s="5">
        <f t="shared" si="1"/>
        <v>46187</v>
      </c>
      <c r="E11" s="14">
        <v>0</v>
      </c>
      <c r="F11" s="13" t="s">
        <v>18</v>
      </c>
      <c r="G11" s="55">
        <v>0</v>
      </c>
      <c r="H11" s="16">
        <v>0</v>
      </c>
      <c r="I11" s="3" t="s">
        <v>15</v>
      </c>
      <c r="J11" s="5">
        <f t="shared" si="0"/>
        <v>46188</v>
      </c>
      <c r="K11" s="13" t="s">
        <v>346</v>
      </c>
    </row>
    <row r="12" spans="1:11" ht="18.75" x14ac:dyDescent="0.3">
      <c r="A12" s="3"/>
      <c r="B12" s="17" t="s">
        <v>16</v>
      </c>
      <c r="C12" s="54">
        <f>SUM(C5:C11)</f>
        <v>76409.179999999993</v>
      </c>
      <c r="D12" s="3"/>
      <c r="E12" s="3"/>
      <c r="F12" s="13"/>
      <c r="G12" s="13"/>
      <c r="H12" s="11"/>
      <c r="I12" s="3"/>
      <c r="J12" s="3"/>
      <c r="K12" s="3"/>
    </row>
    <row r="13" spans="1:11" ht="24.75" x14ac:dyDescent="0.5">
      <c r="A13" s="125" t="s">
        <v>20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7"/>
    </row>
    <row r="14" spans="1:11" ht="18.75" x14ac:dyDescent="0.3">
      <c r="A14" s="19" t="s">
        <v>3</v>
      </c>
      <c r="B14" s="19" t="s">
        <v>21</v>
      </c>
      <c r="C14" s="50" t="s">
        <v>5</v>
      </c>
      <c r="D14" s="1" t="s">
        <v>22</v>
      </c>
      <c r="E14" s="19" t="s">
        <v>7</v>
      </c>
      <c r="F14" s="19" t="s">
        <v>8</v>
      </c>
      <c r="G14" s="19" t="s">
        <v>23</v>
      </c>
      <c r="H14" s="20" t="s">
        <v>24</v>
      </c>
      <c r="I14" s="19" t="s">
        <v>11</v>
      </c>
      <c r="J14" s="19" t="s">
        <v>25</v>
      </c>
      <c r="K14" s="21" t="s">
        <v>26</v>
      </c>
    </row>
    <row r="15" spans="1:11" ht="15.75" x14ac:dyDescent="0.25">
      <c r="A15" s="8">
        <v>1</v>
      </c>
      <c r="B15" s="8" t="s">
        <v>185</v>
      </c>
      <c r="C15" s="47">
        <v>4000</v>
      </c>
      <c r="D15" s="5">
        <v>46187</v>
      </c>
      <c r="E15" s="8"/>
      <c r="F15" s="8"/>
      <c r="G15" s="22">
        <v>5867</v>
      </c>
      <c r="H15" s="23"/>
      <c r="I15" s="24"/>
      <c r="J15" s="3"/>
      <c r="K15" s="13" t="s">
        <v>356</v>
      </c>
    </row>
    <row r="16" spans="1:11" ht="15.75" x14ac:dyDescent="0.25">
      <c r="A16" s="8">
        <v>2</v>
      </c>
      <c r="B16" s="8" t="s">
        <v>344</v>
      </c>
      <c r="C16" s="47">
        <v>20000</v>
      </c>
      <c r="D16" s="5">
        <v>46187</v>
      </c>
      <c r="E16" s="8"/>
      <c r="F16" s="8"/>
      <c r="G16" s="22">
        <v>2877</v>
      </c>
      <c r="H16" s="23"/>
      <c r="I16" s="24"/>
      <c r="J16" s="3"/>
      <c r="K16" s="13" t="s">
        <v>356</v>
      </c>
    </row>
    <row r="17" spans="1:11" ht="15.75" x14ac:dyDescent="0.25">
      <c r="A17" s="8">
        <v>3</v>
      </c>
      <c r="B17" s="8" t="s">
        <v>76</v>
      </c>
      <c r="C17" s="47">
        <v>15000</v>
      </c>
      <c r="D17" s="5">
        <v>46187</v>
      </c>
      <c r="E17" s="8"/>
      <c r="F17" s="8"/>
      <c r="G17" s="22">
        <v>4616</v>
      </c>
      <c r="H17" s="23"/>
      <c r="I17" s="24"/>
      <c r="J17" s="3"/>
      <c r="K17" s="13" t="s">
        <v>350</v>
      </c>
    </row>
    <row r="18" spans="1:11" ht="15.75" x14ac:dyDescent="0.25">
      <c r="A18" s="8">
        <v>4</v>
      </c>
      <c r="B18" s="8" t="s">
        <v>185</v>
      </c>
      <c r="C18" s="47">
        <v>1200</v>
      </c>
      <c r="D18" s="5">
        <v>46187</v>
      </c>
      <c r="E18" s="8"/>
      <c r="F18" s="8"/>
      <c r="G18" s="22">
        <v>5471</v>
      </c>
      <c r="H18" s="23"/>
      <c r="I18" s="24"/>
      <c r="J18" s="3"/>
      <c r="K18" s="13" t="s">
        <v>357</v>
      </c>
    </row>
    <row r="19" spans="1:11" ht="15.75" x14ac:dyDescent="0.25">
      <c r="A19" s="8">
        <v>5</v>
      </c>
      <c r="B19" s="8" t="s">
        <v>343</v>
      </c>
      <c r="C19" s="47">
        <v>1300</v>
      </c>
      <c r="D19" s="5">
        <v>46187</v>
      </c>
      <c r="E19" s="8"/>
      <c r="F19" s="8"/>
      <c r="G19" s="22">
        <v>9865</v>
      </c>
      <c r="H19" s="23"/>
      <c r="I19" s="24"/>
      <c r="J19" s="3"/>
      <c r="K19" s="13" t="s">
        <v>358</v>
      </c>
    </row>
    <row r="20" spans="1:11" ht="15.75" x14ac:dyDescent="0.25">
      <c r="A20" s="8">
        <v>6</v>
      </c>
      <c r="B20" s="8" t="s">
        <v>359</v>
      </c>
      <c r="C20" s="47">
        <v>25000</v>
      </c>
      <c r="D20" s="5">
        <v>46187</v>
      </c>
      <c r="E20" s="8"/>
      <c r="F20" s="8"/>
      <c r="G20" s="22">
        <v>6249</v>
      </c>
      <c r="H20" s="23"/>
      <c r="I20" s="24"/>
      <c r="J20" s="3"/>
      <c r="K20" s="13" t="s">
        <v>360</v>
      </c>
    </row>
    <row r="21" spans="1:11" ht="15.75" x14ac:dyDescent="0.25">
      <c r="A21" s="8">
        <v>7</v>
      </c>
      <c r="B21" s="8" t="s">
        <v>190</v>
      </c>
      <c r="C21" s="47">
        <v>10000</v>
      </c>
      <c r="D21" s="5">
        <v>46187</v>
      </c>
      <c r="E21" s="8"/>
      <c r="F21" s="8"/>
      <c r="G21" s="22">
        <v>4266</v>
      </c>
      <c r="H21" s="23"/>
      <c r="I21" s="24"/>
      <c r="J21" s="3"/>
      <c r="K21" s="13" t="s">
        <v>361</v>
      </c>
    </row>
    <row r="22" spans="1:11" ht="18.75" x14ac:dyDescent="0.25">
      <c r="A22" s="8"/>
      <c r="B22" s="25" t="s">
        <v>27</v>
      </c>
      <c r="C22" s="51">
        <f>SUM(C15:C21)</f>
        <v>76500</v>
      </c>
      <c r="D22" s="3"/>
      <c r="E22" s="8"/>
      <c r="F22" s="8"/>
      <c r="G22" s="8"/>
      <c r="H22" s="27">
        <v>0</v>
      </c>
      <c r="I22" s="24"/>
      <c r="J22" s="3"/>
      <c r="K22" s="28"/>
    </row>
    <row r="23" spans="1:11" x14ac:dyDescent="0.25">
      <c r="C23" s="29"/>
      <c r="H23" s="29"/>
    </row>
    <row r="24" spans="1:11" ht="16.5" x14ac:dyDescent="0.3">
      <c r="B24" s="30" t="s">
        <v>28</v>
      </c>
      <c r="C24" s="31">
        <f>SUM(C5)</f>
        <v>5000</v>
      </c>
      <c r="E24" s="32"/>
      <c r="F24" s="32"/>
      <c r="G24" s="116"/>
      <c r="H24" s="116"/>
    </row>
    <row r="25" spans="1:11" ht="16.5" x14ac:dyDescent="0.3">
      <c r="B25" s="33" t="s">
        <v>29</v>
      </c>
      <c r="C25" s="34">
        <f>SUM(C10,C9,C8,C7)</f>
        <v>2045</v>
      </c>
      <c r="E25" s="35"/>
      <c r="F25" s="35"/>
      <c r="G25" s="36" t="s">
        <v>30</v>
      </c>
      <c r="H25" s="37"/>
    </row>
    <row r="26" spans="1:11" ht="24" x14ac:dyDescent="0.4">
      <c r="B26" s="38" t="s">
        <v>31</v>
      </c>
      <c r="C26" s="39">
        <f>SUM(C11,C6)</f>
        <v>69364.179999999993</v>
      </c>
      <c r="E26" s="40" t="s">
        <v>32</v>
      </c>
      <c r="F26" s="41"/>
      <c r="G26" s="42"/>
      <c r="H26" s="43"/>
      <c r="I26" s="42"/>
      <c r="J26" s="44"/>
    </row>
    <row r="27" spans="1:11" ht="18.75" x14ac:dyDescent="0.3">
      <c r="B27" s="45" t="s">
        <v>16</v>
      </c>
      <c r="C27" s="46">
        <f>SUM(C24:C26)</f>
        <v>76409.179999999993</v>
      </c>
      <c r="G27" s="36"/>
      <c r="H27" s="37"/>
      <c r="I27" s="36"/>
      <c r="J27" s="36"/>
    </row>
  </sheetData>
  <mergeCells count="5">
    <mergeCell ref="G24:H24"/>
    <mergeCell ref="A1:K1"/>
    <mergeCell ref="A2:K2"/>
    <mergeCell ref="A3:K3"/>
    <mergeCell ref="A13:K13"/>
  </mergeCells>
  <pageMargins left="0.59055118110236215" right="0.15748031496062992" top="0.47244094488188976" bottom="0.23622047244094488" header="0.31496062992125984" footer="0.31496062992125984"/>
  <pageSetup scale="86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0C5CF-DACD-4468-BB3B-7BE268ECD070}">
  <sheetPr>
    <pageSetUpPr fitToPage="1"/>
  </sheetPr>
  <dimension ref="A1:K34"/>
  <sheetViews>
    <sheetView topLeftCell="A3" zoomScale="85" zoomScaleNormal="85" workbookViewId="0">
      <selection activeCell="S21" sqref="S21"/>
    </sheetView>
  </sheetViews>
  <sheetFormatPr defaultRowHeight="15" x14ac:dyDescent="0.25"/>
  <cols>
    <col min="1" max="1" width="4.42578125" bestFit="1" customWidth="1"/>
    <col min="2" max="2" width="23.140625" bestFit="1" customWidth="1"/>
    <col min="3" max="3" width="15.4257812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8.5703125" bestFit="1" customWidth="1"/>
  </cols>
  <sheetData>
    <row r="1" spans="1:11" ht="48.75" x14ac:dyDescent="0.25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378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4">
        <v>9845</v>
      </c>
      <c r="D5" s="5">
        <v>46188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46187</v>
      </c>
      <c r="K5" s="8" t="s">
        <v>33</v>
      </c>
    </row>
    <row r="6" spans="1:11" ht="15.75" x14ac:dyDescent="0.25">
      <c r="A6" s="3">
        <v>2</v>
      </c>
      <c r="B6" s="3" t="s">
        <v>369</v>
      </c>
      <c r="C6" s="4">
        <v>49500</v>
      </c>
      <c r="D6" s="5">
        <v>46188</v>
      </c>
      <c r="E6" s="6">
        <v>0</v>
      </c>
      <c r="F6" s="3" t="s">
        <v>14</v>
      </c>
      <c r="G6" s="49">
        <v>0</v>
      </c>
      <c r="H6" s="7">
        <v>0</v>
      </c>
      <c r="I6" s="3" t="s">
        <v>15</v>
      </c>
      <c r="J6" s="5">
        <f>+D6-1</f>
        <v>46187</v>
      </c>
      <c r="K6" s="8" t="s">
        <v>373</v>
      </c>
    </row>
    <row r="7" spans="1:11" ht="15.75" x14ac:dyDescent="0.25">
      <c r="A7" s="3">
        <v>3</v>
      </c>
      <c r="B7" s="3" t="s">
        <v>370</v>
      </c>
      <c r="C7" s="4">
        <v>26000</v>
      </c>
      <c r="D7" s="5">
        <v>46188</v>
      </c>
      <c r="E7" s="6">
        <v>0</v>
      </c>
      <c r="F7" s="3" t="s">
        <v>14</v>
      </c>
      <c r="G7" s="49">
        <v>17</v>
      </c>
      <c r="H7" s="7">
        <v>0</v>
      </c>
      <c r="I7" s="3" t="s">
        <v>15</v>
      </c>
      <c r="J7" s="5">
        <f>+D7-1</f>
        <v>46187</v>
      </c>
      <c r="K7" s="8" t="s">
        <v>374</v>
      </c>
    </row>
    <row r="8" spans="1:11" ht="15.75" x14ac:dyDescent="0.25">
      <c r="A8" s="3">
        <v>4</v>
      </c>
      <c r="B8" s="3" t="s">
        <v>371</v>
      </c>
      <c r="C8" s="4">
        <v>100500</v>
      </c>
      <c r="D8" s="5">
        <v>46188</v>
      </c>
      <c r="E8" s="6">
        <v>0</v>
      </c>
      <c r="F8" s="3" t="s">
        <v>14</v>
      </c>
      <c r="G8" s="49">
        <v>0</v>
      </c>
      <c r="H8" s="7">
        <v>0</v>
      </c>
      <c r="I8" s="3" t="s">
        <v>15</v>
      </c>
      <c r="J8" s="5">
        <f>+D8-1</f>
        <v>46187</v>
      </c>
      <c r="K8" s="8" t="s">
        <v>375</v>
      </c>
    </row>
    <row r="9" spans="1:11" ht="15.75" x14ac:dyDescent="0.25">
      <c r="A9" s="3">
        <v>5</v>
      </c>
      <c r="B9" s="3"/>
      <c r="C9" s="4">
        <v>0</v>
      </c>
      <c r="D9" s="5"/>
      <c r="E9" s="6"/>
      <c r="F9" s="3"/>
      <c r="G9" s="49"/>
      <c r="H9" s="7"/>
      <c r="I9" s="3"/>
      <c r="J9" s="5"/>
      <c r="K9" s="8"/>
    </row>
    <row r="10" spans="1:11" ht="18.75" x14ac:dyDescent="0.3">
      <c r="A10" s="9"/>
      <c r="B10" s="10" t="s">
        <v>16</v>
      </c>
      <c r="C10" s="53">
        <f>SUM(C5:C9)</f>
        <v>185845</v>
      </c>
      <c r="D10" s="3"/>
      <c r="E10" s="12"/>
      <c r="F10" s="9"/>
      <c r="G10" s="13"/>
      <c r="H10" s="11">
        <f>SUM(H5:H5)</f>
        <v>0</v>
      </c>
      <c r="I10" s="9"/>
      <c r="J10" s="9"/>
      <c r="K10" s="9"/>
    </row>
    <row r="12" spans="1:11" ht="24" x14ac:dyDescent="0.4">
      <c r="A12" s="122" t="s">
        <v>17</v>
      </c>
      <c r="B12" s="123"/>
      <c r="C12" s="123"/>
      <c r="D12" s="123"/>
      <c r="E12" s="123"/>
      <c r="F12" s="123"/>
      <c r="G12" s="123"/>
      <c r="H12" s="123"/>
      <c r="I12" s="123"/>
      <c r="J12" s="123"/>
      <c r="K12" s="124"/>
    </row>
    <row r="13" spans="1:11" ht="15.75" x14ac:dyDescent="0.25">
      <c r="A13" s="3">
        <v>1</v>
      </c>
      <c r="B13" s="3" t="s">
        <v>362</v>
      </c>
      <c r="C13" s="4">
        <v>1600</v>
      </c>
      <c r="D13" s="5">
        <v>46188</v>
      </c>
      <c r="E13" s="14">
        <v>0</v>
      </c>
      <c r="F13" s="13" t="s">
        <v>18</v>
      </c>
      <c r="G13" s="15">
        <v>7301</v>
      </c>
      <c r="H13" s="16">
        <v>0</v>
      </c>
      <c r="I13" s="3" t="s">
        <v>19</v>
      </c>
      <c r="J13" s="5">
        <f t="shared" ref="J13:J21" si="0">+D13+1</f>
        <v>46189</v>
      </c>
      <c r="K13" s="13" t="s">
        <v>203</v>
      </c>
    </row>
    <row r="14" spans="1:11" ht="15.75" x14ac:dyDescent="0.25">
      <c r="A14" s="3">
        <v>2</v>
      </c>
      <c r="B14" s="3" t="s">
        <v>363</v>
      </c>
      <c r="C14" s="4">
        <v>3700</v>
      </c>
      <c r="D14" s="5">
        <f t="shared" ref="D14:D21" si="1">+D13</f>
        <v>46188</v>
      </c>
      <c r="E14" s="14">
        <v>0</v>
      </c>
      <c r="F14" s="13" t="s">
        <v>18</v>
      </c>
      <c r="G14" s="15">
        <v>3731</v>
      </c>
      <c r="H14" s="16">
        <v>0</v>
      </c>
      <c r="I14" s="3" t="s">
        <v>15</v>
      </c>
      <c r="J14" s="5">
        <f t="shared" si="0"/>
        <v>46189</v>
      </c>
      <c r="K14" s="13" t="s">
        <v>203</v>
      </c>
    </row>
    <row r="15" spans="1:11" ht="15.75" x14ac:dyDescent="0.25">
      <c r="A15" s="3">
        <v>3</v>
      </c>
      <c r="B15" s="3" t="s">
        <v>364</v>
      </c>
      <c r="C15" s="4">
        <v>50000</v>
      </c>
      <c r="D15" s="5">
        <f t="shared" si="1"/>
        <v>46188</v>
      </c>
      <c r="E15" s="14">
        <v>0</v>
      </c>
      <c r="F15" s="13" t="s">
        <v>18</v>
      </c>
      <c r="G15" s="15">
        <v>7325</v>
      </c>
      <c r="H15" s="16">
        <v>0</v>
      </c>
      <c r="I15" s="3" t="s">
        <v>15</v>
      </c>
      <c r="J15" s="5">
        <f t="shared" si="0"/>
        <v>46189</v>
      </c>
      <c r="K15" s="13" t="s">
        <v>376</v>
      </c>
    </row>
    <row r="16" spans="1:11" ht="15.75" x14ac:dyDescent="0.25">
      <c r="A16" s="3">
        <v>4</v>
      </c>
      <c r="B16" s="3" t="s">
        <v>365</v>
      </c>
      <c r="C16" s="4">
        <v>23160</v>
      </c>
      <c r="D16" s="5">
        <f t="shared" si="1"/>
        <v>46188</v>
      </c>
      <c r="E16" s="14">
        <v>0</v>
      </c>
      <c r="F16" s="13" t="s">
        <v>18</v>
      </c>
      <c r="G16" s="15">
        <v>1805</v>
      </c>
      <c r="H16" s="16">
        <v>0</v>
      </c>
      <c r="I16" s="3" t="s">
        <v>15</v>
      </c>
      <c r="J16" s="5">
        <f t="shared" si="0"/>
        <v>46189</v>
      </c>
      <c r="K16" s="13" t="s">
        <v>65</v>
      </c>
    </row>
    <row r="17" spans="1:11" ht="15.75" x14ac:dyDescent="0.25">
      <c r="A17" s="3">
        <v>5</v>
      </c>
      <c r="B17" s="3" t="s">
        <v>366</v>
      </c>
      <c r="C17" s="4">
        <v>500</v>
      </c>
      <c r="D17" s="5">
        <f t="shared" si="1"/>
        <v>46188</v>
      </c>
      <c r="E17" s="14">
        <v>0</v>
      </c>
      <c r="F17" s="13" t="s">
        <v>18</v>
      </c>
      <c r="G17" s="15">
        <v>9430</v>
      </c>
      <c r="H17" s="16">
        <v>0</v>
      </c>
      <c r="I17" s="3" t="s">
        <v>15</v>
      </c>
      <c r="J17" s="5">
        <f t="shared" si="0"/>
        <v>46189</v>
      </c>
      <c r="K17" s="13" t="s">
        <v>65</v>
      </c>
    </row>
    <row r="18" spans="1:11" ht="15.75" x14ac:dyDescent="0.25">
      <c r="A18" s="3">
        <v>6</v>
      </c>
      <c r="B18" s="3" t="s">
        <v>366</v>
      </c>
      <c r="C18" s="4">
        <v>2000</v>
      </c>
      <c r="D18" s="5">
        <f t="shared" si="1"/>
        <v>46188</v>
      </c>
      <c r="E18" s="14">
        <v>0</v>
      </c>
      <c r="F18" s="13" t="s">
        <v>18</v>
      </c>
      <c r="G18" s="15">
        <v>5594</v>
      </c>
      <c r="H18" s="16">
        <v>0</v>
      </c>
      <c r="I18" s="3" t="s">
        <v>15</v>
      </c>
      <c r="J18" s="5">
        <f t="shared" si="0"/>
        <v>46189</v>
      </c>
      <c r="K18" s="13" t="s">
        <v>65</v>
      </c>
    </row>
    <row r="19" spans="1:11" ht="15.75" x14ac:dyDescent="0.25">
      <c r="A19" s="3">
        <v>7</v>
      </c>
      <c r="B19" s="3" t="s">
        <v>367</v>
      </c>
      <c r="C19" s="4">
        <v>50</v>
      </c>
      <c r="D19" s="5">
        <f t="shared" si="1"/>
        <v>46188</v>
      </c>
      <c r="E19" s="14">
        <v>0</v>
      </c>
      <c r="F19" s="13" t="s">
        <v>18</v>
      </c>
      <c r="G19" s="15">
        <v>573</v>
      </c>
      <c r="H19" s="16">
        <v>0</v>
      </c>
      <c r="I19" s="3" t="s">
        <v>15</v>
      </c>
      <c r="J19" s="5">
        <f t="shared" si="0"/>
        <v>46189</v>
      </c>
      <c r="K19" s="13" t="s">
        <v>187</v>
      </c>
    </row>
    <row r="20" spans="1:11" ht="15.75" x14ac:dyDescent="0.25">
      <c r="A20" s="3">
        <v>8</v>
      </c>
      <c r="B20" s="3" t="s">
        <v>368</v>
      </c>
      <c r="C20" s="4">
        <v>1950</v>
      </c>
      <c r="D20" s="5">
        <f t="shared" si="1"/>
        <v>46188</v>
      </c>
      <c r="E20" s="14">
        <v>0</v>
      </c>
      <c r="F20" s="13" t="s">
        <v>18</v>
      </c>
      <c r="G20" s="15">
        <v>4898</v>
      </c>
      <c r="H20" s="16">
        <v>0</v>
      </c>
      <c r="I20" s="3" t="s">
        <v>15</v>
      </c>
      <c r="J20" s="5">
        <f t="shared" si="0"/>
        <v>46189</v>
      </c>
      <c r="K20" s="13" t="s">
        <v>65</v>
      </c>
    </row>
    <row r="21" spans="1:11" ht="15.75" x14ac:dyDescent="0.25">
      <c r="A21" s="3">
        <v>9</v>
      </c>
      <c r="B21" s="3"/>
      <c r="C21" s="4"/>
      <c r="D21" s="5">
        <f t="shared" si="1"/>
        <v>46188</v>
      </c>
      <c r="E21" s="14">
        <v>0</v>
      </c>
      <c r="F21" s="13" t="s">
        <v>18</v>
      </c>
      <c r="G21" s="15"/>
      <c r="H21" s="16">
        <v>0</v>
      </c>
      <c r="I21" s="3" t="s">
        <v>15</v>
      </c>
      <c r="J21" s="5">
        <f t="shared" si="0"/>
        <v>46189</v>
      </c>
      <c r="K21" s="13"/>
    </row>
    <row r="22" spans="1:11" ht="18.75" x14ac:dyDescent="0.3">
      <c r="A22" s="3"/>
      <c r="B22" s="17" t="s">
        <v>16</v>
      </c>
      <c r="C22" s="54">
        <f>SUM(C13:C21)</f>
        <v>82960</v>
      </c>
      <c r="D22" s="3"/>
      <c r="E22" s="3"/>
      <c r="F22" s="13"/>
      <c r="G22" s="13"/>
      <c r="H22" s="11"/>
      <c r="I22" s="3"/>
      <c r="J22" s="3"/>
      <c r="K22" s="3"/>
    </row>
    <row r="23" spans="1:11" ht="24.75" x14ac:dyDescent="0.5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.75" x14ac:dyDescent="0.3">
      <c r="A24" s="19" t="s">
        <v>3</v>
      </c>
      <c r="B24" s="19" t="s">
        <v>21</v>
      </c>
      <c r="C24" s="5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75" x14ac:dyDescent="0.25">
      <c r="A25" s="8">
        <v>1</v>
      </c>
      <c r="B25" s="8" t="s">
        <v>41</v>
      </c>
      <c r="C25" s="47">
        <v>18711</v>
      </c>
      <c r="D25" s="5">
        <v>46188</v>
      </c>
      <c r="E25" s="8"/>
      <c r="F25" s="8"/>
      <c r="G25" s="22">
        <v>60</v>
      </c>
      <c r="H25" s="23"/>
      <c r="I25" s="24"/>
      <c r="J25" s="3"/>
      <c r="K25" s="13" t="s">
        <v>115</v>
      </c>
    </row>
    <row r="26" spans="1:11" ht="15.75" x14ac:dyDescent="0.25">
      <c r="A26" s="8">
        <v>2</v>
      </c>
      <c r="B26" s="8" t="s">
        <v>185</v>
      </c>
      <c r="C26" s="47">
        <v>2000</v>
      </c>
      <c r="D26" s="5">
        <v>46188</v>
      </c>
      <c r="E26" s="8"/>
      <c r="F26" s="8"/>
      <c r="G26" s="22">
        <v>3579</v>
      </c>
      <c r="H26" s="23"/>
      <c r="I26" s="24"/>
      <c r="J26" s="3"/>
      <c r="K26" s="13" t="s">
        <v>356</v>
      </c>
    </row>
    <row r="27" spans="1:11" ht="15.75" x14ac:dyDescent="0.25">
      <c r="A27" s="8">
        <v>3</v>
      </c>
      <c r="B27" s="8" t="s">
        <v>372</v>
      </c>
      <c r="C27" s="47">
        <v>36000</v>
      </c>
      <c r="D27" s="5">
        <v>46188</v>
      </c>
      <c r="E27" s="8"/>
      <c r="F27" s="8"/>
      <c r="G27" s="22">
        <v>7544</v>
      </c>
      <c r="H27" s="23"/>
      <c r="I27" s="24"/>
      <c r="J27" s="3"/>
      <c r="K27" s="13" t="s">
        <v>377</v>
      </c>
    </row>
    <row r="28" spans="1:11" ht="15.75" x14ac:dyDescent="0.25">
      <c r="A28" s="8">
        <v>4</v>
      </c>
      <c r="B28" s="8"/>
      <c r="C28" s="47">
        <v>0</v>
      </c>
      <c r="D28" s="5"/>
      <c r="E28" s="8"/>
      <c r="F28" s="8"/>
      <c r="G28" s="22"/>
      <c r="H28" s="23"/>
      <c r="I28" s="24"/>
      <c r="J28" s="3"/>
      <c r="K28" s="13"/>
    </row>
    <row r="29" spans="1:11" ht="18.75" x14ac:dyDescent="0.25">
      <c r="A29" s="8"/>
      <c r="B29" s="25" t="s">
        <v>27</v>
      </c>
      <c r="C29" s="52"/>
      <c r="D29" s="3"/>
      <c r="E29" s="8"/>
      <c r="F29" s="8"/>
      <c r="G29" s="8"/>
      <c r="H29" s="27">
        <v>0</v>
      </c>
      <c r="I29" s="24"/>
      <c r="J29" s="3"/>
      <c r="K29" s="28"/>
    </row>
    <row r="30" spans="1:11" x14ac:dyDescent="0.25">
      <c r="C30" s="29"/>
      <c r="H30" s="29"/>
    </row>
    <row r="31" spans="1:11" ht="16.5" x14ac:dyDescent="0.3">
      <c r="B31" s="30" t="s">
        <v>28</v>
      </c>
      <c r="C31" s="31">
        <f>SUM(C13,C14)</f>
        <v>5300</v>
      </c>
      <c r="E31" s="32"/>
      <c r="F31" s="32"/>
      <c r="G31" s="116"/>
      <c r="H31" s="116"/>
    </row>
    <row r="32" spans="1:11" ht="16.5" x14ac:dyDescent="0.3">
      <c r="B32" s="33" t="s">
        <v>29</v>
      </c>
      <c r="C32" s="34">
        <f>SUM(C16,C17,C18,C20)</f>
        <v>27610</v>
      </c>
      <c r="E32" s="35"/>
      <c r="F32" s="35"/>
      <c r="G32" s="36" t="s">
        <v>30</v>
      </c>
      <c r="H32" s="37"/>
    </row>
    <row r="33" spans="2:10" ht="24" x14ac:dyDescent="0.4">
      <c r="B33" s="38" t="s">
        <v>31</v>
      </c>
      <c r="C33" s="39">
        <f>SUM(C19,C15)</f>
        <v>50050</v>
      </c>
      <c r="E33" s="40" t="s">
        <v>32</v>
      </c>
      <c r="F33" s="41"/>
      <c r="G33" s="42"/>
      <c r="H33" s="43"/>
      <c r="I33" s="42"/>
      <c r="J33" s="44"/>
    </row>
    <row r="34" spans="2:10" ht="18.75" x14ac:dyDescent="0.3">
      <c r="B34" s="45" t="s">
        <v>16</v>
      </c>
      <c r="C34" s="46">
        <f>SUM(C31:C33)</f>
        <v>82960</v>
      </c>
      <c r="G34" s="36"/>
      <c r="H34" s="37"/>
      <c r="I34" s="36"/>
      <c r="J34" s="36"/>
    </row>
  </sheetData>
  <mergeCells count="6">
    <mergeCell ref="G31:H31"/>
    <mergeCell ref="A1:K1"/>
    <mergeCell ref="A2:K2"/>
    <mergeCell ref="A3:K3"/>
    <mergeCell ref="A12:K12"/>
    <mergeCell ref="A23:K23"/>
  </mergeCells>
  <pageMargins left="0.59055118110236215" right="0.15748031496062992" top="0.47244094488188976" bottom="0.23622047244094488" header="0.31496062992125984" footer="0.31496062992125984"/>
  <pageSetup scale="84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EECC1-08E5-40CA-91A6-CD9AF1A54025}">
  <sheetPr>
    <pageSetUpPr fitToPage="1"/>
  </sheetPr>
  <dimension ref="A1:K29"/>
  <sheetViews>
    <sheetView zoomScale="115" zoomScaleNormal="115" workbookViewId="0">
      <selection sqref="A1:K1"/>
    </sheetView>
  </sheetViews>
  <sheetFormatPr defaultRowHeight="15" x14ac:dyDescent="0.25"/>
  <cols>
    <col min="1" max="1" width="4.42578125" bestFit="1" customWidth="1"/>
    <col min="2" max="2" width="26.5703125" customWidth="1"/>
    <col min="3" max="3" width="12.570312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41" bestFit="1" customWidth="1"/>
  </cols>
  <sheetData>
    <row r="1" spans="1:11" ht="48.75" x14ac:dyDescent="0.25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388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4">
        <v>82960</v>
      </c>
      <c r="D5" s="5">
        <v>46189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46188</v>
      </c>
      <c r="K5" s="8" t="s">
        <v>33</v>
      </c>
    </row>
    <row r="6" spans="1:11" ht="15.75" x14ac:dyDescent="0.25">
      <c r="A6" s="3">
        <v>2</v>
      </c>
      <c r="B6" s="3"/>
      <c r="C6" s="4">
        <v>0</v>
      </c>
      <c r="D6" s="5"/>
      <c r="E6" s="6"/>
      <c r="F6" s="3"/>
      <c r="G6" s="49"/>
      <c r="H6" s="7"/>
      <c r="I6" s="3"/>
      <c r="J6" s="5"/>
      <c r="K6" s="8"/>
    </row>
    <row r="7" spans="1:11" ht="18.75" x14ac:dyDescent="0.3">
      <c r="A7" s="9"/>
      <c r="B7" s="10" t="s">
        <v>16</v>
      </c>
      <c r="C7" s="53">
        <f>SUM(C5:C6)</f>
        <v>82960</v>
      </c>
      <c r="D7" s="3"/>
      <c r="E7" s="12"/>
      <c r="F7" s="9"/>
      <c r="G7" s="13"/>
      <c r="H7" s="11">
        <f>SUM(H5:H5)</f>
        <v>0</v>
      </c>
      <c r="I7" s="9"/>
      <c r="J7" s="9"/>
      <c r="K7" s="9"/>
    </row>
    <row r="9" spans="1:11" ht="24" x14ac:dyDescent="0.4">
      <c r="A9" s="122" t="s">
        <v>17</v>
      </c>
      <c r="B9" s="123"/>
      <c r="C9" s="123"/>
      <c r="D9" s="123"/>
      <c r="E9" s="123"/>
      <c r="F9" s="123"/>
      <c r="G9" s="123"/>
      <c r="H9" s="123"/>
      <c r="I9" s="123"/>
      <c r="J9" s="123"/>
      <c r="K9" s="124"/>
    </row>
    <row r="10" spans="1:11" ht="15.75" x14ac:dyDescent="0.25">
      <c r="A10" s="3">
        <v>1</v>
      </c>
      <c r="B10" s="3" t="s">
        <v>379</v>
      </c>
      <c r="C10" s="4">
        <v>9800</v>
      </c>
      <c r="D10" s="5">
        <v>46189</v>
      </c>
      <c r="E10" s="14">
        <v>0</v>
      </c>
      <c r="F10" s="13" t="s">
        <v>18</v>
      </c>
      <c r="G10" s="55">
        <v>7493</v>
      </c>
      <c r="H10" s="16">
        <v>0</v>
      </c>
      <c r="I10" s="3" t="s">
        <v>19</v>
      </c>
      <c r="J10" s="5">
        <f t="shared" ref="J10:J16" si="0">+D10+1</f>
        <v>46190</v>
      </c>
      <c r="K10" s="13" t="s">
        <v>115</v>
      </c>
    </row>
    <row r="11" spans="1:11" ht="15.75" x14ac:dyDescent="0.25">
      <c r="A11" s="3">
        <v>2</v>
      </c>
      <c r="B11" s="3" t="s">
        <v>380</v>
      </c>
      <c r="C11" s="4">
        <v>740</v>
      </c>
      <c r="D11" s="5">
        <f t="shared" ref="D11:D16" si="1">+D10</f>
        <v>46189</v>
      </c>
      <c r="E11" s="14">
        <v>0</v>
      </c>
      <c r="F11" s="13" t="s">
        <v>18</v>
      </c>
      <c r="G11" s="55">
        <v>2854</v>
      </c>
      <c r="H11" s="16">
        <v>0</v>
      </c>
      <c r="I11" s="3" t="s">
        <v>15</v>
      </c>
      <c r="J11" s="5">
        <f t="shared" si="0"/>
        <v>46190</v>
      </c>
      <c r="K11" s="13" t="s">
        <v>115</v>
      </c>
    </row>
    <row r="12" spans="1:11" ht="15.75" x14ac:dyDescent="0.25">
      <c r="A12" s="3">
        <v>3</v>
      </c>
      <c r="B12" s="3" t="s">
        <v>381</v>
      </c>
      <c r="C12" s="4">
        <v>500</v>
      </c>
      <c r="D12" s="5">
        <f t="shared" si="1"/>
        <v>46189</v>
      </c>
      <c r="E12" s="14">
        <v>0</v>
      </c>
      <c r="F12" s="13" t="s">
        <v>18</v>
      </c>
      <c r="G12" s="55">
        <v>328</v>
      </c>
      <c r="H12" s="16">
        <v>0</v>
      </c>
      <c r="I12" s="3" t="s">
        <v>15</v>
      </c>
      <c r="J12" s="5">
        <f t="shared" si="0"/>
        <v>46190</v>
      </c>
      <c r="K12" s="13" t="s">
        <v>115</v>
      </c>
    </row>
    <row r="13" spans="1:11" ht="15.75" x14ac:dyDescent="0.25">
      <c r="A13" s="3">
        <v>4</v>
      </c>
      <c r="B13" s="3" t="s">
        <v>381</v>
      </c>
      <c r="C13" s="4">
        <v>2000</v>
      </c>
      <c r="D13" s="5">
        <f t="shared" si="1"/>
        <v>46189</v>
      </c>
      <c r="E13" s="14">
        <v>0</v>
      </c>
      <c r="F13" s="13" t="s">
        <v>18</v>
      </c>
      <c r="G13" s="55">
        <v>683</v>
      </c>
      <c r="H13" s="16">
        <v>0</v>
      </c>
      <c r="I13" s="3" t="s">
        <v>15</v>
      </c>
      <c r="J13" s="5">
        <f t="shared" si="0"/>
        <v>46190</v>
      </c>
      <c r="K13" s="13" t="s">
        <v>115</v>
      </c>
    </row>
    <row r="14" spans="1:11" ht="15.75" x14ac:dyDescent="0.25">
      <c r="A14" s="3">
        <v>5</v>
      </c>
      <c r="B14" s="3" t="s">
        <v>382</v>
      </c>
      <c r="C14" s="4">
        <v>1950</v>
      </c>
      <c r="D14" s="5">
        <f t="shared" si="1"/>
        <v>46189</v>
      </c>
      <c r="E14" s="14">
        <v>0</v>
      </c>
      <c r="F14" s="13" t="s">
        <v>18</v>
      </c>
      <c r="G14" s="55">
        <v>4297</v>
      </c>
      <c r="H14" s="16">
        <v>0</v>
      </c>
      <c r="I14" s="3" t="s">
        <v>15</v>
      </c>
      <c r="J14" s="5">
        <f t="shared" si="0"/>
        <v>46190</v>
      </c>
      <c r="K14" s="13" t="s">
        <v>115</v>
      </c>
    </row>
    <row r="15" spans="1:11" ht="15.75" x14ac:dyDescent="0.25">
      <c r="A15" s="3">
        <v>6</v>
      </c>
      <c r="B15" s="3" t="s">
        <v>383</v>
      </c>
      <c r="C15" s="4">
        <v>1800</v>
      </c>
      <c r="D15" s="5">
        <f t="shared" si="1"/>
        <v>46189</v>
      </c>
      <c r="E15" s="14">
        <v>0</v>
      </c>
      <c r="F15" s="13" t="s">
        <v>18</v>
      </c>
      <c r="G15" s="55">
        <v>262</v>
      </c>
      <c r="H15" s="16">
        <v>0</v>
      </c>
      <c r="I15" s="3" t="s">
        <v>15</v>
      </c>
      <c r="J15" s="5">
        <f t="shared" si="0"/>
        <v>46190</v>
      </c>
      <c r="K15" s="13" t="s">
        <v>115</v>
      </c>
    </row>
    <row r="16" spans="1:11" ht="15.75" x14ac:dyDescent="0.25">
      <c r="A16" s="3">
        <v>7</v>
      </c>
      <c r="B16" s="3"/>
      <c r="C16" s="4"/>
      <c r="D16" s="5">
        <f t="shared" si="1"/>
        <v>46189</v>
      </c>
      <c r="E16" s="14">
        <v>0</v>
      </c>
      <c r="F16" s="13" t="s">
        <v>18</v>
      </c>
      <c r="G16" s="15"/>
      <c r="H16" s="16">
        <v>0</v>
      </c>
      <c r="I16" s="3" t="s">
        <v>15</v>
      </c>
      <c r="J16" s="5">
        <f t="shared" si="0"/>
        <v>46190</v>
      </c>
      <c r="K16" s="13"/>
    </row>
    <row r="17" spans="1:11" ht="18.75" x14ac:dyDescent="0.3">
      <c r="A17" s="3"/>
      <c r="B17" s="17" t="s">
        <v>16</v>
      </c>
      <c r="C17" s="54">
        <f>SUM(C10:C16)</f>
        <v>16790</v>
      </c>
      <c r="D17" s="3"/>
      <c r="E17" s="3"/>
      <c r="F17" s="13"/>
      <c r="G17" s="13"/>
      <c r="H17" s="11"/>
      <c r="I17" s="3"/>
      <c r="J17" s="3"/>
      <c r="K17" s="3"/>
    </row>
    <row r="18" spans="1:11" ht="24.75" x14ac:dyDescent="0.5">
      <c r="A18" s="125" t="s">
        <v>20</v>
      </c>
      <c r="B18" s="126"/>
      <c r="C18" s="126"/>
      <c r="D18" s="126"/>
      <c r="E18" s="126"/>
      <c r="F18" s="126"/>
      <c r="G18" s="126"/>
      <c r="H18" s="126"/>
      <c r="I18" s="126"/>
      <c r="J18" s="126"/>
      <c r="K18" s="127"/>
    </row>
    <row r="19" spans="1:11" ht="18.75" x14ac:dyDescent="0.3">
      <c r="A19" s="19" t="s">
        <v>3</v>
      </c>
      <c r="B19" s="19" t="s">
        <v>21</v>
      </c>
      <c r="C19" s="50" t="s">
        <v>5</v>
      </c>
      <c r="D19" s="1" t="s">
        <v>22</v>
      </c>
      <c r="E19" s="19" t="s">
        <v>7</v>
      </c>
      <c r="F19" s="19" t="s">
        <v>8</v>
      </c>
      <c r="G19" s="19" t="s">
        <v>23</v>
      </c>
      <c r="H19" s="20" t="s">
        <v>24</v>
      </c>
      <c r="I19" s="19" t="s">
        <v>11</v>
      </c>
      <c r="J19" s="19" t="s">
        <v>25</v>
      </c>
      <c r="K19" s="21" t="s">
        <v>26</v>
      </c>
    </row>
    <row r="20" spans="1:11" ht="15.75" x14ac:dyDescent="0.25">
      <c r="A20" s="8">
        <v>1</v>
      </c>
      <c r="B20" s="8" t="s">
        <v>384</v>
      </c>
      <c r="C20" s="47">
        <v>40000</v>
      </c>
      <c r="D20" s="5">
        <v>46189</v>
      </c>
      <c r="E20" s="8"/>
      <c r="F20" s="8"/>
      <c r="G20" s="22">
        <v>9013</v>
      </c>
      <c r="H20" s="23"/>
      <c r="I20" s="24"/>
      <c r="J20" s="3"/>
      <c r="K20" s="13" t="s">
        <v>386</v>
      </c>
    </row>
    <row r="21" spans="1:11" ht="15.75" x14ac:dyDescent="0.25">
      <c r="A21" s="8">
        <v>2</v>
      </c>
      <c r="B21" s="8" t="s">
        <v>41</v>
      </c>
      <c r="C21" s="47">
        <v>40021</v>
      </c>
      <c r="D21" s="5">
        <v>46189</v>
      </c>
      <c r="E21" s="8"/>
      <c r="F21" s="8"/>
      <c r="G21" s="22">
        <v>33</v>
      </c>
      <c r="H21" s="23"/>
      <c r="I21" s="24"/>
      <c r="J21" s="3"/>
      <c r="K21" s="13" t="s">
        <v>115</v>
      </c>
    </row>
    <row r="22" spans="1:11" ht="15.75" x14ac:dyDescent="0.25">
      <c r="A22" s="8">
        <v>3</v>
      </c>
      <c r="B22" s="8" t="s">
        <v>385</v>
      </c>
      <c r="C22" s="47">
        <v>5000</v>
      </c>
      <c r="D22" s="5">
        <v>46189</v>
      </c>
      <c r="E22" s="8"/>
      <c r="F22" s="8"/>
      <c r="G22" s="22">
        <v>4819</v>
      </c>
      <c r="H22" s="23"/>
      <c r="I22" s="24"/>
      <c r="J22" s="3"/>
      <c r="K22" s="13" t="s">
        <v>387</v>
      </c>
    </row>
    <row r="23" spans="1:11" ht="15.75" x14ac:dyDescent="0.25">
      <c r="A23" s="8">
        <v>4</v>
      </c>
      <c r="B23" s="8"/>
      <c r="C23" s="47">
        <v>0</v>
      </c>
      <c r="D23" s="5"/>
      <c r="E23" s="8"/>
      <c r="F23" s="8"/>
      <c r="G23" s="22"/>
      <c r="H23" s="23"/>
      <c r="I23" s="24"/>
      <c r="J23" s="3"/>
      <c r="K23" s="13"/>
    </row>
    <row r="24" spans="1:11" ht="18.75" x14ac:dyDescent="0.25">
      <c r="A24" s="8"/>
      <c r="B24" s="25" t="s">
        <v>27</v>
      </c>
      <c r="C24" s="51">
        <f>SUM(C20:C23)</f>
        <v>85021</v>
      </c>
      <c r="D24" s="3"/>
      <c r="E24" s="8"/>
      <c r="F24" s="8"/>
      <c r="G24" s="8"/>
      <c r="H24" s="27">
        <v>0</v>
      </c>
      <c r="I24" s="24"/>
      <c r="J24" s="3"/>
      <c r="K24" s="28"/>
    </row>
    <row r="25" spans="1:11" x14ac:dyDescent="0.25">
      <c r="C25" s="29"/>
      <c r="H25" s="29"/>
    </row>
    <row r="26" spans="1:11" ht="16.5" x14ac:dyDescent="0.3">
      <c r="B26" s="30" t="s">
        <v>28</v>
      </c>
      <c r="C26" s="31">
        <v>0</v>
      </c>
      <c r="E26" s="32"/>
      <c r="F26" s="32"/>
      <c r="G26" s="116"/>
      <c r="H26" s="116"/>
    </row>
    <row r="27" spans="1:11" ht="16.5" x14ac:dyDescent="0.3">
      <c r="B27" s="33" t="s">
        <v>29</v>
      </c>
      <c r="C27" s="34">
        <f>SUM(C10,C11,C12,C13,C14,C15)</f>
        <v>16790</v>
      </c>
      <c r="E27" s="35"/>
      <c r="F27" s="35"/>
      <c r="G27" s="36" t="s">
        <v>30</v>
      </c>
      <c r="H27" s="37"/>
    </row>
    <row r="28" spans="1:11" ht="24" x14ac:dyDescent="0.4">
      <c r="B28" s="38" t="s">
        <v>31</v>
      </c>
      <c r="C28" s="39">
        <v>0</v>
      </c>
      <c r="E28" s="40" t="s">
        <v>32</v>
      </c>
      <c r="F28" s="41"/>
      <c r="G28" s="42"/>
      <c r="H28" s="43"/>
      <c r="I28" s="42"/>
      <c r="J28" s="44"/>
    </row>
    <row r="29" spans="1:11" ht="18.75" x14ac:dyDescent="0.3">
      <c r="B29" s="45" t="s">
        <v>16</v>
      </c>
      <c r="C29" s="46">
        <f>SUM(C26:C28)</f>
        <v>16790</v>
      </c>
      <c r="G29" s="36"/>
      <c r="H29" s="37"/>
      <c r="I29" s="36"/>
      <c r="J29" s="36"/>
    </row>
  </sheetData>
  <mergeCells count="6">
    <mergeCell ref="G26:H26"/>
    <mergeCell ref="A1:K1"/>
    <mergeCell ref="A2:K2"/>
    <mergeCell ref="A3:K3"/>
    <mergeCell ref="A9:K9"/>
    <mergeCell ref="A18:K18"/>
  </mergeCells>
  <pageMargins left="0.59055118110236215" right="0.15748031496062992" top="0.47244094488188976" bottom="0.23622047244094488" header="0.31496062992125984" footer="0.31496062992125984"/>
  <pageSetup scale="78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14982-88AC-4B94-BF77-C84FE10D6B75}">
  <sheetPr>
    <pageSetUpPr fitToPage="1"/>
  </sheetPr>
  <dimension ref="A1:K32"/>
  <sheetViews>
    <sheetView topLeftCell="A10" workbookViewId="0">
      <selection activeCell="O24" sqref="O24"/>
    </sheetView>
  </sheetViews>
  <sheetFormatPr defaultRowHeight="15" x14ac:dyDescent="0.25"/>
  <cols>
    <col min="1" max="1" width="4.42578125" bestFit="1" customWidth="1"/>
    <col min="2" max="2" width="22.140625" bestFit="1" customWidth="1"/>
    <col min="3" max="3" width="12.570312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8.5703125" customWidth="1"/>
  </cols>
  <sheetData>
    <row r="1" spans="1:11" ht="48.75" x14ac:dyDescent="0.25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397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4">
        <v>3750</v>
      </c>
      <c r="D5" s="5">
        <v>46190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v>46189</v>
      </c>
      <c r="K5" s="8" t="s">
        <v>33</v>
      </c>
    </row>
    <row r="6" spans="1:11" ht="18.75" x14ac:dyDescent="0.3">
      <c r="A6" s="9"/>
      <c r="B6" s="10" t="s">
        <v>16</v>
      </c>
      <c r="C6" s="53">
        <f>SUM(C5:C5)</f>
        <v>3750</v>
      </c>
      <c r="D6" s="5"/>
      <c r="E6" s="12"/>
      <c r="F6" s="9"/>
      <c r="G6" s="13"/>
      <c r="H6" s="11">
        <f>SUM(H5:H5)</f>
        <v>0</v>
      </c>
      <c r="I6" s="9"/>
      <c r="J6" s="9"/>
      <c r="K6" s="9"/>
    </row>
    <row r="8" spans="1:11" ht="24" x14ac:dyDescent="0.4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75" x14ac:dyDescent="0.25">
      <c r="A9" s="3">
        <v>1</v>
      </c>
      <c r="B9" s="3" t="s">
        <v>389</v>
      </c>
      <c r="C9" s="4">
        <v>3680</v>
      </c>
      <c r="D9" s="5">
        <v>46190</v>
      </c>
      <c r="E9" s="14">
        <v>0</v>
      </c>
      <c r="F9" s="13" t="s">
        <v>18</v>
      </c>
      <c r="G9" s="15">
        <v>5009</v>
      </c>
      <c r="H9" s="16">
        <v>0</v>
      </c>
      <c r="I9" s="3" t="s">
        <v>19</v>
      </c>
      <c r="J9" s="5">
        <f t="shared" ref="J9:J19" si="0">+D9+1</f>
        <v>46191</v>
      </c>
      <c r="K9" s="13" t="s">
        <v>115</v>
      </c>
    </row>
    <row r="10" spans="1:11" ht="15.75" x14ac:dyDescent="0.25">
      <c r="A10" s="3">
        <v>2</v>
      </c>
      <c r="B10" s="3" t="s">
        <v>389</v>
      </c>
      <c r="C10" s="4">
        <v>2000</v>
      </c>
      <c r="D10" s="5">
        <f t="shared" ref="D10:D19" si="1">+D9</f>
        <v>46190</v>
      </c>
      <c r="E10" s="14">
        <v>0</v>
      </c>
      <c r="F10" s="13" t="s">
        <v>18</v>
      </c>
      <c r="G10" s="15">
        <v>4681</v>
      </c>
      <c r="H10" s="16">
        <v>0</v>
      </c>
      <c r="I10" s="3" t="s">
        <v>15</v>
      </c>
      <c r="J10" s="5">
        <f t="shared" si="0"/>
        <v>46191</v>
      </c>
      <c r="K10" s="13" t="s">
        <v>115</v>
      </c>
    </row>
    <row r="11" spans="1:11" ht="15.75" x14ac:dyDescent="0.25">
      <c r="A11" s="3">
        <v>3</v>
      </c>
      <c r="B11" s="3" t="s">
        <v>390</v>
      </c>
      <c r="C11" s="4">
        <v>6420</v>
      </c>
      <c r="D11" s="5">
        <f t="shared" si="1"/>
        <v>46190</v>
      </c>
      <c r="E11" s="14">
        <v>0</v>
      </c>
      <c r="F11" s="13" t="s">
        <v>18</v>
      </c>
      <c r="G11" s="15">
        <v>9902</v>
      </c>
      <c r="H11" s="16">
        <v>0</v>
      </c>
      <c r="I11" s="3" t="s">
        <v>15</v>
      </c>
      <c r="J11" s="5">
        <f t="shared" si="0"/>
        <v>46191</v>
      </c>
      <c r="K11" s="13" t="s">
        <v>115</v>
      </c>
    </row>
    <row r="12" spans="1:11" ht="15.75" x14ac:dyDescent="0.25">
      <c r="A12" s="3">
        <v>4</v>
      </c>
      <c r="B12" s="3" t="s">
        <v>390</v>
      </c>
      <c r="C12" s="4">
        <v>8880</v>
      </c>
      <c r="D12" s="5">
        <f t="shared" si="1"/>
        <v>46190</v>
      </c>
      <c r="E12" s="14">
        <v>0</v>
      </c>
      <c r="F12" s="13" t="s">
        <v>18</v>
      </c>
      <c r="G12" s="15">
        <v>6858</v>
      </c>
      <c r="H12" s="16">
        <v>0</v>
      </c>
      <c r="I12" s="3" t="s">
        <v>15</v>
      </c>
      <c r="J12" s="5">
        <f t="shared" si="0"/>
        <v>46191</v>
      </c>
      <c r="K12" s="13" t="s">
        <v>115</v>
      </c>
    </row>
    <row r="13" spans="1:11" ht="15.75" x14ac:dyDescent="0.25">
      <c r="A13" s="3">
        <v>5</v>
      </c>
      <c r="B13" s="3" t="s">
        <v>391</v>
      </c>
      <c r="C13" s="4">
        <v>1285</v>
      </c>
      <c r="D13" s="5">
        <f t="shared" si="1"/>
        <v>46190</v>
      </c>
      <c r="E13" s="14">
        <v>0</v>
      </c>
      <c r="F13" s="13" t="s">
        <v>18</v>
      </c>
      <c r="G13" s="15">
        <v>5389</v>
      </c>
      <c r="H13" s="16">
        <v>0</v>
      </c>
      <c r="I13" s="3" t="s">
        <v>15</v>
      </c>
      <c r="J13" s="5">
        <f t="shared" si="0"/>
        <v>46191</v>
      </c>
      <c r="K13" s="13" t="s">
        <v>115</v>
      </c>
    </row>
    <row r="14" spans="1:11" ht="15.75" x14ac:dyDescent="0.25">
      <c r="A14" s="3">
        <v>6</v>
      </c>
      <c r="B14" s="3" t="s">
        <v>215</v>
      </c>
      <c r="C14" s="4">
        <v>430</v>
      </c>
      <c r="D14" s="5">
        <f t="shared" si="1"/>
        <v>46190</v>
      </c>
      <c r="E14" s="14">
        <v>0</v>
      </c>
      <c r="F14" s="13" t="s">
        <v>18</v>
      </c>
      <c r="G14" s="15">
        <v>5810</v>
      </c>
      <c r="H14" s="16">
        <v>0</v>
      </c>
      <c r="I14" s="3" t="s">
        <v>15</v>
      </c>
      <c r="J14" s="5">
        <f t="shared" si="0"/>
        <v>46191</v>
      </c>
      <c r="K14" s="13" t="s">
        <v>115</v>
      </c>
    </row>
    <row r="15" spans="1:11" ht="15.75" x14ac:dyDescent="0.25">
      <c r="A15" s="3">
        <v>7</v>
      </c>
      <c r="B15" s="3" t="s">
        <v>215</v>
      </c>
      <c r="C15" s="4">
        <v>375</v>
      </c>
      <c r="D15" s="5">
        <f t="shared" si="1"/>
        <v>46190</v>
      </c>
      <c r="E15" s="14">
        <v>0</v>
      </c>
      <c r="F15" s="13" t="s">
        <v>18</v>
      </c>
      <c r="G15" s="15">
        <v>3590</v>
      </c>
      <c r="H15" s="16">
        <v>0</v>
      </c>
      <c r="I15" s="3" t="s">
        <v>15</v>
      </c>
      <c r="J15" s="5">
        <f t="shared" si="0"/>
        <v>46191</v>
      </c>
      <c r="K15" s="13" t="s">
        <v>115</v>
      </c>
    </row>
    <row r="16" spans="1:11" ht="15.75" x14ac:dyDescent="0.25">
      <c r="A16" s="3">
        <v>8</v>
      </c>
      <c r="B16" s="3" t="s">
        <v>392</v>
      </c>
      <c r="C16" s="4">
        <v>1440</v>
      </c>
      <c r="D16" s="5">
        <f t="shared" si="1"/>
        <v>46190</v>
      </c>
      <c r="E16" s="14">
        <v>0</v>
      </c>
      <c r="F16" s="13" t="s">
        <v>18</v>
      </c>
      <c r="G16" s="15">
        <v>7629</v>
      </c>
      <c r="H16" s="16">
        <v>0</v>
      </c>
      <c r="I16" s="3" t="s">
        <v>15</v>
      </c>
      <c r="J16" s="5">
        <f t="shared" si="0"/>
        <v>46191</v>
      </c>
      <c r="K16" s="13" t="s">
        <v>115</v>
      </c>
    </row>
    <row r="17" spans="1:11" ht="15.75" x14ac:dyDescent="0.25">
      <c r="A17" s="3">
        <v>9</v>
      </c>
      <c r="B17" s="3" t="s">
        <v>393</v>
      </c>
      <c r="C17" s="4">
        <v>1562</v>
      </c>
      <c r="D17" s="5">
        <f t="shared" si="1"/>
        <v>46190</v>
      </c>
      <c r="E17" s="14">
        <v>0</v>
      </c>
      <c r="F17" s="13" t="s">
        <v>18</v>
      </c>
      <c r="G17" s="15">
        <v>3506</v>
      </c>
      <c r="H17" s="16">
        <v>0</v>
      </c>
      <c r="I17" s="3" t="s">
        <v>15</v>
      </c>
      <c r="J17" s="5">
        <f t="shared" si="0"/>
        <v>46191</v>
      </c>
      <c r="K17" s="13" t="s">
        <v>399</v>
      </c>
    </row>
    <row r="18" spans="1:11" ht="15.75" x14ac:dyDescent="0.25">
      <c r="A18" s="3">
        <v>10</v>
      </c>
      <c r="B18" s="3" t="s">
        <v>391</v>
      </c>
      <c r="C18" s="4">
        <v>1265</v>
      </c>
      <c r="D18" s="5">
        <f t="shared" si="1"/>
        <v>46190</v>
      </c>
      <c r="E18" s="14">
        <v>0</v>
      </c>
      <c r="F18" s="13" t="s">
        <v>18</v>
      </c>
      <c r="G18" s="15">
        <v>9556</v>
      </c>
      <c r="H18" s="16">
        <v>0</v>
      </c>
      <c r="I18" s="3" t="s">
        <v>15</v>
      </c>
      <c r="J18" s="5">
        <f t="shared" si="0"/>
        <v>46191</v>
      </c>
      <c r="K18" s="13" t="s">
        <v>115</v>
      </c>
    </row>
    <row r="19" spans="1:11" ht="15.75" x14ac:dyDescent="0.25">
      <c r="A19" s="3">
        <v>11</v>
      </c>
      <c r="B19" s="3" t="s">
        <v>394</v>
      </c>
      <c r="C19" s="4">
        <v>21900</v>
      </c>
      <c r="D19" s="5">
        <f t="shared" si="1"/>
        <v>46190</v>
      </c>
      <c r="E19" s="14">
        <v>0</v>
      </c>
      <c r="F19" s="13" t="s">
        <v>18</v>
      </c>
      <c r="G19" s="15">
        <v>7166</v>
      </c>
      <c r="H19" s="16">
        <v>0</v>
      </c>
      <c r="I19" s="3" t="s">
        <v>15</v>
      </c>
      <c r="J19" s="5">
        <f t="shared" si="0"/>
        <v>46191</v>
      </c>
      <c r="K19" s="13" t="s">
        <v>127</v>
      </c>
    </row>
    <row r="20" spans="1:11" ht="18.75" x14ac:dyDescent="0.3">
      <c r="A20" s="3"/>
      <c r="B20" s="17" t="s">
        <v>16</v>
      </c>
      <c r="C20" s="54">
        <f>SUM(C9:C19)</f>
        <v>49237</v>
      </c>
      <c r="D20" s="3"/>
      <c r="E20" s="3"/>
      <c r="F20" s="13"/>
      <c r="G20" s="13"/>
      <c r="H20" s="11"/>
      <c r="I20" s="3"/>
      <c r="J20" s="3"/>
      <c r="K20" s="3"/>
    </row>
    <row r="21" spans="1:11" ht="24.75" x14ac:dyDescent="0.5">
      <c r="A21" s="125" t="s">
        <v>20</v>
      </c>
      <c r="B21" s="126"/>
      <c r="C21" s="126"/>
      <c r="D21" s="126"/>
      <c r="E21" s="126"/>
      <c r="F21" s="126"/>
      <c r="G21" s="126"/>
      <c r="H21" s="126"/>
      <c r="I21" s="126"/>
      <c r="J21" s="126"/>
      <c r="K21" s="127"/>
    </row>
    <row r="22" spans="1:11" ht="18.75" x14ac:dyDescent="0.3">
      <c r="A22" s="19" t="s">
        <v>3</v>
      </c>
      <c r="B22" s="19" t="s">
        <v>21</v>
      </c>
      <c r="C22" s="50" t="s">
        <v>5</v>
      </c>
      <c r="D22" s="1" t="s">
        <v>22</v>
      </c>
      <c r="E22" s="19" t="s">
        <v>7</v>
      </c>
      <c r="F22" s="19" t="s">
        <v>8</v>
      </c>
      <c r="G22" s="19" t="s">
        <v>23</v>
      </c>
      <c r="H22" s="20" t="s">
        <v>24</v>
      </c>
      <c r="I22" s="19" t="s">
        <v>11</v>
      </c>
      <c r="J22" s="19" t="s">
        <v>25</v>
      </c>
      <c r="K22" s="21" t="s">
        <v>26</v>
      </c>
    </row>
    <row r="23" spans="1:11" ht="15.75" x14ac:dyDescent="0.25">
      <c r="A23" s="8">
        <v>1</v>
      </c>
      <c r="B23" s="56" t="s">
        <v>395</v>
      </c>
      <c r="C23" s="47">
        <v>1000</v>
      </c>
      <c r="D23" s="5">
        <v>46190</v>
      </c>
      <c r="E23" s="8"/>
      <c r="F23" s="8"/>
      <c r="G23" s="22">
        <v>8441</v>
      </c>
      <c r="H23" s="23"/>
      <c r="I23" s="24"/>
      <c r="J23" s="3"/>
      <c r="K23" s="13" t="s">
        <v>398</v>
      </c>
    </row>
    <row r="24" spans="1:11" ht="15.75" x14ac:dyDescent="0.25">
      <c r="A24" s="8">
        <v>2</v>
      </c>
      <c r="B24" s="8" t="s">
        <v>41</v>
      </c>
      <c r="C24" s="47">
        <v>28031</v>
      </c>
      <c r="D24" s="5">
        <v>46190</v>
      </c>
      <c r="E24" s="8"/>
      <c r="F24" s="8"/>
      <c r="G24" s="22">
        <v>44</v>
      </c>
      <c r="H24" s="23"/>
      <c r="I24" s="24"/>
      <c r="J24" s="3"/>
      <c r="K24" s="13" t="s">
        <v>115</v>
      </c>
    </row>
    <row r="25" spans="1:11" ht="15.75" x14ac:dyDescent="0.25">
      <c r="A25" s="8">
        <v>3</v>
      </c>
      <c r="B25" s="8" t="s">
        <v>396</v>
      </c>
      <c r="C25" s="47">
        <v>5000</v>
      </c>
      <c r="D25" s="5">
        <v>46190</v>
      </c>
      <c r="E25" s="8"/>
      <c r="F25" s="8"/>
      <c r="G25" s="22">
        <v>6232</v>
      </c>
      <c r="H25" s="23"/>
      <c r="I25" s="24"/>
      <c r="J25" s="3"/>
      <c r="K25" s="13" t="s">
        <v>361</v>
      </c>
    </row>
    <row r="26" spans="1:11" ht="15.75" x14ac:dyDescent="0.25">
      <c r="A26" s="8">
        <v>4</v>
      </c>
      <c r="B26" s="8"/>
      <c r="C26" s="47">
        <v>0</v>
      </c>
      <c r="D26" s="5"/>
      <c r="E26" s="8"/>
      <c r="F26" s="8"/>
      <c r="G26" s="22"/>
      <c r="H26" s="23"/>
      <c r="I26" s="24"/>
      <c r="J26" s="3"/>
      <c r="K26" s="13"/>
    </row>
    <row r="27" spans="1:11" ht="18.75" x14ac:dyDescent="0.25">
      <c r="A27" s="8"/>
      <c r="B27" s="25" t="s">
        <v>27</v>
      </c>
      <c r="C27" s="51">
        <f>SUM(C23:C26)</f>
        <v>34031</v>
      </c>
      <c r="D27" s="3"/>
      <c r="E27" s="8"/>
      <c r="F27" s="8"/>
      <c r="G27" s="8"/>
      <c r="H27" s="27">
        <v>0</v>
      </c>
      <c r="I27" s="24"/>
      <c r="J27" s="3"/>
      <c r="K27" s="28"/>
    </row>
    <row r="28" spans="1:11" x14ac:dyDescent="0.25">
      <c r="C28" s="29"/>
      <c r="H28" s="29"/>
    </row>
    <row r="29" spans="1:11" ht="16.5" x14ac:dyDescent="0.3">
      <c r="B29" s="30" t="s">
        <v>28</v>
      </c>
      <c r="C29" s="31">
        <f>SUM(C19,C17)</f>
        <v>23462</v>
      </c>
      <c r="E29" s="32"/>
      <c r="F29" s="32"/>
      <c r="G29" s="116"/>
      <c r="H29" s="116"/>
    </row>
    <row r="30" spans="1:11" ht="16.5" x14ac:dyDescent="0.3">
      <c r="B30" s="33" t="s">
        <v>29</v>
      </c>
      <c r="C30" s="34">
        <f>SUM(C18,C16,C15,C14,C13,C12,C11,C10,C9)</f>
        <v>25775</v>
      </c>
      <c r="E30" s="35"/>
      <c r="F30" s="35"/>
      <c r="G30" s="36" t="s">
        <v>30</v>
      </c>
      <c r="H30" s="37"/>
    </row>
    <row r="31" spans="1:11" ht="24" x14ac:dyDescent="0.4">
      <c r="B31" s="38" t="s">
        <v>31</v>
      </c>
      <c r="C31" s="39">
        <v>0</v>
      </c>
      <c r="E31" s="40" t="s">
        <v>32</v>
      </c>
      <c r="F31" s="41"/>
      <c r="G31" s="42"/>
      <c r="H31" s="43"/>
      <c r="I31" s="42"/>
      <c r="J31" s="44"/>
    </row>
    <row r="32" spans="1:11" ht="18.75" x14ac:dyDescent="0.3">
      <c r="B32" s="45" t="s">
        <v>16</v>
      </c>
      <c r="C32" s="46">
        <f>SUM(C29:C31)</f>
        <v>49237</v>
      </c>
      <c r="G32" s="36"/>
      <c r="H32" s="37"/>
      <c r="I32" s="36"/>
      <c r="J32" s="36"/>
    </row>
  </sheetData>
  <mergeCells count="6">
    <mergeCell ref="G29:H29"/>
    <mergeCell ref="A1:K1"/>
    <mergeCell ref="A2:K2"/>
    <mergeCell ref="A3:K3"/>
    <mergeCell ref="A8:K8"/>
    <mergeCell ref="A21:K21"/>
  </mergeCells>
  <pageMargins left="0.59055118110236215" right="0.15748031496062992" top="0.47244094488188976" bottom="0.23622047244094488" header="0.31496062992125984" footer="0.31496062992125984"/>
  <pageSetup scale="87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F24B4-3488-45A4-9CAD-6F478FC0ED77}">
  <sheetPr>
    <pageSetUpPr fitToPage="1"/>
  </sheetPr>
  <dimension ref="A1:K39"/>
  <sheetViews>
    <sheetView topLeftCell="A14" workbookViewId="0">
      <selection activeCell="P30" sqref="P30"/>
    </sheetView>
  </sheetViews>
  <sheetFormatPr defaultRowHeight="15" x14ac:dyDescent="0.25"/>
  <cols>
    <col min="1" max="1" width="4.42578125" bestFit="1" customWidth="1"/>
    <col min="2" max="2" width="20.42578125" bestFit="1" customWidth="1"/>
    <col min="3" max="3" width="14.42578125" bestFit="1" customWidth="1"/>
    <col min="4" max="4" width="13.85546875" bestFit="1" customWidth="1"/>
    <col min="5" max="5" width="11.42578125" bestFit="1" customWidth="1"/>
    <col min="6" max="6" width="6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8.7109375" bestFit="1" customWidth="1"/>
  </cols>
  <sheetData>
    <row r="1" spans="1:11" ht="48.75" x14ac:dyDescent="0.25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400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4"/>
      <c r="D5" s="5">
        <v>46191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46190</v>
      </c>
      <c r="K5" s="8" t="s">
        <v>33</v>
      </c>
    </row>
    <row r="6" spans="1:11" ht="15.75" x14ac:dyDescent="0.25">
      <c r="A6" s="3">
        <v>2</v>
      </c>
      <c r="B6" s="3" t="s">
        <v>418</v>
      </c>
      <c r="C6" s="4">
        <v>43670</v>
      </c>
      <c r="D6" s="5">
        <v>46191</v>
      </c>
      <c r="E6" s="6">
        <v>0</v>
      </c>
      <c r="F6" s="3" t="s">
        <v>14</v>
      </c>
      <c r="G6" s="49">
        <v>9020</v>
      </c>
      <c r="H6" s="7">
        <v>0</v>
      </c>
      <c r="I6" s="3" t="s">
        <v>15</v>
      </c>
      <c r="J6" s="5">
        <f>+D6-1</f>
        <v>46190</v>
      </c>
      <c r="K6" s="8" t="s">
        <v>448</v>
      </c>
    </row>
    <row r="7" spans="1:11" ht="15.75" x14ac:dyDescent="0.25">
      <c r="A7" s="3">
        <v>3</v>
      </c>
      <c r="B7" s="3" t="s">
        <v>46</v>
      </c>
      <c r="C7" s="4">
        <v>100000</v>
      </c>
      <c r="D7" s="5">
        <v>46191</v>
      </c>
      <c r="E7" s="6">
        <v>0</v>
      </c>
      <c r="F7" s="3" t="s">
        <v>14</v>
      </c>
      <c r="G7" s="49">
        <v>2579</v>
      </c>
      <c r="H7" s="7">
        <v>0</v>
      </c>
      <c r="I7" s="3" t="s">
        <v>15</v>
      </c>
      <c r="J7" s="5">
        <f>+D7-1</f>
        <v>46190</v>
      </c>
      <c r="K7" s="8" t="s">
        <v>46</v>
      </c>
    </row>
    <row r="8" spans="1:11" ht="15.75" x14ac:dyDescent="0.25">
      <c r="A8" s="3">
        <v>4</v>
      </c>
      <c r="B8" s="3" t="s">
        <v>46</v>
      </c>
      <c r="C8" s="4">
        <v>52500</v>
      </c>
      <c r="D8" s="5">
        <v>46191</v>
      </c>
      <c r="E8" s="6">
        <v>0</v>
      </c>
      <c r="F8" s="3" t="s">
        <v>14</v>
      </c>
      <c r="G8" s="49">
        <v>2582</v>
      </c>
      <c r="H8" s="7">
        <v>0</v>
      </c>
      <c r="I8" s="3" t="s">
        <v>15</v>
      </c>
      <c r="J8" s="5">
        <f>+D8-1</f>
        <v>46190</v>
      </c>
      <c r="K8" s="8" t="s">
        <v>261</v>
      </c>
    </row>
    <row r="9" spans="1:11" ht="15.75" x14ac:dyDescent="0.25">
      <c r="A9" s="3">
        <v>5</v>
      </c>
      <c r="B9" s="3"/>
      <c r="C9" s="4">
        <v>0</v>
      </c>
      <c r="D9" s="5"/>
      <c r="E9" s="6"/>
      <c r="F9" s="3"/>
      <c r="G9" s="49"/>
      <c r="H9" s="7"/>
      <c r="I9" s="3"/>
      <c r="J9" s="5"/>
      <c r="K9" s="8"/>
    </row>
    <row r="10" spans="1:11" ht="18.75" x14ac:dyDescent="0.3">
      <c r="A10" s="9"/>
      <c r="B10" s="10" t="s">
        <v>16</v>
      </c>
      <c r="C10" s="53">
        <f>SUM(C5:C9)</f>
        <v>196170</v>
      </c>
      <c r="D10" s="3"/>
      <c r="E10" s="12"/>
      <c r="F10" s="9"/>
      <c r="G10" s="13"/>
      <c r="H10" s="11">
        <f>SUM(H5:H5)</f>
        <v>0</v>
      </c>
      <c r="I10" s="9"/>
      <c r="J10" s="9"/>
      <c r="K10" s="9"/>
    </row>
    <row r="12" spans="1:11" ht="24" x14ac:dyDescent="0.4">
      <c r="A12" s="122" t="s">
        <v>17</v>
      </c>
      <c r="B12" s="123"/>
      <c r="C12" s="123"/>
      <c r="D12" s="123"/>
      <c r="E12" s="123"/>
      <c r="F12" s="123"/>
      <c r="G12" s="123"/>
      <c r="H12" s="123"/>
      <c r="I12" s="123"/>
      <c r="J12" s="123"/>
      <c r="K12" s="124"/>
    </row>
    <row r="13" spans="1:11" ht="15.75" x14ac:dyDescent="0.25">
      <c r="A13" s="3">
        <v>1</v>
      </c>
      <c r="B13" s="3" t="s">
        <v>365</v>
      </c>
      <c r="C13" s="4">
        <v>5000</v>
      </c>
      <c r="D13" s="5">
        <v>46191</v>
      </c>
      <c r="E13" s="14">
        <v>0</v>
      </c>
      <c r="F13" s="13" t="s">
        <v>18</v>
      </c>
      <c r="G13" s="15">
        <v>3922</v>
      </c>
      <c r="H13" s="16">
        <v>0</v>
      </c>
      <c r="I13" s="3" t="s">
        <v>19</v>
      </c>
      <c r="J13" s="5">
        <f t="shared" ref="J13:J22" si="0">+D13+1</f>
        <v>46192</v>
      </c>
      <c r="K13" s="13"/>
    </row>
    <row r="14" spans="1:11" ht="15.75" x14ac:dyDescent="0.25">
      <c r="A14" s="3">
        <v>2</v>
      </c>
      <c r="B14" s="3" t="s">
        <v>402</v>
      </c>
      <c r="C14" s="4">
        <v>2495</v>
      </c>
      <c r="D14" s="5">
        <f t="shared" ref="D14:D22" si="1">+D13</f>
        <v>46191</v>
      </c>
      <c r="E14" s="14">
        <v>0</v>
      </c>
      <c r="F14" s="13" t="s">
        <v>18</v>
      </c>
      <c r="G14" s="15">
        <v>3998</v>
      </c>
      <c r="H14" s="16">
        <v>0</v>
      </c>
      <c r="I14" s="3" t="s">
        <v>15</v>
      </c>
      <c r="J14" s="5">
        <f t="shared" si="0"/>
        <v>46192</v>
      </c>
      <c r="K14" s="13" t="s">
        <v>428</v>
      </c>
    </row>
    <row r="15" spans="1:11" ht="15.75" x14ac:dyDescent="0.25">
      <c r="A15" s="3">
        <v>3</v>
      </c>
      <c r="B15" s="3" t="s">
        <v>403</v>
      </c>
      <c r="C15" s="4">
        <v>1130</v>
      </c>
      <c r="D15" s="5">
        <f t="shared" si="1"/>
        <v>46191</v>
      </c>
      <c r="E15" s="14">
        <v>0</v>
      </c>
      <c r="F15" s="13" t="s">
        <v>18</v>
      </c>
      <c r="G15" s="15">
        <v>2156</v>
      </c>
      <c r="H15" s="16">
        <v>0</v>
      </c>
      <c r="I15" s="3" t="s">
        <v>15</v>
      </c>
      <c r="J15" s="5">
        <f t="shared" si="0"/>
        <v>46192</v>
      </c>
      <c r="K15" s="13" t="s">
        <v>428</v>
      </c>
    </row>
    <row r="16" spans="1:11" ht="15.75" x14ac:dyDescent="0.25">
      <c r="A16" s="3">
        <v>4</v>
      </c>
      <c r="B16" s="3" t="s">
        <v>404</v>
      </c>
      <c r="C16" s="4">
        <v>1590</v>
      </c>
      <c r="D16" s="5">
        <f t="shared" si="1"/>
        <v>46191</v>
      </c>
      <c r="E16" s="14">
        <v>0</v>
      </c>
      <c r="F16" s="13" t="s">
        <v>18</v>
      </c>
      <c r="G16" s="15">
        <v>8057</v>
      </c>
      <c r="H16" s="16">
        <v>0</v>
      </c>
      <c r="I16" s="3" t="s">
        <v>15</v>
      </c>
      <c r="J16" s="5">
        <f t="shared" si="0"/>
        <v>46192</v>
      </c>
      <c r="K16" s="13" t="s">
        <v>428</v>
      </c>
    </row>
    <row r="17" spans="1:11" ht="15.75" x14ac:dyDescent="0.25">
      <c r="A17" s="3">
        <v>5</v>
      </c>
      <c r="B17" s="3" t="s">
        <v>405</v>
      </c>
      <c r="C17" s="4">
        <v>200</v>
      </c>
      <c r="D17" s="5">
        <f t="shared" si="1"/>
        <v>46191</v>
      </c>
      <c r="E17" s="14">
        <v>0</v>
      </c>
      <c r="F17" s="13" t="s">
        <v>18</v>
      </c>
      <c r="G17" s="15">
        <v>1537</v>
      </c>
      <c r="H17" s="16">
        <v>0</v>
      </c>
      <c r="I17" s="3" t="s">
        <v>15</v>
      </c>
      <c r="J17" s="5">
        <f t="shared" si="0"/>
        <v>46192</v>
      </c>
      <c r="K17" s="13" t="s">
        <v>160</v>
      </c>
    </row>
    <row r="18" spans="1:11" ht="15.75" x14ac:dyDescent="0.25">
      <c r="A18" s="3">
        <v>6</v>
      </c>
      <c r="B18" s="3" t="s">
        <v>406</v>
      </c>
      <c r="C18" s="4">
        <v>3000</v>
      </c>
      <c r="D18" s="5">
        <f t="shared" si="1"/>
        <v>46191</v>
      </c>
      <c r="E18" s="14">
        <v>0</v>
      </c>
      <c r="F18" s="13" t="s">
        <v>18</v>
      </c>
      <c r="G18" s="15">
        <v>1696</v>
      </c>
      <c r="H18" s="16">
        <v>0</v>
      </c>
      <c r="I18" s="3" t="s">
        <v>15</v>
      </c>
      <c r="J18" s="5">
        <f t="shared" si="0"/>
        <v>46192</v>
      </c>
      <c r="K18" s="13" t="s">
        <v>428</v>
      </c>
    </row>
    <row r="19" spans="1:11" ht="15.75" x14ac:dyDescent="0.25">
      <c r="A19" s="3">
        <v>7</v>
      </c>
      <c r="B19" s="3" t="s">
        <v>407</v>
      </c>
      <c r="C19" s="4">
        <v>500</v>
      </c>
      <c r="D19" s="5">
        <f t="shared" si="1"/>
        <v>46191</v>
      </c>
      <c r="E19" s="14">
        <v>0</v>
      </c>
      <c r="F19" s="13" t="s">
        <v>18</v>
      </c>
      <c r="G19" s="15">
        <v>2818</v>
      </c>
      <c r="H19" s="16">
        <v>0</v>
      </c>
      <c r="I19" s="3" t="s">
        <v>15</v>
      </c>
      <c r="J19" s="5">
        <f t="shared" si="0"/>
        <v>46192</v>
      </c>
      <c r="K19" s="13" t="s">
        <v>428</v>
      </c>
    </row>
    <row r="20" spans="1:11" ht="15.75" x14ac:dyDescent="0.25">
      <c r="A20" s="3">
        <v>8</v>
      </c>
      <c r="B20" s="3" t="s">
        <v>408</v>
      </c>
      <c r="C20" s="4">
        <v>9800</v>
      </c>
      <c r="D20" s="5">
        <f t="shared" si="1"/>
        <v>46191</v>
      </c>
      <c r="E20" s="14">
        <v>0</v>
      </c>
      <c r="F20" s="13" t="s">
        <v>18</v>
      </c>
      <c r="G20" s="15">
        <v>7756</v>
      </c>
      <c r="H20" s="16">
        <v>0</v>
      </c>
      <c r="I20" s="3" t="s">
        <v>15</v>
      </c>
      <c r="J20" s="5">
        <f t="shared" si="0"/>
        <v>46192</v>
      </c>
      <c r="K20" s="13" t="s">
        <v>102</v>
      </c>
    </row>
    <row r="21" spans="1:11" ht="15.75" x14ac:dyDescent="0.25">
      <c r="A21" s="3">
        <v>9</v>
      </c>
      <c r="B21" s="3" t="s">
        <v>409</v>
      </c>
      <c r="C21" s="4">
        <v>1900</v>
      </c>
      <c r="D21" s="5">
        <f t="shared" si="1"/>
        <v>46191</v>
      </c>
      <c r="E21" s="14">
        <v>0</v>
      </c>
      <c r="F21" s="13" t="s">
        <v>18</v>
      </c>
      <c r="G21" s="15">
        <v>4330</v>
      </c>
      <c r="H21" s="16">
        <v>0</v>
      </c>
      <c r="I21" s="3" t="s">
        <v>15</v>
      </c>
      <c r="J21" s="5">
        <f t="shared" si="0"/>
        <v>46192</v>
      </c>
      <c r="K21" s="13" t="s">
        <v>426</v>
      </c>
    </row>
    <row r="22" spans="1:11" ht="15.75" x14ac:dyDescent="0.25">
      <c r="A22" s="3">
        <v>10</v>
      </c>
      <c r="B22" s="3" t="s">
        <v>310</v>
      </c>
      <c r="C22" s="4">
        <v>11045</v>
      </c>
      <c r="D22" s="5">
        <f t="shared" si="1"/>
        <v>46191</v>
      </c>
      <c r="E22" s="14">
        <v>0</v>
      </c>
      <c r="F22" s="13" t="s">
        <v>18</v>
      </c>
      <c r="G22" s="15">
        <v>8429</v>
      </c>
      <c r="H22" s="16">
        <v>0</v>
      </c>
      <c r="I22" s="3" t="s">
        <v>15</v>
      </c>
      <c r="J22" s="5">
        <f t="shared" si="0"/>
        <v>46192</v>
      </c>
      <c r="K22" s="13" t="s">
        <v>428</v>
      </c>
    </row>
    <row r="23" spans="1:11" ht="18.75" x14ac:dyDescent="0.3">
      <c r="A23" s="3"/>
      <c r="B23" s="17" t="s">
        <v>16</v>
      </c>
      <c r="C23" s="54">
        <f>SUM(C13:C22)</f>
        <v>36660</v>
      </c>
      <c r="D23" s="3"/>
      <c r="E23" s="3"/>
      <c r="F23" s="13"/>
      <c r="G23" s="13"/>
      <c r="H23" s="11"/>
      <c r="I23" s="3"/>
      <c r="J23" s="3"/>
      <c r="K23" s="3"/>
    </row>
    <row r="24" spans="1:11" ht="24.75" x14ac:dyDescent="0.5">
      <c r="A24" s="125" t="s">
        <v>20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7"/>
    </row>
    <row r="25" spans="1:11" ht="18.75" x14ac:dyDescent="0.3">
      <c r="A25" s="19" t="s">
        <v>3</v>
      </c>
      <c r="B25" s="19" t="s">
        <v>21</v>
      </c>
      <c r="C25" s="50" t="s">
        <v>5</v>
      </c>
      <c r="D25" s="1" t="s">
        <v>22</v>
      </c>
      <c r="E25" s="19" t="s">
        <v>7</v>
      </c>
      <c r="F25" s="19" t="s">
        <v>8</v>
      </c>
      <c r="G25" s="19" t="s">
        <v>23</v>
      </c>
      <c r="H25" s="20" t="s">
        <v>24</v>
      </c>
      <c r="I25" s="19" t="s">
        <v>11</v>
      </c>
      <c r="J25" s="19" t="s">
        <v>25</v>
      </c>
      <c r="K25" s="21" t="s">
        <v>26</v>
      </c>
    </row>
    <row r="26" spans="1:11" ht="15.75" x14ac:dyDescent="0.25">
      <c r="A26" s="8">
        <v>1</v>
      </c>
      <c r="B26" s="8" t="s">
        <v>53</v>
      </c>
      <c r="C26" s="47">
        <v>199</v>
      </c>
      <c r="D26" s="5">
        <v>46191</v>
      </c>
      <c r="E26" s="8"/>
      <c r="F26" s="8"/>
      <c r="G26" s="22">
        <v>9922</v>
      </c>
      <c r="H26" s="23"/>
      <c r="I26" s="24"/>
      <c r="J26" s="3"/>
      <c r="K26" s="13" t="s">
        <v>429</v>
      </c>
    </row>
    <row r="27" spans="1:11" ht="15.75" x14ac:dyDescent="0.25">
      <c r="A27" s="8">
        <v>2</v>
      </c>
      <c r="B27" s="8" t="s">
        <v>419</v>
      </c>
      <c r="C27" s="47">
        <v>90002</v>
      </c>
      <c r="D27" s="5">
        <v>46191</v>
      </c>
      <c r="E27" s="8"/>
      <c r="F27" s="8"/>
      <c r="G27" s="22">
        <v>2222</v>
      </c>
      <c r="H27" s="23"/>
      <c r="I27" s="24"/>
      <c r="J27" s="3"/>
      <c r="K27" s="13" t="s">
        <v>430</v>
      </c>
    </row>
    <row r="28" spans="1:11" ht="15.75" x14ac:dyDescent="0.25">
      <c r="A28" s="8">
        <v>3</v>
      </c>
      <c r="B28" s="8" t="s">
        <v>52</v>
      </c>
      <c r="C28" s="47">
        <v>125000</v>
      </c>
      <c r="D28" s="5">
        <v>46191</v>
      </c>
      <c r="E28" s="8"/>
      <c r="F28" s="8"/>
      <c r="G28" s="22">
        <v>77</v>
      </c>
      <c r="H28" s="23"/>
      <c r="I28" s="24"/>
      <c r="J28" s="3"/>
      <c r="K28" s="13" t="s">
        <v>431</v>
      </c>
    </row>
    <row r="29" spans="1:11" ht="15.75" x14ac:dyDescent="0.25">
      <c r="A29" s="8">
        <v>4</v>
      </c>
      <c r="B29" s="8" t="s">
        <v>41</v>
      </c>
      <c r="C29" s="47">
        <v>28601</v>
      </c>
      <c r="D29" s="5">
        <v>46191</v>
      </c>
      <c r="E29" s="8"/>
      <c r="F29" s="8"/>
      <c r="G29" s="22">
        <v>127</v>
      </c>
      <c r="H29" s="23"/>
      <c r="I29" s="24"/>
      <c r="J29" s="3"/>
      <c r="K29" s="13" t="s">
        <v>115</v>
      </c>
    </row>
    <row r="30" spans="1:11" ht="15.75" x14ac:dyDescent="0.25">
      <c r="A30" s="8">
        <v>5</v>
      </c>
      <c r="B30" s="8" t="s">
        <v>420</v>
      </c>
      <c r="C30" s="47">
        <v>1500</v>
      </c>
      <c r="D30" s="5">
        <v>46191</v>
      </c>
      <c r="E30" s="8"/>
      <c r="F30" s="8"/>
      <c r="G30" s="22">
        <v>4212</v>
      </c>
      <c r="H30" s="23"/>
      <c r="I30" s="24"/>
      <c r="J30" s="3"/>
      <c r="K30" s="13" t="s">
        <v>160</v>
      </c>
    </row>
    <row r="31" spans="1:11" ht="15.75" x14ac:dyDescent="0.25">
      <c r="A31" s="8">
        <v>6</v>
      </c>
      <c r="B31" s="8" t="s">
        <v>420</v>
      </c>
      <c r="C31" s="47">
        <v>1500</v>
      </c>
      <c r="D31" s="5">
        <v>46191</v>
      </c>
      <c r="E31" s="8"/>
      <c r="F31" s="8"/>
      <c r="G31" s="22">
        <v>9793</v>
      </c>
      <c r="H31" s="23"/>
      <c r="I31" s="24"/>
      <c r="J31" s="3"/>
      <c r="K31" s="13" t="s">
        <v>160</v>
      </c>
    </row>
    <row r="32" spans="1:11" ht="15.75" x14ac:dyDescent="0.25">
      <c r="A32" s="8">
        <v>7</v>
      </c>
      <c r="B32" s="8" t="s">
        <v>421</v>
      </c>
      <c r="C32" s="47">
        <v>10000</v>
      </c>
      <c r="D32" s="5">
        <v>46191</v>
      </c>
      <c r="E32" s="8"/>
      <c r="F32" s="8"/>
      <c r="G32" s="22">
        <v>741</v>
      </c>
      <c r="H32" s="23"/>
      <c r="I32" s="24"/>
      <c r="J32" s="3"/>
      <c r="K32" s="13" t="s">
        <v>432</v>
      </c>
    </row>
    <row r="33" spans="1:11" ht="15.75" x14ac:dyDescent="0.25">
      <c r="A33" s="8">
        <v>8</v>
      </c>
      <c r="B33" s="8" t="s">
        <v>422</v>
      </c>
      <c r="C33" s="47">
        <v>10000</v>
      </c>
      <c r="D33" s="5">
        <v>46191</v>
      </c>
      <c r="E33" s="8"/>
      <c r="F33" s="8"/>
      <c r="G33" s="22">
        <v>7425</v>
      </c>
      <c r="H33" s="23"/>
      <c r="I33" s="24"/>
      <c r="J33" s="3"/>
      <c r="K33" s="13" t="s">
        <v>433</v>
      </c>
    </row>
    <row r="34" spans="1:11" ht="18.75" x14ac:dyDescent="0.25">
      <c r="A34" s="8"/>
      <c r="B34" s="25" t="s">
        <v>27</v>
      </c>
      <c r="C34" s="51">
        <f>SUM(C26:C33)</f>
        <v>266802</v>
      </c>
      <c r="D34" s="3"/>
      <c r="E34" s="8"/>
      <c r="F34" s="8"/>
      <c r="G34" s="8"/>
      <c r="H34" s="27">
        <v>0</v>
      </c>
      <c r="I34" s="24"/>
      <c r="J34" s="3"/>
      <c r="K34" s="28"/>
    </row>
    <row r="35" spans="1:11" x14ac:dyDescent="0.25">
      <c r="C35" s="29"/>
      <c r="H35" s="29"/>
    </row>
    <row r="36" spans="1:11" ht="16.5" x14ac:dyDescent="0.3">
      <c r="B36" s="30" t="s">
        <v>28</v>
      </c>
      <c r="C36" s="31">
        <f>SUM(C20)</f>
        <v>9800</v>
      </c>
      <c r="E36" s="32"/>
      <c r="F36" s="32"/>
      <c r="G36" s="116"/>
      <c r="H36" s="116"/>
    </row>
    <row r="37" spans="1:11" ht="16.5" x14ac:dyDescent="0.3">
      <c r="B37" s="33" t="s">
        <v>29</v>
      </c>
      <c r="C37" s="34">
        <f>SUM(C14,C15,C16,C18,C19,C22)</f>
        <v>19760</v>
      </c>
      <c r="E37" s="35"/>
      <c r="F37" s="35"/>
      <c r="G37" s="36" t="s">
        <v>30</v>
      </c>
      <c r="H37" s="37"/>
    </row>
    <row r="38" spans="1:11" ht="24" x14ac:dyDescent="0.4">
      <c r="B38" s="38" t="s">
        <v>31</v>
      </c>
      <c r="C38" s="39">
        <f>SUM(C13,C17,C21)</f>
        <v>7100</v>
      </c>
      <c r="E38" s="40" t="s">
        <v>32</v>
      </c>
      <c r="F38" s="41"/>
      <c r="G38" s="42"/>
      <c r="H38" s="43"/>
      <c r="I38" s="42"/>
      <c r="J38" s="44"/>
    </row>
    <row r="39" spans="1:11" ht="18.75" x14ac:dyDescent="0.3">
      <c r="B39" s="45" t="s">
        <v>16</v>
      </c>
      <c r="C39" s="46">
        <f>SUM(C36:C38)</f>
        <v>36660</v>
      </c>
      <c r="G39" s="36"/>
      <c r="H39" s="37"/>
      <c r="I39" s="36"/>
      <c r="J39" s="36"/>
    </row>
  </sheetData>
  <mergeCells count="6">
    <mergeCell ref="G36:H36"/>
    <mergeCell ref="A1:K1"/>
    <mergeCell ref="A2:K2"/>
    <mergeCell ref="A3:K3"/>
    <mergeCell ref="A12:K12"/>
    <mergeCell ref="A24:K24"/>
  </mergeCells>
  <pageMargins left="0.59055118110236215" right="0.15748031496062992" top="0.47244094488188976" bottom="0.23622047244094488" header="0.31496062992125984" footer="0.31496062992125984"/>
  <pageSetup scale="77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93DDB-B357-42B0-B600-CA4ED1E85CAB}">
  <sheetPr>
    <pageSetUpPr fitToPage="1"/>
  </sheetPr>
  <dimension ref="A1:K36"/>
  <sheetViews>
    <sheetView topLeftCell="A25" zoomScale="115" zoomScaleNormal="115" workbookViewId="0">
      <selection sqref="A1:K36"/>
    </sheetView>
  </sheetViews>
  <sheetFormatPr defaultRowHeight="15" x14ac:dyDescent="0.25"/>
  <cols>
    <col min="1" max="1" width="4.42578125" bestFit="1" customWidth="1"/>
    <col min="2" max="2" width="22.140625" bestFit="1" customWidth="1"/>
    <col min="3" max="3" width="14.4257812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9.140625" bestFit="1" customWidth="1"/>
  </cols>
  <sheetData>
    <row r="1" spans="1:11" ht="48.75" x14ac:dyDescent="0.25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401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4"/>
      <c r="D5" s="5">
        <v>46192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46191</v>
      </c>
      <c r="K5" s="8" t="s">
        <v>33</v>
      </c>
    </row>
    <row r="6" spans="1:11" ht="15.75" x14ac:dyDescent="0.25">
      <c r="A6" s="3">
        <v>2</v>
      </c>
      <c r="B6" s="3" t="s">
        <v>423</v>
      </c>
      <c r="C6" s="4">
        <v>100000</v>
      </c>
      <c r="D6" s="5">
        <v>46192</v>
      </c>
      <c r="E6" s="6">
        <v>0</v>
      </c>
      <c r="F6" s="3" t="s">
        <v>14</v>
      </c>
      <c r="G6" s="49">
        <v>2869</v>
      </c>
      <c r="H6" s="7">
        <v>0</v>
      </c>
      <c r="I6" s="3" t="s">
        <v>15</v>
      </c>
      <c r="J6" s="5">
        <f>+D6-1</f>
        <v>46191</v>
      </c>
      <c r="K6" s="8" t="s">
        <v>449</v>
      </c>
    </row>
    <row r="7" spans="1:11" ht="15.75" x14ac:dyDescent="0.25">
      <c r="A7" s="3">
        <v>3</v>
      </c>
      <c r="B7" s="3"/>
      <c r="C7" s="4">
        <v>0</v>
      </c>
      <c r="D7" s="5"/>
      <c r="E7" s="6"/>
      <c r="F7" s="3"/>
      <c r="G7" s="49"/>
      <c r="H7" s="7"/>
      <c r="I7" s="3"/>
      <c r="J7" s="5"/>
      <c r="K7" s="8"/>
    </row>
    <row r="8" spans="1:11" ht="18.75" x14ac:dyDescent="0.3">
      <c r="A8" s="9"/>
      <c r="B8" s="10" t="s">
        <v>16</v>
      </c>
      <c r="C8" s="53">
        <f>SUM(C5:C7)</f>
        <v>100000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4" x14ac:dyDescent="0.4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75" x14ac:dyDescent="0.25">
      <c r="A11" s="3">
        <v>1</v>
      </c>
      <c r="B11" s="3" t="s">
        <v>410</v>
      </c>
      <c r="C11" s="4">
        <v>5800</v>
      </c>
      <c r="D11" s="5">
        <v>46192</v>
      </c>
      <c r="E11" s="14">
        <v>0</v>
      </c>
      <c r="F11" s="13" t="s">
        <v>18</v>
      </c>
      <c r="G11" s="15">
        <v>263</v>
      </c>
      <c r="H11" s="16">
        <v>0</v>
      </c>
      <c r="I11" s="3" t="s">
        <v>19</v>
      </c>
      <c r="J11" s="5">
        <f t="shared" ref="J11:J21" si="0">+D11+1</f>
        <v>46193</v>
      </c>
      <c r="K11" s="13" t="s">
        <v>115</v>
      </c>
    </row>
    <row r="12" spans="1:11" ht="15.75" x14ac:dyDescent="0.25">
      <c r="A12" s="3">
        <v>2</v>
      </c>
      <c r="B12" s="3" t="s">
        <v>411</v>
      </c>
      <c r="C12" s="4">
        <v>16900</v>
      </c>
      <c r="D12" s="5">
        <f t="shared" ref="D12:D21" si="1">+D11</f>
        <v>46192</v>
      </c>
      <c r="E12" s="14">
        <v>0</v>
      </c>
      <c r="F12" s="13" t="s">
        <v>18</v>
      </c>
      <c r="G12" s="15">
        <v>9605</v>
      </c>
      <c r="H12" s="16">
        <v>0</v>
      </c>
      <c r="I12" s="3" t="s">
        <v>15</v>
      </c>
      <c r="J12" s="5">
        <f t="shared" si="0"/>
        <v>46193</v>
      </c>
      <c r="K12" s="13" t="s">
        <v>102</v>
      </c>
    </row>
    <row r="13" spans="1:11" ht="15.75" x14ac:dyDescent="0.25">
      <c r="A13" s="3">
        <v>3</v>
      </c>
      <c r="B13" s="3" t="s">
        <v>412</v>
      </c>
      <c r="C13" s="4">
        <v>2700</v>
      </c>
      <c r="D13" s="5">
        <f t="shared" si="1"/>
        <v>46192</v>
      </c>
      <c r="E13" s="14">
        <v>0</v>
      </c>
      <c r="F13" s="13" t="s">
        <v>18</v>
      </c>
      <c r="G13" s="15">
        <v>8662</v>
      </c>
      <c r="H13" s="16">
        <v>0</v>
      </c>
      <c r="I13" s="3" t="s">
        <v>15</v>
      </c>
      <c r="J13" s="5">
        <f t="shared" si="0"/>
        <v>46193</v>
      </c>
      <c r="K13" s="13" t="s">
        <v>123</v>
      </c>
    </row>
    <row r="14" spans="1:11" ht="15.75" x14ac:dyDescent="0.25">
      <c r="A14" s="3">
        <v>4</v>
      </c>
      <c r="B14" s="3" t="s">
        <v>413</v>
      </c>
      <c r="C14" s="4">
        <v>610</v>
      </c>
      <c r="D14" s="5">
        <f t="shared" si="1"/>
        <v>46192</v>
      </c>
      <c r="E14" s="14">
        <v>0</v>
      </c>
      <c r="F14" s="13" t="s">
        <v>18</v>
      </c>
      <c r="G14" s="15">
        <v>8792</v>
      </c>
      <c r="H14" s="16">
        <v>0</v>
      </c>
      <c r="I14" s="3" t="s">
        <v>15</v>
      </c>
      <c r="J14" s="5">
        <f t="shared" si="0"/>
        <v>46193</v>
      </c>
      <c r="K14" s="13" t="s">
        <v>115</v>
      </c>
    </row>
    <row r="15" spans="1:11" ht="15.75" x14ac:dyDescent="0.25">
      <c r="A15" s="3">
        <v>5</v>
      </c>
      <c r="B15" s="3" t="s">
        <v>414</v>
      </c>
      <c r="C15" s="4">
        <v>550</v>
      </c>
      <c r="D15" s="5">
        <f t="shared" si="1"/>
        <v>46192</v>
      </c>
      <c r="E15" s="14">
        <v>0</v>
      </c>
      <c r="F15" s="13" t="s">
        <v>18</v>
      </c>
      <c r="G15" s="15">
        <v>875</v>
      </c>
      <c r="H15" s="16">
        <v>0</v>
      </c>
      <c r="I15" s="3" t="s">
        <v>15</v>
      </c>
      <c r="J15" s="5">
        <f t="shared" si="0"/>
        <v>46193</v>
      </c>
      <c r="K15" s="13" t="s">
        <v>102</v>
      </c>
    </row>
    <row r="16" spans="1:11" ht="15.75" x14ac:dyDescent="0.25">
      <c r="A16" s="3">
        <v>6</v>
      </c>
      <c r="B16" s="3" t="s">
        <v>414</v>
      </c>
      <c r="C16" s="4">
        <v>1000</v>
      </c>
      <c r="D16" s="5">
        <f t="shared" si="1"/>
        <v>46192</v>
      </c>
      <c r="E16" s="14">
        <v>0</v>
      </c>
      <c r="F16" s="13" t="s">
        <v>18</v>
      </c>
      <c r="G16" s="15">
        <v>1005</v>
      </c>
      <c r="H16" s="16">
        <v>0</v>
      </c>
      <c r="I16" s="3" t="s">
        <v>15</v>
      </c>
      <c r="J16" s="5">
        <f t="shared" si="0"/>
        <v>46193</v>
      </c>
      <c r="K16" s="13" t="s">
        <v>102</v>
      </c>
    </row>
    <row r="17" spans="1:11" ht="15.75" x14ac:dyDescent="0.25">
      <c r="A17" s="3">
        <v>7</v>
      </c>
      <c r="B17" s="3" t="s">
        <v>414</v>
      </c>
      <c r="C17" s="4">
        <v>5000</v>
      </c>
      <c r="D17" s="5">
        <f t="shared" si="1"/>
        <v>46192</v>
      </c>
      <c r="E17" s="14">
        <v>0</v>
      </c>
      <c r="F17" s="13" t="s">
        <v>18</v>
      </c>
      <c r="G17" s="15">
        <v>4515</v>
      </c>
      <c r="H17" s="16">
        <v>0</v>
      </c>
      <c r="I17" s="3" t="s">
        <v>15</v>
      </c>
      <c r="J17" s="5">
        <f t="shared" si="0"/>
        <v>46193</v>
      </c>
      <c r="K17" s="13" t="s">
        <v>157</v>
      </c>
    </row>
    <row r="18" spans="1:11" ht="15.75" x14ac:dyDescent="0.25">
      <c r="A18" s="3">
        <v>8</v>
      </c>
      <c r="B18" s="3" t="s">
        <v>415</v>
      </c>
      <c r="C18" s="4">
        <v>1530</v>
      </c>
      <c r="D18" s="5">
        <f t="shared" si="1"/>
        <v>46192</v>
      </c>
      <c r="E18" s="14">
        <v>0</v>
      </c>
      <c r="F18" s="13" t="s">
        <v>18</v>
      </c>
      <c r="G18" s="15">
        <v>5577</v>
      </c>
      <c r="H18" s="16">
        <v>0</v>
      </c>
      <c r="I18" s="3" t="s">
        <v>15</v>
      </c>
      <c r="J18" s="5">
        <f t="shared" si="0"/>
        <v>46193</v>
      </c>
      <c r="K18" s="13" t="s">
        <v>115</v>
      </c>
    </row>
    <row r="19" spans="1:11" ht="15.75" x14ac:dyDescent="0.25">
      <c r="A19" s="3">
        <v>9</v>
      </c>
      <c r="B19" s="3" t="s">
        <v>416</v>
      </c>
      <c r="C19" s="4">
        <v>65000</v>
      </c>
      <c r="D19" s="5">
        <f t="shared" si="1"/>
        <v>46192</v>
      </c>
      <c r="E19" s="14">
        <v>0</v>
      </c>
      <c r="F19" s="13" t="s">
        <v>18</v>
      </c>
      <c r="G19" s="15">
        <v>5965</v>
      </c>
      <c r="H19" s="16">
        <v>0</v>
      </c>
      <c r="I19" s="3" t="s">
        <v>15</v>
      </c>
      <c r="J19" s="5">
        <f t="shared" si="0"/>
        <v>46193</v>
      </c>
      <c r="K19" s="13" t="s">
        <v>427</v>
      </c>
    </row>
    <row r="20" spans="1:11" ht="15.75" x14ac:dyDescent="0.25">
      <c r="A20" s="3">
        <v>10</v>
      </c>
      <c r="B20" s="3" t="s">
        <v>416</v>
      </c>
      <c r="C20" s="4">
        <v>1</v>
      </c>
      <c r="D20" s="5">
        <f t="shared" si="1"/>
        <v>46192</v>
      </c>
      <c r="E20" s="14">
        <v>0</v>
      </c>
      <c r="F20" s="13" t="s">
        <v>18</v>
      </c>
      <c r="G20" s="15">
        <v>7161</v>
      </c>
      <c r="H20" s="16">
        <v>0</v>
      </c>
      <c r="I20" s="3" t="s">
        <v>15</v>
      </c>
      <c r="J20" s="5">
        <f t="shared" si="0"/>
        <v>46193</v>
      </c>
      <c r="K20" s="13" t="s">
        <v>427</v>
      </c>
    </row>
    <row r="21" spans="1:11" ht="15.75" x14ac:dyDescent="0.25">
      <c r="A21" s="3">
        <v>11</v>
      </c>
      <c r="B21" s="3" t="s">
        <v>417</v>
      </c>
      <c r="C21" s="4">
        <v>5800</v>
      </c>
      <c r="D21" s="5">
        <f t="shared" si="1"/>
        <v>46192</v>
      </c>
      <c r="E21" s="14">
        <v>0</v>
      </c>
      <c r="F21" s="13" t="s">
        <v>18</v>
      </c>
      <c r="G21" s="15">
        <v>6483</v>
      </c>
      <c r="H21" s="16">
        <v>0</v>
      </c>
      <c r="I21" s="3" t="s">
        <v>15</v>
      </c>
      <c r="J21" s="5">
        <f t="shared" si="0"/>
        <v>46193</v>
      </c>
      <c r="K21" s="13" t="s">
        <v>115</v>
      </c>
    </row>
    <row r="22" spans="1:11" ht="18.75" x14ac:dyDescent="0.3">
      <c r="A22" s="3"/>
      <c r="B22" s="17" t="s">
        <v>16</v>
      </c>
      <c r="C22" s="54">
        <f>SUM(C11:C21)</f>
        <v>104891</v>
      </c>
      <c r="D22" s="3"/>
      <c r="E22" s="3"/>
      <c r="F22" s="13"/>
      <c r="G22" s="13"/>
      <c r="H22" s="11"/>
      <c r="I22" s="3"/>
      <c r="J22" s="3"/>
      <c r="K22" s="3"/>
    </row>
    <row r="23" spans="1:11" ht="24.75" x14ac:dyDescent="0.5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.75" x14ac:dyDescent="0.3">
      <c r="A24" s="19" t="s">
        <v>3</v>
      </c>
      <c r="B24" s="19" t="s">
        <v>21</v>
      </c>
      <c r="C24" s="5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75" x14ac:dyDescent="0.25">
      <c r="A25" s="8">
        <v>1</v>
      </c>
      <c r="B25" s="8" t="s">
        <v>313</v>
      </c>
      <c r="C25" s="47">
        <v>15000</v>
      </c>
      <c r="D25" s="5">
        <v>46192</v>
      </c>
      <c r="E25" s="8"/>
      <c r="F25" s="8"/>
      <c r="G25" s="22">
        <v>3487</v>
      </c>
      <c r="H25" s="23"/>
      <c r="I25" s="24"/>
      <c r="J25" s="3"/>
      <c r="K25" s="13" t="s">
        <v>424</v>
      </c>
    </row>
    <row r="26" spans="1:11" ht="15.75" x14ac:dyDescent="0.25">
      <c r="A26" s="8">
        <v>2</v>
      </c>
      <c r="B26" s="8" t="s">
        <v>52</v>
      </c>
      <c r="C26" s="47">
        <v>100000</v>
      </c>
      <c r="D26" s="5">
        <v>46192</v>
      </c>
      <c r="E26" s="8"/>
      <c r="F26" s="8"/>
      <c r="G26" s="22">
        <v>13</v>
      </c>
      <c r="H26" s="23"/>
      <c r="I26" s="24"/>
      <c r="J26" s="3"/>
      <c r="K26" s="13" t="s">
        <v>451</v>
      </c>
    </row>
    <row r="27" spans="1:11" ht="15.75" x14ac:dyDescent="0.25">
      <c r="A27" s="8">
        <v>3</v>
      </c>
      <c r="B27" s="8" t="s">
        <v>41</v>
      </c>
      <c r="C27" s="47">
        <v>29506</v>
      </c>
      <c r="D27" s="5">
        <v>46192</v>
      </c>
      <c r="E27" s="8"/>
      <c r="F27" s="8"/>
      <c r="G27" s="22">
        <v>167</v>
      </c>
      <c r="H27" s="23"/>
      <c r="I27" s="24"/>
      <c r="J27" s="3"/>
      <c r="K27" s="13" t="s">
        <v>115</v>
      </c>
    </row>
    <row r="28" spans="1:11" ht="15.75" x14ac:dyDescent="0.25">
      <c r="A28" s="8">
        <v>4</v>
      </c>
      <c r="B28" s="8" t="s">
        <v>412</v>
      </c>
      <c r="C28" s="47">
        <v>2020</v>
      </c>
      <c r="D28" s="5">
        <v>46192</v>
      </c>
      <c r="E28" s="8"/>
      <c r="F28" s="8"/>
      <c r="G28" s="22">
        <v>3857</v>
      </c>
      <c r="H28" s="23"/>
      <c r="I28" s="24"/>
      <c r="J28" s="3"/>
      <c r="K28" s="13" t="s">
        <v>450</v>
      </c>
    </row>
    <row r="29" spans="1:11" ht="15.75" x14ac:dyDescent="0.25">
      <c r="A29" s="8">
        <v>5</v>
      </c>
      <c r="B29" s="8" t="s">
        <v>425</v>
      </c>
      <c r="C29" s="47">
        <v>100000</v>
      </c>
      <c r="D29" s="5">
        <v>46192</v>
      </c>
      <c r="E29" s="8"/>
      <c r="F29" s="8"/>
      <c r="G29" s="22">
        <v>7740</v>
      </c>
      <c r="H29" s="23"/>
      <c r="I29" s="24"/>
      <c r="J29" s="3"/>
      <c r="K29" s="13" t="s">
        <v>452</v>
      </c>
    </row>
    <row r="30" spans="1:11" ht="15.75" x14ac:dyDescent="0.25">
      <c r="A30" s="8">
        <v>6</v>
      </c>
      <c r="B30" s="8"/>
      <c r="C30" s="47">
        <v>0</v>
      </c>
      <c r="D30" s="5"/>
      <c r="E30" s="8"/>
      <c r="F30" s="8"/>
      <c r="G30" s="22"/>
      <c r="H30" s="23"/>
      <c r="I30" s="24"/>
      <c r="J30" s="3"/>
      <c r="K30" s="13"/>
    </row>
    <row r="31" spans="1:11" ht="18.75" x14ac:dyDescent="0.25">
      <c r="A31" s="8"/>
      <c r="B31" s="25" t="s">
        <v>27</v>
      </c>
      <c r="C31" s="51">
        <f>SUM(C25:C30)</f>
        <v>246526</v>
      </c>
      <c r="D31" s="3"/>
      <c r="E31" s="8"/>
      <c r="F31" s="8"/>
      <c r="G31" s="8"/>
      <c r="H31" s="27">
        <v>0</v>
      </c>
      <c r="I31" s="24"/>
      <c r="J31" s="3"/>
      <c r="K31" s="28"/>
    </row>
    <row r="32" spans="1:11" x14ac:dyDescent="0.25">
      <c r="C32" s="29"/>
      <c r="H32" s="29"/>
    </row>
    <row r="33" spans="2:10" ht="16.5" x14ac:dyDescent="0.3">
      <c r="B33" s="30" t="s">
        <v>28</v>
      </c>
      <c r="C33" s="31">
        <f>SUM(C12,C15,C16,C17,C19,C20)</f>
        <v>88451</v>
      </c>
      <c r="E33" s="32"/>
      <c r="F33" s="32"/>
      <c r="G33" s="116"/>
      <c r="H33" s="116"/>
    </row>
    <row r="34" spans="2:10" ht="16.5" x14ac:dyDescent="0.3">
      <c r="B34" s="33" t="s">
        <v>29</v>
      </c>
      <c r="C34" s="34">
        <f>SUM(C11,C14,C18,C21)</f>
        <v>13740</v>
      </c>
      <c r="E34" s="35"/>
      <c r="F34" s="35"/>
      <c r="G34" s="36" t="s">
        <v>30</v>
      </c>
      <c r="H34" s="37"/>
    </row>
    <row r="35" spans="2:10" ht="24" x14ac:dyDescent="0.4">
      <c r="B35" s="38" t="s">
        <v>31</v>
      </c>
      <c r="C35" s="39">
        <f>SUM(C13)</f>
        <v>2700</v>
      </c>
      <c r="E35" s="40" t="s">
        <v>32</v>
      </c>
      <c r="F35" s="41"/>
      <c r="G35" s="42"/>
      <c r="H35" s="43"/>
      <c r="I35" s="42"/>
      <c r="J35" s="44"/>
    </row>
    <row r="36" spans="2:10" ht="18.75" x14ac:dyDescent="0.3">
      <c r="B36" s="45" t="s">
        <v>16</v>
      </c>
      <c r="C36" s="46">
        <f>SUM(C33:C35)</f>
        <v>104891</v>
      </c>
      <c r="G36" s="36"/>
      <c r="H36" s="37"/>
      <c r="I36" s="36"/>
      <c r="J36" s="36"/>
    </row>
  </sheetData>
  <mergeCells count="6">
    <mergeCell ref="G33:H33"/>
    <mergeCell ref="A1:K1"/>
    <mergeCell ref="A2:K2"/>
    <mergeCell ref="A3:K3"/>
    <mergeCell ref="A10:K10"/>
    <mergeCell ref="A23:K23"/>
  </mergeCells>
  <pageMargins left="0.59055118110236215" right="0.15748031496062992" top="0.47244094488188976" bottom="0.23622047244094488" header="0.31496062992125984" footer="0.31496062992125984"/>
  <pageSetup scale="83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19EDC-1DC8-49B9-A866-8F9673EAB306}">
  <sheetPr>
    <pageSetUpPr fitToPage="1"/>
  </sheetPr>
  <dimension ref="A1:K31"/>
  <sheetViews>
    <sheetView topLeftCell="A12" workbookViewId="0">
      <selection activeCell="M28" sqref="M28"/>
    </sheetView>
  </sheetViews>
  <sheetFormatPr defaultRowHeight="15" x14ac:dyDescent="0.25"/>
  <cols>
    <col min="1" max="1" width="4.42578125" bestFit="1" customWidth="1"/>
    <col min="2" max="2" width="20.140625" bestFit="1" customWidth="1"/>
    <col min="3" max="3" width="12.570312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8.140625" customWidth="1"/>
  </cols>
  <sheetData>
    <row r="1" spans="1:11" ht="48.75" x14ac:dyDescent="0.25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435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4"/>
      <c r="D5" s="5">
        <v>46193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46192</v>
      </c>
      <c r="K5" s="8" t="s">
        <v>33</v>
      </c>
    </row>
    <row r="6" spans="1:11" ht="18.75" x14ac:dyDescent="0.3">
      <c r="A6" s="9"/>
      <c r="B6" s="10" t="s">
        <v>16</v>
      </c>
      <c r="C6" s="53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4" x14ac:dyDescent="0.4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75" x14ac:dyDescent="0.25">
      <c r="A9" s="3">
        <v>1</v>
      </c>
      <c r="B9" s="3" t="s">
        <v>434</v>
      </c>
      <c r="C9" s="4">
        <v>3000</v>
      </c>
      <c r="D9" s="5">
        <v>46193</v>
      </c>
      <c r="E9" s="14">
        <v>0</v>
      </c>
      <c r="F9" s="13" t="s">
        <v>18</v>
      </c>
      <c r="G9" s="15">
        <v>3000</v>
      </c>
      <c r="H9" s="16">
        <v>0</v>
      </c>
      <c r="I9" s="3" t="s">
        <v>19</v>
      </c>
      <c r="J9" s="5">
        <f t="shared" ref="J9:J18" si="0">+D9+1</f>
        <v>46194</v>
      </c>
      <c r="K9" s="13" t="s">
        <v>446</v>
      </c>
    </row>
    <row r="10" spans="1:11" ht="15.75" x14ac:dyDescent="0.25">
      <c r="A10" s="3">
        <v>2</v>
      </c>
      <c r="B10" s="3" t="s">
        <v>436</v>
      </c>
      <c r="C10" s="4">
        <v>870</v>
      </c>
      <c r="D10" s="5">
        <f t="shared" ref="D10:D18" si="1">+D9</f>
        <v>46193</v>
      </c>
      <c r="E10" s="14">
        <v>0</v>
      </c>
      <c r="F10" s="13" t="s">
        <v>18</v>
      </c>
      <c r="G10" s="15">
        <v>7038</v>
      </c>
      <c r="H10" s="16">
        <v>0</v>
      </c>
      <c r="I10" s="3" t="s">
        <v>15</v>
      </c>
      <c r="J10" s="5">
        <f t="shared" si="0"/>
        <v>46194</v>
      </c>
      <c r="K10" s="13" t="s">
        <v>428</v>
      </c>
    </row>
    <row r="11" spans="1:11" ht="15.75" x14ac:dyDescent="0.25">
      <c r="A11" s="3">
        <v>3</v>
      </c>
      <c r="B11" s="3" t="s">
        <v>437</v>
      </c>
      <c r="C11" s="4">
        <v>685</v>
      </c>
      <c r="D11" s="5">
        <f t="shared" si="1"/>
        <v>46193</v>
      </c>
      <c r="E11" s="14">
        <v>0</v>
      </c>
      <c r="F11" s="13" t="s">
        <v>18</v>
      </c>
      <c r="G11" s="15">
        <v>8607</v>
      </c>
      <c r="H11" s="16">
        <v>0</v>
      </c>
      <c r="I11" s="3" t="s">
        <v>15</v>
      </c>
      <c r="J11" s="5">
        <f t="shared" si="0"/>
        <v>46194</v>
      </c>
      <c r="K11" s="13" t="s">
        <v>428</v>
      </c>
    </row>
    <row r="12" spans="1:11" ht="15.75" x14ac:dyDescent="0.25">
      <c r="A12" s="3">
        <v>4</v>
      </c>
      <c r="B12" s="3" t="s">
        <v>438</v>
      </c>
      <c r="C12" s="4">
        <v>6000</v>
      </c>
      <c r="D12" s="5">
        <f t="shared" si="1"/>
        <v>46193</v>
      </c>
      <c r="E12" s="14">
        <v>0</v>
      </c>
      <c r="F12" s="13" t="s">
        <v>18</v>
      </c>
      <c r="G12" s="15">
        <v>8130</v>
      </c>
      <c r="H12" s="16">
        <v>0</v>
      </c>
      <c r="I12" s="3" t="s">
        <v>15</v>
      </c>
      <c r="J12" s="5">
        <f t="shared" si="0"/>
        <v>46194</v>
      </c>
      <c r="K12" s="13" t="s">
        <v>110</v>
      </c>
    </row>
    <row r="13" spans="1:11" ht="15.75" x14ac:dyDescent="0.25">
      <c r="A13" s="3">
        <v>5</v>
      </c>
      <c r="B13" s="3" t="s">
        <v>439</v>
      </c>
      <c r="C13" s="4">
        <v>360</v>
      </c>
      <c r="D13" s="5">
        <f t="shared" si="1"/>
        <v>46193</v>
      </c>
      <c r="E13" s="14">
        <v>0</v>
      </c>
      <c r="F13" s="13" t="s">
        <v>18</v>
      </c>
      <c r="G13" s="15">
        <v>3534</v>
      </c>
      <c r="H13" s="16">
        <v>0</v>
      </c>
      <c r="I13" s="3" t="s">
        <v>15</v>
      </c>
      <c r="J13" s="5">
        <f t="shared" si="0"/>
        <v>46194</v>
      </c>
      <c r="K13" s="13" t="s">
        <v>428</v>
      </c>
    </row>
    <row r="14" spans="1:11" ht="15.75" x14ac:dyDescent="0.25">
      <c r="A14" s="3">
        <v>6</v>
      </c>
      <c r="B14" s="3" t="s">
        <v>440</v>
      </c>
      <c r="C14" s="4">
        <v>3005</v>
      </c>
      <c r="D14" s="5">
        <f t="shared" si="1"/>
        <v>46193</v>
      </c>
      <c r="E14" s="14">
        <v>0</v>
      </c>
      <c r="F14" s="13" t="s">
        <v>18</v>
      </c>
      <c r="G14" s="15">
        <v>4228</v>
      </c>
      <c r="H14" s="16">
        <v>0</v>
      </c>
      <c r="I14" s="3" t="s">
        <v>15</v>
      </c>
      <c r="J14" s="5">
        <f t="shared" si="0"/>
        <v>46194</v>
      </c>
      <c r="K14" s="13" t="s">
        <v>428</v>
      </c>
    </row>
    <row r="15" spans="1:11" ht="15.75" x14ac:dyDescent="0.25">
      <c r="A15" s="3">
        <v>7</v>
      </c>
      <c r="B15" s="3" t="s">
        <v>441</v>
      </c>
      <c r="C15" s="4">
        <v>1785</v>
      </c>
      <c r="D15" s="5">
        <f t="shared" si="1"/>
        <v>46193</v>
      </c>
      <c r="E15" s="14">
        <v>0</v>
      </c>
      <c r="F15" s="13" t="s">
        <v>18</v>
      </c>
      <c r="G15" s="15">
        <v>7707</v>
      </c>
      <c r="H15" s="16">
        <v>0</v>
      </c>
      <c r="I15" s="3" t="s">
        <v>15</v>
      </c>
      <c r="J15" s="5">
        <f t="shared" si="0"/>
        <v>46194</v>
      </c>
      <c r="K15" s="13" t="s">
        <v>428</v>
      </c>
    </row>
    <row r="16" spans="1:11" ht="15.75" x14ac:dyDescent="0.25">
      <c r="A16" s="3">
        <v>8</v>
      </c>
      <c r="B16" s="3" t="s">
        <v>381</v>
      </c>
      <c r="C16" s="4">
        <v>1800</v>
      </c>
      <c r="D16" s="5">
        <f t="shared" si="1"/>
        <v>46193</v>
      </c>
      <c r="E16" s="14">
        <v>0</v>
      </c>
      <c r="F16" s="13" t="s">
        <v>18</v>
      </c>
      <c r="G16" s="15">
        <v>4624</v>
      </c>
      <c r="H16" s="16">
        <v>0</v>
      </c>
      <c r="I16" s="3" t="s">
        <v>15</v>
      </c>
      <c r="J16" s="5">
        <f t="shared" si="0"/>
        <v>46194</v>
      </c>
      <c r="K16" s="13" t="s">
        <v>110</v>
      </c>
    </row>
    <row r="17" spans="1:11" ht="15.75" x14ac:dyDescent="0.25">
      <c r="A17" s="3">
        <v>9</v>
      </c>
      <c r="B17" s="3" t="s">
        <v>381</v>
      </c>
      <c r="C17" s="4">
        <v>2000</v>
      </c>
      <c r="D17" s="5">
        <f t="shared" si="1"/>
        <v>46193</v>
      </c>
      <c r="E17" s="14">
        <v>0</v>
      </c>
      <c r="F17" s="13" t="s">
        <v>18</v>
      </c>
      <c r="G17" s="15">
        <v>5366</v>
      </c>
      <c r="H17" s="16">
        <v>0</v>
      </c>
      <c r="I17" s="3" t="s">
        <v>15</v>
      </c>
      <c r="J17" s="5">
        <f t="shared" si="0"/>
        <v>46194</v>
      </c>
      <c r="K17" s="13" t="s">
        <v>110</v>
      </c>
    </row>
    <row r="18" spans="1:11" ht="15.75" x14ac:dyDescent="0.25">
      <c r="A18" s="3">
        <v>10</v>
      </c>
      <c r="B18" s="3" t="s">
        <v>442</v>
      </c>
      <c r="C18" s="4">
        <v>2290</v>
      </c>
      <c r="D18" s="5">
        <f t="shared" si="1"/>
        <v>46193</v>
      </c>
      <c r="E18" s="14">
        <v>0</v>
      </c>
      <c r="F18" s="13" t="s">
        <v>18</v>
      </c>
      <c r="G18" s="15">
        <v>8699</v>
      </c>
      <c r="H18" s="16">
        <v>0</v>
      </c>
      <c r="I18" s="3" t="s">
        <v>15</v>
      </c>
      <c r="J18" s="5">
        <f t="shared" si="0"/>
        <v>46194</v>
      </c>
      <c r="K18" s="13" t="s">
        <v>428</v>
      </c>
    </row>
    <row r="19" spans="1:11" ht="18.75" x14ac:dyDescent="0.3">
      <c r="A19" s="3"/>
      <c r="B19" s="17" t="s">
        <v>16</v>
      </c>
      <c r="C19" s="54">
        <f>SUM(C9:C18)</f>
        <v>21795</v>
      </c>
      <c r="D19" s="3"/>
      <c r="E19" s="3"/>
      <c r="F19" s="13"/>
      <c r="G19" s="13"/>
      <c r="H19" s="11"/>
      <c r="I19" s="3"/>
      <c r="J19" s="3"/>
      <c r="K19" s="3"/>
    </row>
    <row r="20" spans="1:11" ht="24.75" x14ac:dyDescent="0.5">
      <c r="A20" s="125" t="s">
        <v>20</v>
      </c>
      <c r="B20" s="126"/>
      <c r="C20" s="126"/>
      <c r="D20" s="126"/>
      <c r="E20" s="126"/>
      <c r="F20" s="126"/>
      <c r="G20" s="126"/>
      <c r="H20" s="126"/>
      <c r="I20" s="126"/>
      <c r="J20" s="126"/>
      <c r="K20" s="127"/>
    </row>
    <row r="21" spans="1:11" ht="18.75" x14ac:dyDescent="0.3">
      <c r="A21" s="19" t="s">
        <v>3</v>
      </c>
      <c r="B21" s="19" t="s">
        <v>21</v>
      </c>
      <c r="C21" s="50" t="s">
        <v>5</v>
      </c>
      <c r="D21" s="1" t="s">
        <v>22</v>
      </c>
      <c r="E21" s="19" t="s">
        <v>7</v>
      </c>
      <c r="F21" s="19" t="s">
        <v>8</v>
      </c>
      <c r="G21" s="19" t="s">
        <v>23</v>
      </c>
      <c r="H21" s="20" t="s">
        <v>24</v>
      </c>
      <c r="I21" s="19" t="s">
        <v>11</v>
      </c>
      <c r="J21" s="19" t="s">
        <v>25</v>
      </c>
      <c r="K21" s="21" t="s">
        <v>26</v>
      </c>
    </row>
    <row r="22" spans="1:11" ht="15.75" x14ac:dyDescent="0.25">
      <c r="A22" s="8">
        <v>1</v>
      </c>
      <c r="B22" s="8" t="s">
        <v>41</v>
      </c>
      <c r="C22" s="47">
        <v>25366</v>
      </c>
      <c r="D22" s="5">
        <v>46193</v>
      </c>
      <c r="E22" s="8"/>
      <c r="F22" s="8"/>
      <c r="G22" s="22">
        <v>34</v>
      </c>
      <c r="H22" s="23"/>
      <c r="I22" s="24"/>
      <c r="J22" s="60">
        <v>46193</v>
      </c>
      <c r="K22" s="13" t="s">
        <v>428</v>
      </c>
    </row>
    <row r="23" spans="1:11" ht="15.75" x14ac:dyDescent="0.25">
      <c r="A23" s="8">
        <v>2</v>
      </c>
      <c r="B23" s="8" t="s">
        <v>443</v>
      </c>
      <c r="C23" s="47">
        <v>25000</v>
      </c>
      <c r="D23" s="5">
        <v>46193</v>
      </c>
      <c r="E23" s="8"/>
      <c r="F23" s="8"/>
      <c r="G23" s="22">
        <v>4295</v>
      </c>
      <c r="H23" s="23"/>
      <c r="I23" s="24"/>
      <c r="J23" s="60">
        <v>46193</v>
      </c>
      <c r="K23" s="13" t="s">
        <v>453</v>
      </c>
    </row>
    <row r="24" spans="1:11" ht="15.75" x14ac:dyDescent="0.25">
      <c r="A24" s="8">
        <v>3</v>
      </c>
      <c r="B24" s="8" t="s">
        <v>444</v>
      </c>
      <c r="C24" s="47">
        <v>1200</v>
      </c>
      <c r="D24" s="5">
        <v>46193</v>
      </c>
      <c r="E24" s="8"/>
      <c r="F24" s="8"/>
      <c r="G24" s="22">
        <v>4979</v>
      </c>
      <c r="H24" s="23"/>
      <c r="I24" s="24"/>
      <c r="J24" s="60">
        <v>46193</v>
      </c>
      <c r="K24" s="13" t="s">
        <v>454</v>
      </c>
    </row>
    <row r="25" spans="1:11" ht="15.75" x14ac:dyDescent="0.25">
      <c r="A25" s="8">
        <v>4</v>
      </c>
      <c r="B25" s="8" t="s">
        <v>445</v>
      </c>
      <c r="C25" s="47">
        <v>2500</v>
      </c>
      <c r="D25" s="5">
        <v>46193</v>
      </c>
      <c r="E25" s="8"/>
      <c r="F25" s="8"/>
      <c r="G25" s="22">
        <v>8485</v>
      </c>
      <c r="H25" s="23"/>
      <c r="I25" s="24"/>
      <c r="J25" s="60">
        <v>46193</v>
      </c>
      <c r="K25" s="13" t="s">
        <v>447</v>
      </c>
    </row>
    <row r="26" spans="1:11" ht="18.75" x14ac:dyDescent="0.25">
      <c r="A26" s="8"/>
      <c r="B26" s="25" t="s">
        <v>27</v>
      </c>
      <c r="C26" s="51">
        <f>SUM(C22:C25)</f>
        <v>54066</v>
      </c>
      <c r="D26" s="3"/>
      <c r="E26" s="8"/>
      <c r="F26" s="8"/>
      <c r="G26" s="8"/>
      <c r="H26" s="27">
        <v>0</v>
      </c>
      <c r="I26" s="24"/>
      <c r="J26" s="3"/>
      <c r="K26" s="28"/>
    </row>
    <row r="27" spans="1:11" x14ac:dyDescent="0.25">
      <c r="C27" s="29"/>
      <c r="H27" s="29"/>
    </row>
    <row r="28" spans="1:11" ht="16.5" x14ac:dyDescent="0.3">
      <c r="B28" s="30" t="s">
        <v>28</v>
      </c>
      <c r="C28" s="31">
        <f>SUM(C12,C16,C17)</f>
        <v>9800</v>
      </c>
      <c r="E28" s="32"/>
      <c r="F28" s="32"/>
      <c r="G28" s="116"/>
      <c r="H28" s="116"/>
    </row>
    <row r="29" spans="1:11" ht="16.5" x14ac:dyDescent="0.3">
      <c r="B29" s="33" t="s">
        <v>29</v>
      </c>
      <c r="C29" s="34">
        <f>SUM(C10,C11,C13,C14,C15,C18)</f>
        <v>8995</v>
      </c>
      <c r="E29" s="35"/>
      <c r="F29" s="35"/>
      <c r="G29" s="36" t="s">
        <v>30</v>
      </c>
      <c r="H29" s="37"/>
    </row>
    <row r="30" spans="1:11" ht="24" x14ac:dyDescent="0.4">
      <c r="B30" s="38" t="s">
        <v>31</v>
      </c>
      <c r="C30" s="39">
        <f>SUM(C9)</f>
        <v>3000</v>
      </c>
      <c r="E30" s="40" t="s">
        <v>32</v>
      </c>
      <c r="F30" s="41"/>
      <c r="G30" s="42"/>
      <c r="H30" s="43"/>
      <c r="I30" s="42"/>
      <c r="J30" s="44"/>
    </row>
    <row r="31" spans="1:11" ht="18.75" x14ac:dyDescent="0.3">
      <c r="B31" s="45" t="s">
        <v>16</v>
      </c>
      <c r="C31" s="46">
        <f>SUM(C28:C30)</f>
        <v>21795</v>
      </c>
      <c r="G31" s="36"/>
      <c r="H31" s="37"/>
      <c r="I31" s="36"/>
      <c r="J31" s="36"/>
    </row>
  </sheetData>
  <mergeCells count="6">
    <mergeCell ref="G28:H28"/>
    <mergeCell ref="A1:K1"/>
    <mergeCell ref="A2:K2"/>
    <mergeCell ref="A3:K3"/>
    <mergeCell ref="A8:K8"/>
    <mergeCell ref="A20:K20"/>
  </mergeCells>
  <pageMargins left="0.59055118110236215" right="0.15748031496062992" top="0.47244094488188976" bottom="0.23622047244094488" header="0.31496062992125984" footer="0.31496062992125984"/>
  <pageSetup scale="88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882F5-CFF1-460C-BACD-85870D74CE1F}">
  <sheetPr>
    <pageSetUpPr fitToPage="1"/>
  </sheetPr>
  <dimension ref="A1:K24"/>
  <sheetViews>
    <sheetView workbookViewId="0">
      <selection activeCell="O3" sqref="O3"/>
    </sheetView>
  </sheetViews>
  <sheetFormatPr defaultRowHeight="15" x14ac:dyDescent="0.25"/>
  <cols>
    <col min="1" max="1" width="5.5703125" customWidth="1"/>
    <col min="2" max="2" width="18" bestFit="1" customWidth="1"/>
    <col min="3" max="3" width="12.5703125" bestFit="1" customWidth="1"/>
    <col min="4" max="4" width="13.85546875" bestFit="1" customWidth="1"/>
    <col min="10" max="10" width="16.85546875" bestFit="1" customWidth="1"/>
    <col min="11" max="11" width="25.85546875" customWidth="1"/>
  </cols>
  <sheetData>
    <row r="1" spans="1:11" ht="48.75" x14ac:dyDescent="0.25">
      <c r="A1" s="128" t="s">
        <v>458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457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4"/>
      <c r="D5" s="5">
        <v>46194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46193</v>
      </c>
      <c r="K5" s="8" t="s">
        <v>33</v>
      </c>
    </row>
    <row r="6" spans="1:11" ht="18.75" x14ac:dyDescent="0.3">
      <c r="A6" s="9"/>
      <c r="B6" s="10" t="s">
        <v>16</v>
      </c>
      <c r="C6" s="53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4" x14ac:dyDescent="0.4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75" x14ac:dyDescent="0.25">
      <c r="A9" s="3">
        <v>1</v>
      </c>
      <c r="B9" s="3" t="s">
        <v>434</v>
      </c>
      <c r="C9" s="4">
        <v>8200</v>
      </c>
      <c r="D9" s="5">
        <v>46194</v>
      </c>
      <c r="E9" s="14">
        <v>0</v>
      </c>
      <c r="F9" s="13" t="s">
        <v>18</v>
      </c>
      <c r="G9" s="55">
        <v>7370</v>
      </c>
      <c r="H9" s="16">
        <v>0</v>
      </c>
      <c r="I9" s="3" t="s">
        <v>19</v>
      </c>
      <c r="J9" s="5">
        <f t="shared" ref="J9:J14" si="0">+D9+1</f>
        <v>46195</v>
      </c>
      <c r="K9" s="13" t="s">
        <v>115</v>
      </c>
    </row>
    <row r="10" spans="1:11" ht="15.75" x14ac:dyDescent="0.25">
      <c r="A10" s="3">
        <v>2</v>
      </c>
      <c r="B10" s="3" t="s">
        <v>455</v>
      </c>
      <c r="C10" s="4">
        <v>1230</v>
      </c>
      <c r="D10" s="5">
        <f t="shared" ref="D10:D14" si="1">+D9</f>
        <v>46194</v>
      </c>
      <c r="E10" s="14">
        <v>0</v>
      </c>
      <c r="F10" s="13" t="s">
        <v>18</v>
      </c>
      <c r="G10" s="55">
        <v>6</v>
      </c>
      <c r="H10" s="16">
        <v>0</v>
      </c>
      <c r="I10" s="3" t="s">
        <v>15</v>
      </c>
      <c r="J10" s="5">
        <f t="shared" si="0"/>
        <v>46195</v>
      </c>
      <c r="K10" s="13" t="s">
        <v>115</v>
      </c>
    </row>
    <row r="11" spans="1:11" ht="15.75" x14ac:dyDescent="0.25">
      <c r="A11" s="3">
        <v>3</v>
      </c>
      <c r="B11" s="3" t="s">
        <v>456</v>
      </c>
      <c r="C11" s="4">
        <v>4800</v>
      </c>
      <c r="D11" s="5">
        <f t="shared" si="1"/>
        <v>46194</v>
      </c>
      <c r="E11" s="14">
        <v>0</v>
      </c>
      <c r="F11" s="13" t="s">
        <v>18</v>
      </c>
      <c r="G11" s="55">
        <v>9498</v>
      </c>
      <c r="H11" s="16">
        <v>0</v>
      </c>
      <c r="I11" s="3" t="s">
        <v>15</v>
      </c>
      <c r="J11" s="5">
        <f t="shared" si="0"/>
        <v>46195</v>
      </c>
      <c r="K11" s="13" t="s">
        <v>115</v>
      </c>
    </row>
    <row r="12" spans="1:11" ht="15.75" x14ac:dyDescent="0.25">
      <c r="A12" s="3">
        <v>4</v>
      </c>
      <c r="B12" s="3" t="s">
        <v>456</v>
      </c>
      <c r="C12" s="4">
        <v>25600</v>
      </c>
      <c r="D12" s="5">
        <f t="shared" si="1"/>
        <v>46194</v>
      </c>
      <c r="E12" s="14">
        <v>0</v>
      </c>
      <c r="F12" s="13" t="s">
        <v>18</v>
      </c>
      <c r="G12" s="55">
        <v>2207</v>
      </c>
      <c r="H12" s="16">
        <v>0</v>
      </c>
      <c r="I12" s="3" t="s">
        <v>15</v>
      </c>
      <c r="J12" s="5">
        <f t="shared" si="0"/>
        <v>46195</v>
      </c>
      <c r="K12" s="13" t="s">
        <v>115</v>
      </c>
    </row>
    <row r="13" spans="1:11" ht="15.75" x14ac:dyDescent="0.25">
      <c r="A13" s="3">
        <v>5</v>
      </c>
      <c r="B13" s="3" t="s">
        <v>456</v>
      </c>
      <c r="C13" s="4">
        <v>2000</v>
      </c>
      <c r="D13" s="5">
        <f t="shared" si="1"/>
        <v>46194</v>
      </c>
      <c r="E13" s="14">
        <v>0</v>
      </c>
      <c r="F13" s="13" t="s">
        <v>18</v>
      </c>
      <c r="G13" s="55">
        <v>3550</v>
      </c>
      <c r="H13" s="16">
        <v>0</v>
      </c>
      <c r="I13" s="3" t="s">
        <v>15</v>
      </c>
      <c r="J13" s="5">
        <f t="shared" si="0"/>
        <v>46195</v>
      </c>
      <c r="K13" s="13" t="s">
        <v>115</v>
      </c>
    </row>
    <row r="14" spans="1:11" ht="15.75" x14ac:dyDescent="0.25">
      <c r="A14" s="3">
        <v>6</v>
      </c>
      <c r="B14" s="3" t="s">
        <v>379</v>
      </c>
      <c r="C14" s="4">
        <v>6600</v>
      </c>
      <c r="D14" s="5">
        <f t="shared" si="1"/>
        <v>46194</v>
      </c>
      <c r="E14" s="14">
        <v>0</v>
      </c>
      <c r="F14" s="13" t="s">
        <v>18</v>
      </c>
      <c r="G14" s="55">
        <v>5721</v>
      </c>
      <c r="H14" s="16">
        <v>0</v>
      </c>
      <c r="I14" s="3" t="s">
        <v>15</v>
      </c>
      <c r="J14" s="5">
        <f t="shared" si="0"/>
        <v>46195</v>
      </c>
      <c r="K14" s="13" t="s">
        <v>115</v>
      </c>
    </row>
    <row r="15" spans="1:11" ht="18.75" x14ac:dyDescent="0.3">
      <c r="A15" s="3"/>
      <c r="B15" s="17" t="s">
        <v>16</v>
      </c>
      <c r="C15" s="54">
        <f>SUM(C9:C14)</f>
        <v>48430</v>
      </c>
      <c r="D15" s="3"/>
      <c r="E15" s="3"/>
      <c r="F15" s="13"/>
      <c r="G15" s="13"/>
      <c r="H15" s="11"/>
      <c r="I15" s="3"/>
      <c r="J15" s="3"/>
      <c r="K15" s="3"/>
    </row>
    <row r="16" spans="1:11" ht="24.75" x14ac:dyDescent="0.5">
      <c r="A16" s="125" t="s">
        <v>20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7"/>
    </row>
    <row r="17" spans="1:11" ht="18.75" x14ac:dyDescent="0.3">
      <c r="A17" s="19" t="s">
        <v>3</v>
      </c>
      <c r="B17" s="19" t="s">
        <v>21</v>
      </c>
      <c r="C17" s="50" t="s">
        <v>5</v>
      </c>
      <c r="D17" s="1" t="s">
        <v>22</v>
      </c>
      <c r="E17" s="19" t="s">
        <v>7</v>
      </c>
      <c r="F17" s="19" t="s">
        <v>8</v>
      </c>
      <c r="G17" s="19" t="s">
        <v>23</v>
      </c>
      <c r="H17" s="20" t="s">
        <v>24</v>
      </c>
      <c r="I17" s="19" t="s">
        <v>11</v>
      </c>
      <c r="J17" s="19" t="s">
        <v>25</v>
      </c>
      <c r="K17" s="21" t="s">
        <v>26</v>
      </c>
    </row>
    <row r="18" spans="1:11" ht="15.75" x14ac:dyDescent="0.25">
      <c r="A18" s="8">
        <v>1</v>
      </c>
      <c r="B18" s="8"/>
      <c r="C18" s="47">
        <v>0</v>
      </c>
      <c r="D18" s="5"/>
      <c r="E18" s="8"/>
      <c r="F18" s="8"/>
      <c r="G18" s="22"/>
      <c r="H18" s="23"/>
      <c r="I18" s="24"/>
      <c r="J18" s="3"/>
      <c r="K18" s="13"/>
    </row>
    <row r="19" spans="1:11" ht="18.75" x14ac:dyDescent="0.25">
      <c r="A19" s="8"/>
      <c r="B19" s="25" t="s">
        <v>27</v>
      </c>
      <c r="C19" s="52"/>
      <c r="D19" s="3"/>
      <c r="E19" s="8"/>
      <c r="F19" s="8"/>
      <c r="G19" s="8"/>
      <c r="H19" s="27">
        <v>0</v>
      </c>
      <c r="I19" s="24"/>
      <c r="J19" s="3"/>
      <c r="K19" s="28"/>
    </row>
    <row r="20" spans="1:11" x14ac:dyDescent="0.25">
      <c r="C20" s="29"/>
      <c r="H20" s="29"/>
    </row>
    <row r="21" spans="1:11" ht="16.5" x14ac:dyDescent="0.3">
      <c r="B21" s="30" t="s">
        <v>28</v>
      </c>
      <c r="C21" s="31">
        <v>0</v>
      </c>
      <c r="E21" s="32"/>
      <c r="F21" s="32"/>
      <c r="G21" s="116"/>
      <c r="H21" s="116"/>
    </row>
    <row r="22" spans="1:11" ht="16.5" x14ac:dyDescent="0.3">
      <c r="B22" s="33" t="s">
        <v>29</v>
      </c>
      <c r="C22" s="34">
        <f>SUM(C9,C10,C12,C11,C13,C14)</f>
        <v>48430</v>
      </c>
      <c r="E22" s="35"/>
      <c r="F22" s="35"/>
      <c r="G22" s="36" t="s">
        <v>30</v>
      </c>
      <c r="H22" s="37"/>
    </row>
    <row r="23" spans="1:11" ht="24" x14ac:dyDescent="0.4">
      <c r="B23" s="38" t="s">
        <v>31</v>
      </c>
      <c r="C23" s="39">
        <v>0</v>
      </c>
      <c r="E23" s="40" t="s">
        <v>32</v>
      </c>
      <c r="F23" s="41"/>
      <c r="G23" s="42"/>
      <c r="H23" s="43"/>
      <c r="I23" s="42"/>
      <c r="J23" s="44"/>
    </row>
    <row r="24" spans="1:11" ht="18.75" x14ac:dyDescent="0.3">
      <c r="B24" s="45" t="s">
        <v>16</v>
      </c>
      <c r="C24" s="46">
        <f>SUM(C21:C23)</f>
        <v>48430</v>
      </c>
      <c r="G24" s="36"/>
      <c r="H24" s="37"/>
      <c r="I24" s="36"/>
      <c r="J24" s="36"/>
    </row>
  </sheetData>
  <mergeCells count="6">
    <mergeCell ref="G21:H21"/>
    <mergeCell ref="A1:K1"/>
    <mergeCell ref="A2:K2"/>
    <mergeCell ref="A3:K3"/>
    <mergeCell ref="A8:K8"/>
    <mergeCell ref="A16:K16"/>
  </mergeCells>
  <pageMargins left="0.59055118110236215" right="0.15748031496062992" top="0.47244094488188976" bottom="0.23622047244094488" header="0.31496062992125984" footer="0.31496062992125984"/>
  <pageSetup scale="94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537C6-50D6-449E-AF44-E2FB8B8E817C}">
  <sheetPr>
    <pageSetUpPr fitToPage="1"/>
  </sheetPr>
  <dimension ref="A1:N26"/>
  <sheetViews>
    <sheetView topLeftCell="A8" workbookViewId="0">
      <selection activeCell="N15" sqref="N15"/>
    </sheetView>
  </sheetViews>
  <sheetFormatPr defaultRowHeight="15" x14ac:dyDescent="0.25"/>
  <cols>
    <col min="1" max="1" width="4.42578125" bestFit="1" customWidth="1"/>
    <col min="2" max="2" width="20.140625" bestFit="1" customWidth="1"/>
    <col min="3" max="3" width="12.570312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6" customWidth="1"/>
  </cols>
  <sheetData>
    <row r="1" spans="1:14" ht="48.75" x14ac:dyDescent="0.25">
      <c r="A1" s="128" t="s">
        <v>458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4" ht="28.5" x14ac:dyDescent="0.45">
      <c r="A2" s="129" t="s">
        <v>464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4" ht="24" x14ac:dyDescent="0.4">
      <c r="A3" s="132" t="s">
        <v>2</v>
      </c>
      <c r="B3" s="133"/>
      <c r="C3" s="133"/>
      <c r="D3" s="133"/>
      <c r="E3" s="133"/>
      <c r="F3" s="133"/>
      <c r="G3" s="133"/>
      <c r="H3" s="133"/>
      <c r="I3" s="133"/>
      <c r="J3" s="133"/>
      <c r="K3" s="134"/>
    </row>
    <row r="4" spans="1:14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4" ht="15.75" x14ac:dyDescent="0.25">
      <c r="A5" s="3">
        <v>1</v>
      </c>
      <c r="B5" s="3" t="s">
        <v>51</v>
      </c>
      <c r="C5" s="4"/>
      <c r="D5" s="5">
        <v>46195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46194</v>
      </c>
      <c r="K5" s="8" t="s">
        <v>33</v>
      </c>
    </row>
    <row r="6" spans="1:14" ht="15.75" x14ac:dyDescent="0.25">
      <c r="A6" s="3">
        <v>2</v>
      </c>
      <c r="B6" s="61">
        <v>9044159363</v>
      </c>
      <c r="C6" s="4">
        <v>2000</v>
      </c>
      <c r="D6" s="5">
        <v>2000</v>
      </c>
      <c r="E6" s="6">
        <v>0</v>
      </c>
      <c r="F6" s="3" t="s">
        <v>14</v>
      </c>
      <c r="G6" s="49">
        <v>7387</v>
      </c>
      <c r="H6" s="7">
        <v>0</v>
      </c>
      <c r="I6" s="3" t="s">
        <v>15</v>
      </c>
      <c r="J6" s="5">
        <f>+D6-1</f>
        <v>1999</v>
      </c>
      <c r="K6" s="8" t="s">
        <v>467</v>
      </c>
    </row>
    <row r="7" spans="1:14" ht="15.75" x14ac:dyDescent="0.25">
      <c r="A7" s="3">
        <v>3</v>
      </c>
      <c r="B7" s="3" t="s">
        <v>46</v>
      </c>
      <c r="C7" s="4">
        <v>74500</v>
      </c>
      <c r="D7" s="5">
        <v>46195</v>
      </c>
      <c r="E7" s="6">
        <v>0</v>
      </c>
      <c r="F7" s="3" t="s">
        <v>463</v>
      </c>
      <c r="G7" s="49">
        <v>2944</v>
      </c>
      <c r="H7" s="7">
        <v>0</v>
      </c>
      <c r="I7" s="3" t="s">
        <v>15</v>
      </c>
      <c r="J7" s="5">
        <f>+D7-1</f>
        <v>46194</v>
      </c>
      <c r="K7" s="8" t="s">
        <v>46</v>
      </c>
    </row>
    <row r="8" spans="1:14" ht="18.75" x14ac:dyDescent="0.3">
      <c r="A8" s="9"/>
      <c r="B8" s="10" t="s">
        <v>16</v>
      </c>
      <c r="C8" s="53">
        <f>SUM(C5:C7)</f>
        <v>76500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4" ht="24" x14ac:dyDescent="0.4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4" ht="15.75" x14ac:dyDescent="0.25">
      <c r="A11" s="3">
        <v>1</v>
      </c>
      <c r="B11" s="3" t="s">
        <v>459</v>
      </c>
      <c r="C11" s="4">
        <v>11990</v>
      </c>
      <c r="D11" s="5">
        <v>46195</v>
      </c>
      <c r="E11" s="14">
        <v>0</v>
      </c>
      <c r="F11" s="13" t="s">
        <v>18</v>
      </c>
      <c r="G11" s="15">
        <v>4846</v>
      </c>
      <c r="H11" s="16">
        <v>0</v>
      </c>
      <c r="I11" s="3" t="s">
        <v>19</v>
      </c>
      <c r="J11" s="5">
        <f t="shared" ref="J11:J15" si="0">+D11+1</f>
        <v>46196</v>
      </c>
      <c r="K11" s="13" t="s">
        <v>106</v>
      </c>
    </row>
    <row r="12" spans="1:14" ht="15.75" x14ac:dyDescent="0.25">
      <c r="A12" s="3">
        <v>2</v>
      </c>
      <c r="B12" s="3" t="s">
        <v>460</v>
      </c>
      <c r="C12" s="4">
        <v>1000</v>
      </c>
      <c r="D12" s="5">
        <f t="shared" ref="D12:D15" si="1">+D11</f>
        <v>46195</v>
      </c>
      <c r="E12" s="14">
        <v>0</v>
      </c>
      <c r="F12" s="13" t="s">
        <v>18</v>
      </c>
      <c r="G12" s="15">
        <v>6217</v>
      </c>
      <c r="H12" s="16">
        <v>0</v>
      </c>
      <c r="I12" s="3" t="s">
        <v>15</v>
      </c>
      <c r="J12" s="5">
        <f t="shared" si="0"/>
        <v>46196</v>
      </c>
      <c r="K12" s="13" t="s">
        <v>115</v>
      </c>
    </row>
    <row r="13" spans="1:14" ht="15.75" x14ac:dyDescent="0.25">
      <c r="A13" s="3">
        <v>3</v>
      </c>
      <c r="B13" s="3" t="s">
        <v>461</v>
      </c>
      <c r="C13" s="4">
        <v>5</v>
      </c>
      <c r="D13" s="5">
        <f t="shared" si="1"/>
        <v>46195</v>
      </c>
      <c r="E13" s="14">
        <v>0</v>
      </c>
      <c r="F13" s="13" t="s">
        <v>18</v>
      </c>
      <c r="G13" s="15">
        <v>1123</v>
      </c>
      <c r="H13" s="16">
        <v>0</v>
      </c>
      <c r="I13" s="3" t="s">
        <v>15</v>
      </c>
      <c r="J13" s="5">
        <f t="shared" si="0"/>
        <v>46196</v>
      </c>
      <c r="K13" s="13" t="s">
        <v>115</v>
      </c>
    </row>
    <row r="14" spans="1:14" ht="15.75" x14ac:dyDescent="0.25">
      <c r="A14" s="3">
        <v>4</v>
      </c>
      <c r="B14" s="3" t="s">
        <v>462</v>
      </c>
      <c r="C14" s="4">
        <v>1000</v>
      </c>
      <c r="D14" s="5">
        <f t="shared" si="1"/>
        <v>46195</v>
      </c>
      <c r="E14" s="14">
        <v>0</v>
      </c>
      <c r="F14" s="13" t="s">
        <v>18</v>
      </c>
      <c r="G14" s="15">
        <v>5787</v>
      </c>
      <c r="H14" s="16">
        <v>0</v>
      </c>
      <c r="I14" s="3" t="s">
        <v>15</v>
      </c>
      <c r="J14" s="5">
        <f t="shared" si="0"/>
        <v>46196</v>
      </c>
      <c r="K14" s="13" t="s">
        <v>466</v>
      </c>
    </row>
    <row r="15" spans="1:14" ht="15.75" x14ac:dyDescent="0.25">
      <c r="A15" s="3">
        <v>5</v>
      </c>
      <c r="B15" s="3"/>
      <c r="C15" s="4"/>
      <c r="D15" s="5">
        <f t="shared" si="1"/>
        <v>46195</v>
      </c>
      <c r="E15" s="14">
        <v>0</v>
      </c>
      <c r="F15" s="13" t="s">
        <v>18</v>
      </c>
      <c r="G15" s="15"/>
      <c r="H15" s="16">
        <v>0</v>
      </c>
      <c r="I15" s="3" t="s">
        <v>15</v>
      </c>
      <c r="J15" s="5">
        <f t="shared" si="0"/>
        <v>46196</v>
      </c>
      <c r="K15" s="13"/>
      <c r="N15" s="64"/>
    </row>
    <row r="16" spans="1:14" ht="18.75" x14ac:dyDescent="0.3">
      <c r="A16" s="3"/>
      <c r="B16" s="17" t="s">
        <v>16</v>
      </c>
      <c r="C16" s="54">
        <f>SUM(C11:C15)</f>
        <v>13995</v>
      </c>
      <c r="D16" s="3"/>
      <c r="E16" s="3"/>
      <c r="F16" s="13"/>
      <c r="G16" s="13"/>
      <c r="H16" s="11"/>
      <c r="I16" s="3"/>
      <c r="J16" s="3"/>
      <c r="K16" s="3"/>
    </row>
    <row r="17" spans="1:11" ht="24.75" x14ac:dyDescent="0.5">
      <c r="A17" s="125" t="s">
        <v>20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7"/>
    </row>
    <row r="18" spans="1:11" ht="18.75" x14ac:dyDescent="0.3">
      <c r="A18" s="19" t="s">
        <v>3</v>
      </c>
      <c r="B18" s="19" t="s">
        <v>21</v>
      </c>
      <c r="C18" s="50" t="s">
        <v>5</v>
      </c>
      <c r="D18" s="1" t="s">
        <v>22</v>
      </c>
      <c r="E18" s="19" t="s">
        <v>7</v>
      </c>
      <c r="F18" s="19" t="s">
        <v>8</v>
      </c>
      <c r="G18" s="19" t="s">
        <v>23</v>
      </c>
      <c r="H18" s="20" t="s">
        <v>24</v>
      </c>
      <c r="I18" s="19" t="s">
        <v>11</v>
      </c>
      <c r="J18" s="19" t="s">
        <v>25</v>
      </c>
      <c r="K18" s="21" t="s">
        <v>26</v>
      </c>
    </row>
    <row r="19" spans="1:11" ht="15.75" x14ac:dyDescent="0.25">
      <c r="A19" s="8">
        <v>1</v>
      </c>
      <c r="B19" s="8" t="s">
        <v>344</v>
      </c>
      <c r="C19" s="47">
        <v>20000</v>
      </c>
      <c r="D19" s="5">
        <v>46195</v>
      </c>
      <c r="E19" s="8"/>
      <c r="F19" s="8"/>
      <c r="G19" s="22">
        <v>7256</v>
      </c>
      <c r="H19" s="23"/>
      <c r="I19" s="24"/>
      <c r="J19" s="62">
        <v>46195</v>
      </c>
      <c r="K19" s="13" t="s">
        <v>465</v>
      </c>
    </row>
    <row r="20" spans="1:11" ht="15.75" x14ac:dyDescent="0.25">
      <c r="A20" s="8">
        <v>2</v>
      </c>
      <c r="B20" s="8" t="s">
        <v>41</v>
      </c>
      <c r="C20" s="47">
        <v>59606</v>
      </c>
      <c r="D20" s="5">
        <v>46195</v>
      </c>
      <c r="E20" s="8"/>
      <c r="F20" s="8"/>
      <c r="G20" s="22">
        <v>33</v>
      </c>
      <c r="H20" s="23"/>
      <c r="I20" s="24"/>
      <c r="J20" s="62">
        <v>46195</v>
      </c>
      <c r="K20" s="13" t="s">
        <v>115</v>
      </c>
    </row>
    <row r="21" spans="1:11" ht="18.75" x14ac:dyDescent="0.25">
      <c r="A21" s="8"/>
      <c r="B21" s="25" t="s">
        <v>27</v>
      </c>
      <c r="C21" s="51">
        <f>SUM(C19:C20)</f>
        <v>79606</v>
      </c>
      <c r="D21" s="3"/>
      <c r="E21" s="8"/>
      <c r="F21" s="8"/>
      <c r="G21" s="8"/>
      <c r="H21" s="27">
        <v>0</v>
      </c>
      <c r="I21" s="24"/>
      <c r="J21" s="3"/>
      <c r="K21" s="28"/>
    </row>
    <row r="22" spans="1:11" x14ac:dyDescent="0.25">
      <c r="C22" s="29"/>
      <c r="H22" s="29"/>
    </row>
    <row r="23" spans="1:11" ht="16.5" x14ac:dyDescent="0.3">
      <c r="B23" s="30" t="s">
        <v>28</v>
      </c>
      <c r="C23" s="31">
        <f>SUM(C11)</f>
        <v>11990</v>
      </c>
      <c r="E23" s="32"/>
      <c r="F23" s="32"/>
      <c r="G23" s="116"/>
      <c r="H23" s="116"/>
    </row>
    <row r="24" spans="1:11" ht="16.5" x14ac:dyDescent="0.3">
      <c r="B24" s="33" t="s">
        <v>29</v>
      </c>
      <c r="C24" s="34">
        <f>SUM(C12,C13)</f>
        <v>1005</v>
      </c>
      <c r="E24" s="35"/>
      <c r="F24" s="35"/>
      <c r="G24" s="36" t="s">
        <v>30</v>
      </c>
      <c r="H24" s="37"/>
    </row>
    <row r="25" spans="1:11" ht="24" x14ac:dyDescent="0.4">
      <c r="B25" s="38" t="s">
        <v>31</v>
      </c>
      <c r="C25" s="39">
        <f>SUM(C14)</f>
        <v>1000</v>
      </c>
      <c r="E25" s="40" t="s">
        <v>32</v>
      </c>
      <c r="F25" s="41"/>
      <c r="G25" s="42"/>
      <c r="H25" s="43"/>
      <c r="I25" s="42"/>
      <c r="J25" s="44"/>
    </row>
    <row r="26" spans="1:11" ht="18.75" x14ac:dyDescent="0.3">
      <c r="B26" s="45" t="s">
        <v>16</v>
      </c>
      <c r="C26" s="46">
        <f>SUM(C23:C25)</f>
        <v>13995</v>
      </c>
      <c r="G26" s="36"/>
      <c r="H26" s="37"/>
      <c r="I26" s="36"/>
      <c r="J26" s="36"/>
    </row>
  </sheetData>
  <mergeCells count="6">
    <mergeCell ref="G23:H23"/>
    <mergeCell ref="A1:K1"/>
    <mergeCell ref="A2:K2"/>
    <mergeCell ref="A3:K3"/>
    <mergeCell ref="A10:K10"/>
    <mergeCell ref="A17:K17"/>
  </mergeCells>
  <pageMargins left="0.59055118110236215" right="0.15748031496062992" top="0.47244094488188976" bottom="0.23622047244094488" header="0.31496062992125984" footer="0.31496062992125984"/>
  <pageSetup scale="17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60683-8001-486A-B591-21385E9D980A}">
  <sheetPr>
    <pageSetUpPr fitToPage="1"/>
  </sheetPr>
  <dimension ref="A1:K29"/>
  <sheetViews>
    <sheetView workbookViewId="0">
      <selection activeCell="P17" sqref="P17"/>
    </sheetView>
  </sheetViews>
  <sheetFormatPr defaultRowHeight="15" x14ac:dyDescent="0.25"/>
  <cols>
    <col min="1" max="1" width="4.42578125" bestFit="1" customWidth="1"/>
    <col min="2" max="2" width="20.5703125" bestFit="1" customWidth="1"/>
    <col min="3" max="3" width="12.570312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31.28515625" bestFit="1" customWidth="1"/>
  </cols>
  <sheetData>
    <row r="1" spans="1:11" ht="48.75" x14ac:dyDescent="0.25">
      <c r="A1" s="128" t="s">
        <v>458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468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4"/>
      <c r="D5" s="5">
        <v>46196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46195</v>
      </c>
      <c r="K5" s="8" t="s">
        <v>33</v>
      </c>
    </row>
    <row r="6" spans="1:11" ht="18.75" x14ac:dyDescent="0.3">
      <c r="A6" s="9"/>
      <c r="B6" s="10" t="s">
        <v>16</v>
      </c>
      <c r="C6" s="53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4" x14ac:dyDescent="0.4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75" x14ac:dyDescent="0.25">
      <c r="A9" s="3">
        <v>1</v>
      </c>
      <c r="B9" s="3" t="s">
        <v>469</v>
      </c>
      <c r="C9" s="4">
        <v>2700</v>
      </c>
      <c r="D9" s="5">
        <v>46196</v>
      </c>
      <c r="E9" s="14">
        <v>0</v>
      </c>
      <c r="F9" s="13" t="s">
        <v>18</v>
      </c>
      <c r="G9" s="15">
        <v>2807</v>
      </c>
      <c r="H9" s="16">
        <v>0</v>
      </c>
      <c r="I9" s="3" t="s">
        <v>19</v>
      </c>
      <c r="J9" s="5">
        <f t="shared" ref="J9:J15" si="0">+D9+1</f>
        <v>46197</v>
      </c>
      <c r="K9" s="13" t="s">
        <v>115</v>
      </c>
    </row>
    <row r="10" spans="1:11" ht="15.75" x14ac:dyDescent="0.25">
      <c r="A10" s="3">
        <v>2</v>
      </c>
      <c r="B10" s="3" t="s">
        <v>470</v>
      </c>
      <c r="C10" s="4">
        <v>6400</v>
      </c>
      <c r="D10" s="5">
        <f t="shared" ref="D10:D15" si="1">+D9</f>
        <v>46196</v>
      </c>
      <c r="E10" s="14">
        <v>0</v>
      </c>
      <c r="F10" s="13" t="s">
        <v>18</v>
      </c>
      <c r="G10" s="15">
        <v>1433</v>
      </c>
      <c r="H10" s="16">
        <v>0</v>
      </c>
      <c r="I10" s="3" t="s">
        <v>15</v>
      </c>
      <c r="J10" s="5">
        <f t="shared" si="0"/>
        <v>46197</v>
      </c>
      <c r="K10" s="13" t="s">
        <v>482</v>
      </c>
    </row>
    <row r="11" spans="1:11" ht="15.75" x14ac:dyDescent="0.25">
      <c r="A11" s="3">
        <v>3</v>
      </c>
      <c r="B11" s="3" t="s">
        <v>210</v>
      </c>
      <c r="C11" s="4">
        <v>1795</v>
      </c>
      <c r="D11" s="5">
        <f t="shared" si="1"/>
        <v>46196</v>
      </c>
      <c r="E11" s="14">
        <v>0</v>
      </c>
      <c r="F11" s="13" t="s">
        <v>18</v>
      </c>
      <c r="G11" s="15">
        <v>8826</v>
      </c>
      <c r="H11" s="16">
        <v>0</v>
      </c>
      <c r="I11" s="3" t="s">
        <v>15</v>
      </c>
      <c r="J11" s="5">
        <f t="shared" si="0"/>
        <v>46197</v>
      </c>
      <c r="K11" s="13" t="s">
        <v>115</v>
      </c>
    </row>
    <row r="12" spans="1:11" ht="15.75" x14ac:dyDescent="0.25">
      <c r="A12" s="3">
        <v>4</v>
      </c>
      <c r="B12" s="3" t="s">
        <v>471</v>
      </c>
      <c r="C12" s="4">
        <v>1375</v>
      </c>
      <c r="D12" s="5">
        <f t="shared" si="1"/>
        <v>46196</v>
      </c>
      <c r="E12" s="14">
        <v>0</v>
      </c>
      <c r="F12" s="13" t="s">
        <v>18</v>
      </c>
      <c r="G12" s="15">
        <v>9656</v>
      </c>
      <c r="H12" s="16">
        <v>0</v>
      </c>
      <c r="I12" s="3" t="s">
        <v>15</v>
      </c>
      <c r="J12" s="5">
        <f t="shared" si="0"/>
        <v>46197</v>
      </c>
      <c r="K12" s="13" t="s">
        <v>115</v>
      </c>
    </row>
    <row r="13" spans="1:11" ht="15.75" x14ac:dyDescent="0.25">
      <c r="A13" s="3">
        <v>5</v>
      </c>
      <c r="B13" s="3" t="s">
        <v>471</v>
      </c>
      <c r="C13" s="4">
        <v>2000</v>
      </c>
      <c r="D13" s="5">
        <f t="shared" si="1"/>
        <v>46196</v>
      </c>
      <c r="E13" s="14">
        <v>0</v>
      </c>
      <c r="F13" s="13" t="s">
        <v>18</v>
      </c>
      <c r="G13" s="15">
        <v>2690</v>
      </c>
      <c r="H13" s="16">
        <v>0</v>
      </c>
      <c r="I13" s="3" t="s">
        <v>15</v>
      </c>
      <c r="J13" s="5">
        <f t="shared" si="0"/>
        <v>46197</v>
      </c>
      <c r="K13" s="13" t="s">
        <v>115</v>
      </c>
    </row>
    <row r="14" spans="1:11" ht="15.75" x14ac:dyDescent="0.25">
      <c r="A14" s="3">
        <v>6</v>
      </c>
      <c r="B14" s="3" t="s">
        <v>472</v>
      </c>
      <c r="C14" s="4">
        <v>1935</v>
      </c>
      <c r="D14" s="5">
        <f t="shared" si="1"/>
        <v>46196</v>
      </c>
      <c r="E14" s="14">
        <v>0</v>
      </c>
      <c r="F14" s="13" t="s">
        <v>18</v>
      </c>
      <c r="G14" s="15">
        <v>8864</v>
      </c>
      <c r="H14" s="16">
        <v>0</v>
      </c>
      <c r="I14" s="3" t="s">
        <v>15</v>
      </c>
      <c r="J14" s="5">
        <f t="shared" si="0"/>
        <v>46197</v>
      </c>
      <c r="K14" s="13" t="s">
        <v>115</v>
      </c>
    </row>
    <row r="15" spans="1:11" ht="15.75" x14ac:dyDescent="0.25">
      <c r="A15" s="3">
        <v>7</v>
      </c>
      <c r="B15" s="3" t="s">
        <v>473</v>
      </c>
      <c r="C15" s="4">
        <v>3760</v>
      </c>
      <c r="D15" s="5">
        <f t="shared" si="1"/>
        <v>46196</v>
      </c>
      <c r="E15" s="14">
        <v>0</v>
      </c>
      <c r="F15" s="13" t="s">
        <v>18</v>
      </c>
      <c r="G15" s="15">
        <v>2300</v>
      </c>
      <c r="H15" s="16">
        <v>0</v>
      </c>
      <c r="I15" s="3" t="s">
        <v>15</v>
      </c>
      <c r="J15" s="5">
        <f t="shared" si="0"/>
        <v>46197</v>
      </c>
      <c r="K15" s="13" t="s">
        <v>115</v>
      </c>
    </row>
    <row r="16" spans="1:11" ht="18.75" x14ac:dyDescent="0.3">
      <c r="A16" s="3"/>
      <c r="B16" s="17" t="s">
        <v>16</v>
      </c>
      <c r="C16" s="54">
        <f>SUM(C9:C15)</f>
        <v>19965</v>
      </c>
      <c r="D16" s="3"/>
      <c r="E16" s="3"/>
      <c r="F16" s="13"/>
      <c r="G16" s="13"/>
      <c r="H16" s="11"/>
      <c r="I16" s="3"/>
      <c r="J16" s="3"/>
      <c r="K16" s="3"/>
    </row>
    <row r="17" spans="1:11" ht="24.75" x14ac:dyDescent="0.5">
      <c r="A17" s="125" t="s">
        <v>20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7"/>
    </row>
    <row r="18" spans="1:11" ht="18.75" x14ac:dyDescent="0.3">
      <c r="A18" s="19" t="s">
        <v>3</v>
      </c>
      <c r="B18" s="19" t="s">
        <v>21</v>
      </c>
      <c r="C18" s="50" t="s">
        <v>5</v>
      </c>
      <c r="D18" s="1" t="s">
        <v>22</v>
      </c>
      <c r="E18" s="19" t="s">
        <v>7</v>
      </c>
      <c r="F18" s="19" t="s">
        <v>8</v>
      </c>
      <c r="G18" s="19" t="s">
        <v>23</v>
      </c>
      <c r="H18" s="20" t="s">
        <v>24</v>
      </c>
      <c r="I18" s="19" t="s">
        <v>11</v>
      </c>
      <c r="J18" s="19" t="s">
        <v>25</v>
      </c>
      <c r="K18" s="21" t="s">
        <v>26</v>
      </c>
    </row>
    <row r="19" spans="1:11" ht="15.75" x14ac:dyDescent="0.25">
      <c r="A19" s="8">
        <v>1</v>
      </c>
      <c r="B19" s="8" t="s">
        <v>64</v>
      </c>
      <c r="C19" s="47">
        <v>17166</v>
      </c>
      <c r="D19" s="5">
        <v>46196</v>
      </c>
      <c r="E19" s="8"/>
      <c r="F19" s="8"/>
      <c r="G19" s="22">
        <v>18</v>
      </c>
      <c r="H19" s="23"/>
      <c r="I19" s="24"/>
      <c r="J19" s="62">
        <v>46196</v>
      </c>
      <c r="K19" s="13" t="s">
        <v>115</v>
      </c>
    </row>
    <row r="20" spans="1:11" ht="15.75" x14ac:dyDescent="0.25">
      <c r="A20" s="8">
        <v>2</v>
      </c>
      <c r="B20" s="8" t="s">
        <v>474</v>
      </c>
      <c r="C20" s="47">
        <v>9400</v>
      </c>
      <c r="D20" s="5">
        <v>46196</v>
      </c>
      <c r="E20" s="8"/>
      <c r="F20" s="8"/>
      <c r="G20" s="22">
        <v>6315</v>
      </c>
      <c r="H20" s="23"/>
      <c r="I20" s="24"/>
      <c r="J20" s="62">
        <v>46196</v>
      </c>
      <c r="K20" s="13" t="s">
        <v>479</v>
      </c>
    </row>
    <row r="21" spans="1:11" ht="15.75" x14ac:dyDescent="0.25">
      <c r="A21" s="8">
        <v>3</v>
      </c>
      <c r="B21" s="8" t="s">
        <v>475</v>
      </c>
      <c r="C21" s="47">
        <v>650</v>
      </c>
      <c r="D21" s="5">
        <v>46196</v>
      </c>
      <c r="E21" s="8"/>
      <c r="F21" s="8"/>
      <c r="G21" s="22">
        <v>679</v>
      </c>
      <c r="H21" s="23"/>
      <c r="I21" s="24"/>
      <c r="J21" s="62">
        <v>46196</v>
      </c>
      <c r="K21" s="13" t="s">
        <v>481</v>
      </c>
    </row>
    <row r="22" spans="1:11" ht="15.75" x14ac:dyDescent="0.25">
      <c r="A22" s="8">
        <v>4</v>
      </c>
      <c r="B22" s="8" t="s">
        <v>476</v>
      </c>
      <c r="C22" s="47">
        <v>3382</v>
      </c>
      <c r="D22" s="5">
        <v>46196</v>
      </c>
      <c r="E22" s="8"/>
      <c r="F22" s="8"/>
      <c r="G22" s="22">
        <v>3369</v>
      </c>
      <c r="H22" s="23"/>
      <c r="I22" s="24"/>
      <c r="J22" s="62">
        <v>46196</v>
      </c>
      <c r="K22" s="13" t="s">
        <v>480</v>
      </c>
    </row>
    <row r="23" spans="1:11" ht="15.75" x14ac:dyDescent="0.25">
      <c r="A23" s="8">
        <v>5</v>
      </c>
      <c r="B23" s="8" t="s">
        <v>477</v>
      </c>
      <c r="C23" s="47">
        <v>5000</v>
      </c>
      <c r="D23" s="5">
        <v>46196</v>
      </c>
      <c r="E23" s="8"/>
      <c r="F23" s="8"/>
      <c r="G23" s="22">
        <v>9704</v>
      </c>
      <c r="H23" s="23"/>
      <c r="I23" s="24"/>
      <c r="J23" s="62">
        <v>46196</v>
      </c>
      <c r="K23" s="63" t="s">
        <v>478</v>
      </c>
    </row>
    <row r="24" spans="1:11" ht="18.75" x14ac:dyDescent="0.25">
      <c r="A24" s="8"/>
      <c r="B24" s="25" t="s">
        <v>27</v>
      </c>
      <c r="C24" s="51">
        <f>SUM(C19:C23)</f>
        <v>35598</v>
      </c>
      <c r="D24" s="3"/>
      <c r="E24" s="8"/>
      <c r="F24" s="8"/>
      <c r="G24" s="8"/>
      <c r="H24" s="27">
        <v>0</v>
      </c>
      <c r="I24" s="24"/>
      <c r="J24" s="3"/>
      <c r="K24" s="28"/>
    </row>
    <row r="25" spans="1:11" x14ac:dyDescent="0.25">
      <c r="C25" s="29"/>
      <c r="H25" s="29"/>
    </row>
    <row r="26" spans="1:11" ht="16.5" x14ac:dyDescent="0.3">
      <c r="B26" s="30" t="s">
        <v>28</v>
      </c>
      <c r="C26" s="31">
        <v>0</v>
      </c>
      <c r="E26" s="32"/>
      <c r="F26" s="32"/>
      <c r="G26" s="116"/>
      <c r="H26" s="116"/>
    </row>
    <row r="27" spans="1:11" ht="16.5" x14ac:dyDescent="0.3">
      <c r="B27" s="33" t="s">
        <v>29</v>
      </c>
      <c r="C27" s="34">
        <f>SUM(C11,C9,C12,C13,C14,C15)</f>
        <v>13565</v>
      </c>
      <c r="E27" s="35"/>
      <c r="F27" s="35"/>
      <c r="G27" s="36" t="s">
        <v>30</v>
      </c>
      <c r="H27" s="37"/>
    </row>
    <row r="28" spans="1:11" ht="24" x14ac:dyDescent="0.4">
      <c r="B28" s="38" t="s">
        <v>31</v>
      </c>
      <c r="C28" s="39">
        <f>SUM(C10)</f>
        <v>6400</v>
      </c>
      <c r="E28" s="40" t="s">
        <v>32</v>
      </c>
      <c r="F28" s="41"/>
      <c r="G28" s="42"/>
      <c r="H28" s="43"/>
      <c r="I28" s="42"/>
      <c r="J28" s="44"/>
    </row>
    <row r="29" spans="1:11" ht="18.75" x14ac:dyDescent="0.3">
      <c r="B29" s="45" t="s">
        <v>16</v>
      </c>
      <c r="C29" s="46">
        <f>SUM(C26:C28)</f>
        <v>19965</v>
      </c>
      <c r="G29" s="36"/>
      <c r="H29" s="37"/>
      <c r="I29" s="36"/>
      <c r="J29" s="36"/>
    </row>
  </sheetData>
  <mergeCells count="6">
    <mergeCell ref="G26:H26"/>
    <mergeCell ref="A1:K1"/>
    <mergeCell ref="A2:K2"/>
    <mergeCell ref="A3:K3"/>
    <mergeCell ref="A8:K8"/>
    <mergeCell ref="A17:K17"/>
  </mergeCells>
  <pageMargins left="0.59055118110236215" right="0.15748031496062992" top="0.47244094488188976" bottom="0.23622047244094488" header="0.31496062992125984" footer="0.31496062992125984"/>
  <pageSetup scale="86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829E6-67D4-4306-A537-1496AF610026}">
  <sheetPr>
    <pageSetUpPr fitToPage="1"/>
  </sheetPr>
  <dimension ref="A1:K27"/>
  <sheetViews>
    <sheetView workbookViewId="0">
      <selection activeCell="N14" sqref="N14"/>
    </sheetView>
  </sheetViews>
  <sheetFormatPr defaultRowHeight="15" x14ac:dyDescent="0.25"/>
  <cols>
    <col min="1" max="1" width="4.42578125" bestFit="1" customWidth="1"/>
    <col min="2" max="2" width="22" bestFit="1" customWidth="1"/>
    <col min="3" max="3" width="12.570312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34.42578125" customWidth="1"/>
  </cols>
  <sheetData>
    <row r="1" spans="1:11" ht="48.75" x14ac:dyDescent="0.25">
      <c r="A1" s="128" t="s">
        <v>458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483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4"/>
      <c r="D5" s="5">
        <v>46197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46196</v>
      </c>
      <c r="K5" s="8" t="s">
        <v>33</v>
      </c>
    </row>
    <row r="6" spans="1:11" ht="18.75" x14ac:dyDescent="0.3">
      <c r="A6" s="9"/>
      <c r="B6" s="10" t="s">
        <v>16</v>
      </c>
      <c r="C6" s="53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4" x14ac:dyDescent="0.4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75" x14ac:dyDescent="0.25">
      <c r="A9" s="3">
        <v>1</v>
      </c>
      <c r="B9" s="3" t="s">
        <v>484</v>
      </c>
      <c r="C9" s="4">
        <v>685</v>
      </c>
      <c r="D9" s="5">
        <v>46197</v>
      </c>
      <c r="E9" s="14">
        <v>0</v>
      </c>
      <c r="F9" s="13" t="s">
        <v>18</v>
      </c>
      <c r="G9" s="15">
        <v>5386</v>
      </c>
      <c r="H9" s="16">
        <v>0</v>
      </c>
      <c r="I9" s="3" t="s">
        <v>19</v>
      </c>
      <c r="J9" s="5">
        <f t="shared" ref="J9:J13" si="0">+D9+1</f>
        <v>46198</v>
      </c>
      <c r="K9" s="13" t="s">
        <v>115</v>
      </c>
    </row>
    <row r="10" spans="1:11" ht="15.75" x14ac:dyDescent="0.25">
      <c r="A10" s="3">
        <v>2</v>
      </c>
      <c r="B10" s="3" t="s">
        <v>485</v>
      </c>
      <c r="C10" s="4">
        <v>1805</v>
      </c>
      <c r="D10" s="5">
        <f t="shared" ref="D10:D13" si="1">+D9</f>
        <v>46197</v>
      </c>
      <c r="E10" s="14">
        <v>0</v>
      </c>
      <c r="F10" s="13" t="s">
        <v>18</v>
      </c>
      <c r="G10" s="15">
        <v>8804</v>
      </c>
      <c r="H10" s="16">
        <v>0</v>
      </c>
      <c r="I10" s="3" t="s">
        <v>15</v>
      </c>
      <c r="J10" s="5">
        <f t="shared" si="0"/>
        <v>46198</v>
      </c>
      <c r="K10" s="13" t="s">
        <v>115</v>
      </c>
    </row>
    <row r="11" spans="1:11" ht="15.75" x14ac:dyDescent="0.25">
      <c r="A11" s="3">
        <v>3</v>
      </c>
      <c r="B11" s="3" t="s">
        <v>486</v>
      </c>
      <c r="C11" s="4">
        <v>140</v>
      </c>
      <c r="D11" s="5">
        <f t="shared" si="1"/>
        <v>46197</v>
      </c>
      <c r="E11" s="14">
        <v>0</v>
      </c>
      <c r="F11" s="13" t="s">
        <v>18</v>
      </c>
      <c r="G11" s="15">
        <v>1710</v>
      </c>
      <c r="H11" s="16">
        <v>0</v>
      </c>
      <c r="I11" s="3" t="s">
        <v>15</v>
      </c>
      <c r="J11" s="5">
        <f t="shared" si="0"/>
        <v>46198</v>
      </c>
      <c r="K11" s="13" t="s">
        <v>115</v>
      </c>
    </row>
    <row r="12" spans="1:11" ht="15.75" x14ac:dyDescent="0.25">
      <c r="A12" s="3">
        <v>4</v>
      </c>
      <c r="B12" s="3" t="s">
        <v>486</v>
      </c>
      <c r="C12" s="4">
        <v>2000</v>
      </c>
      <c r="D12" s="5">
        <f t="shared" si="1"/>
        <v>46197</v>
      </c>
      <c r="E12" s="14">
        <v>0</v>
      </c>
      <c r="F12" s="13" t="s">
        <v>18</v>
      </c>
      <c r="G12" s="15">
        <v>5855</v>
      </c>
      <c r="H12" s="16">
        <v>0</v>
      </c>
      <c r="I12" s="3" t="s">
        <v>15</v>
      </c>
      <c r="J12" s="5">
        <f t="shared" si="0"/>
        <v>46198</v>
      </c>
      <c r="K12" s="13" t="s">
        <v>115</v>
      </c>
    </row>
    <row r="13" spans="1:11" ht="15.75" x14ac:dyDescent="0.25">
      <c r="A13" s="3">
        <v>5</v>
      </c>
      <c r="B13" s="3" t="s">
        <v>487</v>
      </c>
      <c r="C13" s="4">
        <v>1730</v>
      </c>
      <c r="D13" s="5">
        <f t="shared" si="1"/>
        <v>46197</v>
      </c>
      <c r="E13" s="14">
        <v>0</v>
      </c>
      <c r="F13" s="13" t="s">
        <v>18</v>
      </c>
      <c r="G13" s="15">
        <v>1585</v>
      </c>
      <c r="H13" s="16">
        <v>0</v>
      </c>
      <c r="I13" s="3" t="s">
        <v>15</v>
      </c>
      <c r="J13" s="5">
        <f t="shared" si="0"/>
        <v>46198</v>
      </c>
      <c r="K13" s="13" t="s">
        <v>115</v>
      </c>
    </row>
    <row r="14" spans="1:11" ht="18.75" x14ac:dyDescent="0.3">
      <c r="A14" s="3"/>
      <c r="B14" s="17" t="s">
        <v>16</v>
      </c>
      <c r="C14" s="54">
        <f>SUM(C9:C13)</f>
        <v>6360</v>
      </c>
      <c r="D14" s="3"/>
      <c r="E14" s="3"/>
      <c r="F14" s="13"/>
      <c r="G14" s="13"/>
      <c r="H14" s="11"/>
      <c r="I14" s="3"/>
      <c r="J14" s="3"/>
      <c r="K14" s="3"/>
    </row>
    <row r="15" spans="1:11" ht="24.75" x14ac:dyDescent="0.5">
      <c r="A15" s="125" t="s">
        <v>20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7"/>
    </row>
    <row r="16" spans="1:11" ht="18.75" x14ac:dyDescent="0.3">
      <c r="A16" s="19" t="s">
        <v>3</v>
      </c>
      <c r="B16" s="19" t="s">
        <v>21</v>
      </c>
      <c r="C16" s="50" t="s">
        <v>5</v>
      </c>
      <c r="D16" s="1" t="s">
        <v>22</v>
      </c>
      <c r="E16" s="19" t="s">
        <v>7</v>
      </c>
      <c r="F16" s="19" t="s">
        <v>8</v>
      </c>
      <c r="G16" s="19" t="s">
        <v>23</v>
      </c>
      <c r="H16" s="20" t="s">
        <v>24</v>
      </c>
      <c r="I16" s="19" t="s">
        <v>11</v>
      </c>
      <c r="J16" s="19" t="s">
        <v>25</v>
      </c>
      <c r="K16" s="21" t="s">
        <v>26</v>
      </c>
    </row>
    <row r="17" spans="1:11" ht="15.75" x14ac:dyDescent="0.25">
      <c r="A17" s="8">
        <v>1</v>
      </c>
      <c r="B17" s="8" t="s">
        <v>52</v>
      </c>
      <c r="C17" s="47">
        <v>6000</v>
      </c>
      <c r="D17" s="5">
        <v>46197</v>
      </c>
      <c r="E17" s="8">
        <v>0</v>
      </c>
      <c r="F17" s="8"/>
      <c r="G17" s="22">
        <v>2343</v>
      </c>
      <c r="H17" s="23"/>
      <c r="I17" s="24"/>
      <c r="J17" s="5">
        <v>46197</v>
      </c>
      <c r="K17" s="13" t="s">
        <v>489</v>
      </c>
    </row>
    <row r="18" spans="1:11" ht="15.75" x14ac:dyDescent="0.25">
      <c r="A18" s="8">
        <v>2</v>
      </c>
      <c r="B18" s="8" t="s">
        <v>330</v>
      </c>
      <c r="C18" s="47">
        <v>12000</v>
      </c>
      <c r="D18" s="5">
        <v>46197</v>
      </c>
      <c r="E18" s="8"/>
      <c r="F18" s="8"/>
      <c r="G18" s="22">
        <v>9960</v>
      </c>
      <c r="H18" s="23"/>
      <c r="I18" s="24"/>
      <c r="J18" s="5">
        <v>46197</v>
      </c>
      <c r="K18" s="13" t="s">
        <v>491</v>
      </c>
    </row>
    <row r="19" spans="1:11" ht="15.75" x14ac:dyDescent="0.25">
      <c r="A19" s="8">
        <v>3</v>
      </c>
      <c r="B19" s="8" t="s">
        <v>488</v>
      </c>
      <c r="C19" s="47">
        <v>500</v>
      </c>
      <c r="D19" s="5">
        <v>46197</v>
      </c>
      <c r="E19" s="8"/>
      <c r="F19" s="8"/>
      <c r="G19" s="22">
        <v>2969</v>
      </c>
      <c r="H19" s="23"/>
      <c r="I19" s="24"/>
      <c r="J19" s="5">
        <v>46197</v>
      </c>
      <c r="K19" s="13" t="s">
        <v>490</v>
      </c>
    </row>
    <row r="20" spans="1:11" ht="15.75" x14ac:dyDescent="0.25">
      <c r="A20" s="8">
        <v>4</v>
      </c>
      <c r="B20" s="8" t="s">
        <v>488</v>
      </c>
      <c r="C20" s="47">
        <v>500</v>
      </c>
      <c r="D20" s="5">
        <v>46197</v>
      </c>
      <c r="E20" s="8"/>
      <c r="F20" s="8"/>
      <c r="G20" s="22">
        <v>8630</v>
      </c>
      <c r="H20" s="23"/>
      <c r="I20" s="24"/>
      <c r="J20" s="5">
        <v>46197</v>
      </c>
      <c r="K20" s="13" t="s">
        <v>490</v>
      </c>
    </row>
    <row r="21" spans="1:11" ht="15.75" x14ac:dyDescent="0.25">
      <c r="A21" s="8">
        <v>5</v>
      </c>
      <c r="B21" s="8" t="s">
        <v>488</v>
      </c>
      <c r="C21" s="47">
        <v>500</v>
      </c>
      <c r="D21" s="5">
        <v>46197</v>
      </c>
      <c r="E21" s="8"/>
      <c r="F21" s="8"/>
      <c r="G21" s="22">
        <v>8373</v>
      </c>
      <c r="H21" s="23"/>
      <c r="I21" s="24"/>
      <c r="J21" s="5">
        <v>46197</v>
      </c>
      <c r="K21" s="13" t="s">
        <v>490</v>
      </c>
    </row>
    <row r="22" spans="1:11" ht="18.75" x14ac:dyDescent="0.25">
      <c r="A22" s="8"/>
      <c r="B22" s="25" t="s">
        <v>27</v>
      </c>
      <c r="C22" s="51">
        <f>SUM(C17:C21)</f>
        <v>19500</v>
      </c>
      <c r="D22" s="3"/>
      <c r="E22" s="8"/>
      <c r="F22" s="8"/>
      <c r="G22" s="8"/>
      <c r="H22" s="27">
        <v>0</v>
      </c>
      <c r="I22" s="24"/>
      <c r="J22" s="3"/>
      <c r="K22" s="28"/>
    </row>
    <row r="23" spans="1:11" x14ac:dyDescent="0.25">
      <c r="C23" s="29"/>
      <c r="H23" s="29"/>
    </row>
    <row r="24" spans="1:11" ht="16.5" x14ac:dyDescent="0.3">
      <c r="B24" s="30" t="s">
        <v>28</v>
      </c>
      <c r="C24" s="31">
        <v>0</v>
      </c>
      <c r="E24" s="32"/>
      <c r="F24" s="32"/>
      <c r="G24" s="116"/>
      <c r="H24" s="116"/>
    </row>
    <row r="25" spans="1:11" ht="16.5" x14ac:dyDescent="0.3">
      <c r="B25" s="33" t="s">
        <v>29</v>
      </c>
      <c r="C25" s="34">
        <f>SUM(C9,C10,C11,C12,C13)</f>
        <v>6360</v>
      </c>
      <c r="E25" s="35"/>
      <c r="F25" s="35"/>
      <c r="G25" s="36" t="s">
        <v>30</v>
      </c>
      <c r="H25" s="37"/>
    </row>
    <row r="26" spans="1:11" ht="24" x14ac:dyDescent="0.4">
      <c r="B26" s="38" t="s">
        <v>31</v>
      </c>
      <c r="C26" s="39">
        <v>0</v>
      </c>
      <c r="E26" s="40" t="s">
        <v>32</v>
      </c>
      <c r="F26" s="41"/>
      <c r="G26" s="42"/>
      <c r="H26" s="43"/>
      <c r="I26" s="42"/>
      <c r="J26" s="44"/>
    </row>
    <row r="27" spans="1:11" ht="18.75" x14ac:dyDescent="0.3">
      <c r="B27" s="45" t="s">
        <v>16</v>
      </c>
      <c r="C27" s="46">
        <f>SUM(C24:C26)</f>
        <v>6360</v>
      </c>
      <c r="G27" s="36"/>
      <c r="H27" s="37"/>
      <c r="I27" s="36"/>
      <c r="J27" s="36"/>
    </row>
  </sheetData>
  <mergeCells count="6">
    <mergeCell ref="G24:H24"/>
    <mergeCell ref="A1:K1"/>
    <mergeCell ref="A2:K2"/>
    <mergeCell ref="A3:K3"/>
    <mergeCell ref="A8:K8"/>
    <mergeCell ref="A15:K15"/>
  </mergeCells>
  <pageMargins left="0.59055118110236215" right="0.15748031496062992" top="0.47244094488188976" bottom="0.23622047244094488" header="0.31496062992125984" footer="0.31496062992125984"/>
  <pageSetup scale="83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D9B27-E58F-4D1F-A477-0D1316FB4DE0}">
  <sheetPr>
    <pageSetUpPr fitToPage="1"/>
  </sheetPr>
  <dimension ref="A1:K34"/>
  <sheetViews>
    <sheetView topLeftCell="A16" workbookViewId="0">
      <selection sqref="A1:K34"/>
    </sheetView>
  </sheetViews>
  <sheetFormatPr defaultRowHeight="15" x14ac:dyDescent="0.25"/>
  <cols>
    <col min="1" max="1" width="4.42578125" bestFit="1" customWidth="1"/>
    <col min="2" max="2" width="19.42578125" bestFit="1" customWidth="1"/>
    <col min="3" max="3" width="14.4257812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34.5703125" bestFit="1" customWidth="1"/>
  </cols>
  <sheetData>
    <row r="1" spans="1:11" ht="48.75" x14ac:dyDescent="0.25">
      <c r="A1" s="128" t="s">
        <v>458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492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4"/>
      <c r="D5" s="5">
        <v>46198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46197</v>
      </c>
      <c r="K5" s="8" t="s">
        <v>33</v>
      </c>
    </row>
    <row r="6" spans="1:11" ht="15.75" x14ac:dyDescent="0.25">
      <c r="A6" s="3">
        <v>2</v>
      </c>
      <c r="B6" s="3" t="s">
        <v>501</v>
      </c>
      <c r="C6" s="67">
        <v>92500</v>
      </c>
      <c r="D6" s="5">
        <v>46198</v>
      </c>
      <c r="E6" s="6">
        <v>0</v>
      </c>
      <c r="F6" s="3" t="s">
        <v>463</v>
      </c>
      <c r="G6" s="49">
        <v>3321</v>
      </c>
      <c r="H6" s="7">
        <v>0</v>
      </c>
      <c r="I6" s="3" t="s">
        <v>15</v>
      </c>
      <c r="J6" s="5">
        <f>+D6-1</f>
        <v>46197</v>
      </c>
      <c r="K6" s="8" t="s">
        <v>261</v>
      </c>
    </row>
    <row r="7" spans="1:11" ht="18.75" x14ac:dyDescent="0.3">
      <c r="A7" s="9"/>
      <c r="B7" s="10" t="s">
        <v>16</v>
      </c>
      <c r="C7" s="68">
        <f>SUM(C6)</f>
        <v>92500</v>
      </c>
      <c r="D7" s="3"/>
      <c r="E7" s="12"/>
      <c r="F7" s="9"/>
      <c r="G7" s="13"/>
      <c r="H7" s="11">
        <f>SUM(H5:H5)</f>
        <v>0</v>
      </c>
      <c r="I7" s="9"/>
      <c r="J7" s="9"/>
      <c r="K7" s="9"/>
    </row>
    <row r="9" spans="1:11" ht="24" x14ac:dyDescent="0.4">
      <c r="A9" s="122" t="s">
        <v>17</v>
      </c>
      <c r="B9" s="123"/>
      <c r="C9" s="123"/>
      <c r="D9" s="123"/>
      <c r="E9" s="123"/>
      <c r="F9" s="123"/>
      <c r="G9" s="123"/>
      <c r="H9" s="123"/>
      <c r="I9" s="123"/>
      <c r="J9" s="123"/>
      <c r="K9" s="124"/>
    </row>
    <row r="10" spans="1:11" ht="15.75" x14ac:dyDescent="0.25">
      <c r="A10" s="3">
        <v>1</v>
      </c>
      <c r="B10" s="3" t="s">
        <v>493</v>
      </c>
      <c r="C10" s="65">
        <v>14700</v>
      </c>
      <c r="D10" s="5">
        <v>46198</v>
      </c>
      <c r="E10" s="14">
        <v>0</v>
      </c>
      <c r="F10" s="13" t="s">
        <v>18</v>
      </c>
      <c r="G10" s="55">
        <v>7070</v>
      </c>
      <c r="H10" s="16">
        <v>0</v>
      </c>
      <c r="I10" s="3" t="s">
        <v>19</v>
      </c>
      <c r="J10" s="5">
        <f t="shared" ref="J10:J24" si="0">+D10+1</f>
        <v>46199</v>
      </c>
      <c r="K10" s="13" t="s">
        <v>115</v>
      </c>
    </row>
    <row r="11" spans="1:11" ht="15.75" x14ac:dyDescent="0.25">
      <c r="A11" s="3">
        <v>2</v>
      </c>
      <c r="B11" s="3" t="s">
        <v>494</v>
      </c>
      <c r="C11" s="65">
        <v>180</v>
      </c>
      <c r="D11" s="5">
        <f t="shared" ref="D11:D24" si="1">+D10</f>
        <v>46198</v>
      </c>
      <c r="E11" s="14">
        <v>0</v>
      </c>
      <c r="F11" s="13" t="s">
        <v>18</v>
      </c>
      <c r="G11" s="55">
        <v>8285</v>
      </c>
      <c r="H11" s="16">
        <v>0</v>
      </c>
      <c r="I11" s="3" t="s">
        <v>15</v>
      </c>
      <c r="J11" s="5">
        <f t="shared" si="0"/>
        <v>46199</v>
      </c>
      <c r="K11" s="13" t="s">
        <v>115</v>
      </c>
    </row>
    <row r="12" spans="1:11" ht="15.75" x14ac:dyDescent="0.25">
      <c r="A12" s="3">
        <v>3</v>
      </c>
      <c r="B12" s="3" t="s">
        <v>495</v>
      </c>
      <c r="C12" s="65">
        <v>150</v>
      </c>
      <c r="D12" s="5">
        <f t="shared" si="1"/>
        <v>46198</v>
      </c>
      <c r="E12" s="14">
        <v>0</v>
      </c>
      <c r="F12" s="13" t="s">
        <v>18</v>
      </c>
      <c r="G12" s="55">
        <v>3136</v>
      </c>
      <c r="H12" s="16">
        <v>0</v>
      </c>
      <c r="I12" s="3" t="s">
        <v>15</v>
      </c>
      <c r="J12" s="5">
        <f t="shared" si="0"/>
        <v>46199</v>
      </c>
      <c r="K12" s="13" t="s">
        <v>115</v>
      </c>
    </row>
    <row r="13" spans="1:11" ht="15.75" x14ac:dyDescent="0.25">
      <c r="A13" s="3">
        <v>4</v>
      </c>
      <c r="B13" s="3" t="s">
        <v>496</v>
      </c>
      <c r="C13" s="65">
        <v>17700</v>
      </c>
      <c r="D13" s="5">
        <f t="shared" si="1"/>
        <v>46198</v>
      </c>
      <c r="E13" s="14">
        <v>0</v>
      </c>
      <c r="F13" s="13" t="s">
        <v>18</v>
      </c>
      <c r="G13" s="55">
        <v>3556</v>
      </c>
      <c r="H13" s="16">
        <v>0</v>
      </c>
      <c r="I13" s="3" t="s">
        <v>15</v>
      </c>
      <c r="J13" s="5">
        <f t="shared" si="0"/>
        <v>46199</v>
      </c>
      <c r="K13" s="13" t="s">
        <v>106</v>
      </c>
    </row>
    <row r="14" spans="1:11" ht="15.75" x14ac:dyDescent="0.25">
      <c r="A14" s="3">
        <v>5</v>
      </c>
      <c r="B14" s="3" t="s">
        <v>496</v>
      </c>
      <c r="C14" s="65">
        <v>2000</v>
      </c>
      <c r="D14" s="5">
        <f t="shared" si="1"/>
        <v>46198</v>
      </c>
      <c r="E14" s="14">
        <v>0</v>
      </c>
      <c r="F14" s="13" t="s">
        <v>18</v>
      </c>
      <c r="G14" s="55">
        <v>2597</v>
      </c>
      <c r="H14" s="16">
        <v>0</v>
      </c>
      <c r="I14" s="3" t="s">
        <v>15</v>
      </c>
      <c r="J14" s="5">
        <f t="shared" si="0"/>
        <v>46199</v>
      </c>
      <c r="K14" s="47" t="s">
        <v>106</v>
      </c>
    </row>
    <row r="15" spans="1:11" ht="15.75" x14ac:dyDescent="0.25">
      <c r="A15" s="3">
        <v>6</v>
      </c>
      <c r="B15" s="3" t="s">
        <v>496</v>
      </c>
      <c r="C15" s="65">
        <v>2000</v>
      </c>
      <c r="D15" s="5">
        <f t="shared" si="1"/>
        <v>46198</v>
      </c>
      <c r="E15" s="14">
        <v>0</v>
      </c>
      <c r="F15" s="13" t="s">
        <v>18</v>
      </c>
      <c r="G15" s="55">
        <v>806</v>
      </c>
      <c r="H15" s="16">
        <v>0</v>
      </c>
      <c r="I15" s="3" t="s">
        <v>15</v>
      </c>
      <c r="J15" s="5">
        <f t="shared" si="0"/>
        <v>46199</v>
      </c>
      <c r="K15" s="13" t="s">
        <v>106</v>
      </c>
    </row>
    <row r="16" spans="1:11" ht="15.75" x14ac:dyDescent="0.25">
      <c r="A16" s="3">
        <v>7</v>
      </c>
      <c r="B16" s="3" t="s">
        <v>496</v>
      </c>
      <c r="C16" s="65">
        <v>2000</v>
      </c>
      <c r="D16" s="5">
        <f t="shared" si="1"/>
        <v>46198</v>
      </c>
      <c r="E16" s="14">
        <v>0</v>
      </c>
      <c r="F16" s="13" t="s">
        <v>18</v>
      </c>
      <c r="G16" s="55">
        <v>1624</v>
      </c>
      <c r="H16" s="16">
        <v>0</v>
      </c>
      <c r="I16" s="3" t="s">
        <v>15</v>
      </c>
      <c r="J16" s="5">
        <f t="shared" si="0"/>
        <v>46199</v>
      </c>
      <c r="K16" s="13" t="s">
        <v>106</v>
      </c>
    </row>
    <row r="17" spans="1:11" ht="15.75" x14ac:dyDescent="0.25">
      <c r="A17" s="3">
        <v>8</v>
      </c>
      <c r="B17" s="3" t="s">
        <v>496</v>
      </c>
      <c r="C17" s="65">
        <v>2000</v>
      </c>
      <c r="D17" s="5">
        <f t="shared" si="1"/>
        <v>46198</v>
      </c>
      <c r="E17" s="14">
        <v>0</v>
      </c>
      <c r="F17" s="13" t="s">
        <v>18</v>
      </c>
      <c r="G17" s="55">
        <v>9643</v>
      </c>
      <c r="H17" s="16">
        <v>0</v>
      </c>
      <c r="I17" s="3" t="s">
        <v>15</v>
      </c>
      <c r="J17" s="5">
        <f t="shared" si="0"/>
        <v>46199</v>
      </c>
      <c r="K17" s="13" t="s">
        <v>106</v>
      </c>
    </row>
    <row r="18" spans="1:11" ht="15.75" x14ac:dyDescent="0.25">
      <c r="A18" s="3">
        <v>9</v>
      </c>
      <c r="B18" s="3" t="s">
        <v>497</v>
      </c>
      <c r="C18" s="65">
        <v>12500</v>
      </c>
      <c r="D18" s="5">
        <f t="shared" si="1"/>
        <v>46198</v>
      </c>
      <c r="E18" s="14">
        <v>0</v>
      </c>
      <c r="F18" s="13" t="s">
        <v>18</v>
      </c>
      <c r="G18" s="55">
        <v>369</v>
      </c>
      <c r="H18" s="16">
        <v>0</v>
      </c>
      <c r="I18" s="3" t="s">
        <v>15</v>
      </c>
      <c r="J18" s="5">
        <f t="shared" si="0"/>
        <v>46199</v>
      </c>
      <c r="K18" s="13" t="s">
        <v>106</v>
      </c>
    </row>
    <row r="19" spans="1:11" ht="15.75" x14ac:dyDescent="0.25">
      <c r="A19" s="3">
        <v>10</v>
      </c>
      <c r="B19" s="3" t="s">
        <v>498</v>
      </c>
      <c r="C19" s="65">
        <v>25000</v>
      </c>
      <c r="D19" s="5">
        <f t="shared" si="1"/>
        <v>46198</v>
      </c>
      <c r="E19" s="14">
        <v>0</v>
      </c>
      <c r="F19" s="13" t="s">
        <v>18</v>
      </c>
      <c r="G19" s="55">
        <v>5998</v>
      </c>
      <c r="H19" s="16">
        <v>0</v>
      </c>
      <c r="I19" s="3" t="s">
        <v>15</v>
      </c>
      <c r="J19" s="5">
        <f t="shared" si="0"/>
        <v>46199</v>
      </c>
      <c r="K19" s="13" t="s">
        <v>106</v>
      </c>
    </row>
    <row r="20" spans="1:11" ht="15.75" x14ac:dyDescent="0.25">
      <c r="A20" s="3">
        <v>11</v>
      </c>
      <c r="B20" s="3" t="s">
        <v>499</v>
      </c>
      <c r="C20" s="65">
        <v>2065</v>
      </c>
      <c r="D20" s="5">
        <f t="shared" si="1"/>
        <v>46198</v>
      </c>
      <c r="E20" s="14">
        <v>0</v>
      </c>
      <c r="F20" s="13" t="s">
        <v>18</v>
      </c>
      <c r="G20" s="55">
        <v>4469</v>
      </c>
      <c r="H20" s="16">
        <v>0</v>
      </c>
      <c r="I20" s="3" t="s">
        <v>15</v>
      </c>
      <c r="J20" s="5">
        <f t="shared" si="0"/>
        <v>46199</v>
      </c>
      <c r="K20" s="13" t="s">
        <v>115</v>
      </c>
    </row>
    <row r="21" spans="1:11" ht="15.75" x14ac:dyDescent="0.25">
      <c r="A21" s="3">
        <v>12</v>
      </c>
      <c r="B21" s="3" t="s">
        <v>256</v>
      </c>
      <c r="C21" s="65">
        <v>10000</v>
      </c>
      <c r="D21" s="5">
        <f t="shared" si="1"/>
        <v>46198</v>
      </c>
      <c r="E21" s="14">
        <v>0</v>
      </c>
      <c r="F21" s="13" t="s">
        <v>18</v>
      </c>
      <c r="G21" s="55">
        <v>5370</v>
      </c>
      <c r="H21" s="16">
        <v>0</v>
      </c>
      <c r="I21" s="3" t="s">
        <v>15</v>
      </c>
      <c r="J21" s="5">
        <f t="shared" si="0"/>
        <v>46199</v>
      </c>
      <c r="K21" s="13" t="s">
        <v>106</v>
      </c>
    </row>
    <row r="22" spans="1:11" ht="15.75" x14ac:dyDescent="0.25">
      <c r="A22" s="3">
        <v>13</v>
      </c>
      <c r="B22" s="3" t="s">
        <v>495</v>
      </c>
      <c r="C22" s="65">
        <v>4800</v>
      </c>
      <c r="D22" s="5">
        <f t="shared" si="1"/>
        <v>46198</v>
      </c>
      <c r="E22" s="14">
        <v>0</v>
      </c>
      <c r="F22" s="13" t="s">
        <v>18</v>
      </c>
      <c r="G22" s="55">
        <v>2936</v>
      </c>
      <c r="H22" s="16">
        <v>0</v>
      </c>
      <c r="I22" s="3" t="s">
        <v>15</v>
      </c>
      <c r="J22" s="5">
        <f t="shared" si="0"/>
        <v>46199</v>
      </c>
      <c r="K22" s="13" t="s">
        <v>115</v>
      </c>
    </row>
    <row r="23" spans="1:11" ht="15.75" x14ac:dyDescent="0.25">
      <c r="A23" s="3">
        <v>14</v>
      </c>
      <c r="B23" s="3" t="s">
        <v>500</v>
      </c>
      <c r="C23" s="65">
        <v>2065</v>
      </c>
      <c r="D23" s="5">
        <f t="shared" si="1"/>
        <v>46198</v>
      </c>
      <c r="E23" s="14">
        <v>0</v>
      </c>
      <c r="F23" s="13" t="s">
        <v>18</v>
      </c>
      <c r="G23" s="55">
        <v>1204</v>
      </c>
      <c r="H23" s="16">
        <v>0</v>
      </c>
      <c r="I23" s="3" t="s">
        <v>15</v>
      </c>
      <c r="J23" s="5">
        <f t="shared" si="0"/>
        <v>46199</v>
      </c>
      <c r="K23" s="13" t="s">
        <v>115</v>
      </c>
    </row>
    <row r="24" spans="1:11" ht="15.75" x14ac:dyDescent="0.25">
      <c r="A24" s="3">
        <v>15</v>
      </c>
      <c r="B24" s="3" t="s">
        <v>394</v>
      </c>
      <c r="C24" s="65">
        <v>26780</v>
      </c>
      <c r="D24" s="5">
        <f t="shared" si="1"/>
        <v>46198</v>
      </c>
      <c r="E24" s="14">
        <v>0</v>
      </c>
      <c r="F24" s="13" t="s">
        <v>18</v>
      </c>
      <c r="G24" s="55">
        <v>549</v>
      </c>
      <c r="H24" s="16">
        <v>0</v>
      </c>
      <c r="I24" s="3" t="s">
        <v>15</v>
      </c>
      <c r="J24" s="5">
        <f t="shared" si="0"/>
        <v>46199</v>
      </c>
      <c r="K24" s="13" t="s">
        <v>503</v>
      </c>
    </row>
    <row r="25" spans="1:11" ht="18.75" x14ac:dyDescent="0.3">
      <c r="A25" s="3"/>
      <c r="B25" s="17" t="s">
        <v>16</v>
      </c>
      <c r="C25" s="66">
        <f>SUM(C10:C24)</f>
        <v>123940</v>
      </c>
      <c r="D25" s="3"/>
      <c r="E25" s="3"/>
      <c r="F25" s="13"/>
      <c r="G25" s="13"/>
      <c r="H25" s="11"/>
      <c r="I25" s="3"/>
      <c r="J25" s="3"/>
      <c r="K25" s="3"/>
    </row>
    <row r="26" spans="1:11" ht="24.75" x14ac:dyDescent="0.5">
      <c r="A26" s="125" t="s">
        <v>20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7"/>
    </row>
    <row r="27" spans="1:11" ht="18.75" x14ac:dyDescent="0.3">
      <c r="A27" s="19" t="s">
        <v>3</v>
      </c>
      <c r="B27" s="19" t="s">
        <v>21</v>
      </c>
      <c r="C27" s="50" t="s">
        <v>5</v>
      </c>
      <c r="D27" s="1" t="s">
        <v>22</v>
      </c>
      <c r="E27" s="19" t="s">
        <v>7</v>
      </c>
      <c r="F27" s="19" t="s">
        <v>8</v>
      </c>
      <c r="G27" s="19" t="s">
        <v>23</v>
      </c>
      <c r="H27" s="20" t="s">
        <v>24</v>
      </c>
      <c r="I27" s="19" t="s">
        <v>11</v>
      </c>
      <c r="J27" s="19" t="s">
        <v>25</v>
      </c>
      <c r="K27" s="21" t="s">
        <v>26</v>
      </c>
    </row>
    <row r="28" spans="1:11" ht="15.75" x14ac:dyDescent="0.25">
      <c r="A28" s="8">
        <v>1</v>
      </c>
      <c r="B28" s="8" t="s">
        <v>502</v>
      </c>
      <c r="C28" s="73">
        <v>102397.6</v>
      </c>
      <c r="D28" s="5">
        <v>46198</v>
      </c>
      <c r="E28" s="8"/>
      <c r="F28" s="8"/>
      <c r="G28" s="22">
        <v>134</v>
      </c>
      <c r="H28" s="23"/>
      <c r="I28" s="24"/>
      <c r="J28" s="5">
        <v>46198</v>
      </c>
      <c r="K28" s="13" t="s">
        <v>504</v>
      </c>
    </row>
    <row r="29" spans="1:11" ht="18.75" x14ac:dyDescent="0.25">
      <c r="A29" s="8"/>
      <c r="B29" s="25" t="s">
        <v>27</v>
      </c>
      <c r="C29" s="74">
        <f>SUM(C28)</f>
        <v>102397.6</v>
      </c>
      <c r="D29" s="3"/>
      <c r="E29" s="8"/>
      <c r="F29" s="8"/>
      <c r="G29" s="8"/>
      <c r="H29" s="27">
        <v>0</v>
      </c>
      <c r="I29" s="24"/>
      <c r="J29" s="3"/>
      <c r="K29" s="28"/>
    </row>
    <row r="30" spans="1:11" x14ac:dyDescent="0.25">
      <c r="C30" s="29"/>
      <c r="H30" s="29"/>
    </row>
    <row r="31" spans="1:11" ht="16.5" x14ac:dyDescent="0.3">
      <c r="B31" s="30" t="s">
        <v>28</v>
      </c>
      <c r="C31" s="69">
        <f>SUM(C13,C14,C15,C16,C17,C18,C19,C21,C24)</f>
        <v>99980</v>
      </c>
      <c r="E31" s="32"/>
      <c r="F31" s="32"/>
      <c r="G31" s="116"/>
      <c r="H31" s="116"/>
    </row>
    <row r="32" spans="1:11" ht="16.5" x14ac:dyDescent="0.3">
      <c r="B32" s="33" t="s">
        <v>29</v>
      </c>
      <c r="C32" s="70">
        <f>SUM(C10,C11,C12,C23,C22,C20)</f>
        <v>23960</v>
      </c>
      <c r="E32" s="35"/>
      <c r="F32" s="35"/>
      <c r="G32" s="36" t="s">
        <v>30</v>
      </c>
      <c r="H32" s="37"/>
    </row>
    <row r="33" spans="2:10" ht="24" x14ac:dyDescent="0.4">
      <c r="B33" s="38" t="s">
        <v>31</v>
      </c>
      <c r="C33" s="71">
        <v>0</v>
      </c>
      <c r="E33" s="40" t="s">
        <v>32</v>
      </c>
      <c r="F33" s="41"/>
      <c r="G33" s="42"/>
      <c r="H33" s="43"/>
      <c r="I33" s="42"/>
      <c r="J33" s="44"/>
    </row>
    <row r="34" spans="2:10" ht="18.75" x14ac:dyDescent="0.3">
      <c r="B34" s="45" t="s">
        <v>16</v>
      </c>
      <c r="C34" s="72">
        <f>SUM(C31:C33)</f>
        <v>123940</v>
      </c>
      <c r="G34" s="36"/>
      <c r="H34" s="37"/>
      <c r="I34" s="36"/>
      <c r="J34" s="36"/>
    </row>
  </sheetData>
  <mergeCells count="6">
    <mergeCell ref="G31:H31"/>
    <mergeCell ref="A1:K1"/>
    <mergeCell ref="A2:K2"/>
    <mergeCell ref="A3:K3"/>
    <mergeCell ref="A9:K9"/>
    <mergeCell ref="A26:K26"/>
  </mergeCells>
  <pageMargins left="0.59055118110236215" right="0.15748031496062992" top="0.47244094488188976" bottom="0.23622047244094488" header="0.31496062992125984" footer="0.31496062992125984"/>
  <pageSetup scale="84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A31BE-4B4C-4F3F-8E40-D4584C21A3CC}">
  <sheetPr>
    <pageSetUpPr fitToPage="1"/>
  </sheetPr>
  <dimension ref="A1:K22"/>
  <sheetViews>
    <sheetView topLeftCell="A2" workbookViewId="0">
      <selection activeCell="Q13" sqref="Q13"/>
    </sheetView>
  </sheetViews>
  <sheetFormatPr defaultRowHeight="15" x14ac:dyDescent="0.25"/>
  <cols>
    <col min="1" max="1" width="4.42578125" bestFit="1" customWidth="1"/>
    <col min="2" max="2" width="24.85546875" customWidth="1"/>
    <col min="3" max="3" width="12.710937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4" customWidth="1"/>
  </cols>
  <sheetData>
    <row r="1" spans="1:11" ht="48.75" x14ac:dyDescent="0.25">
      <c r="A1" s="128" t="s">
        <v>458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505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/>
      <c r="D5" s="5">
        <v>46199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46198</v>
      </c>
      <c r="K5" s="8" t="s">
        <v>33</v>
      </c>
    </row>
    <row r="6" spans="1:11" ht="15.75" x14ac:dyDescent="0.25">
      <c r="A6" s="3">
        <v>2</v>
      </c>
      <c r="B6" s="3"/>
      <c r="C6" s="80">
        <v>0</v>
      </c>
      <c r="D6" s="5"/>
      <c r="E6" s="6"/>
      <c r="F6" s="3"/>
      <c r="G6" s="49"/>
      <c r="H6" s="7"/>
      <c r="I6" s="3"/>
      <c r="J6" s="5"/>
      <c r="K6" s="8"/>
    </row>
    <row r="7" spans="1:11" ht="18.75" x14ac:dyDescent="0.3">
      <c r="A7" s="9"/>
      <c r="B7" s="10" t="s">
        <v>16</v>
      </c>
      <c r="C7" s="81">
        <f>SUM(C5:C5)</f>
        <v>0</v>
      </c>
      <c r="D7" s="3"/>
      <c r="E7" s="12"/>
      <c r="F7" s="9"/>
      <c r="G7" s="13"/>
      <c r="H7" s="11">
        <f>SUM(H5:H5)</f>
        <v>0</v>
      </c>
      <c r="I7" s="9"/>
      <c r="J7" s="9"/>
      <c r="K7" s="9"/>
    </row>
    <row r="9" spans="1:11" ht="24" x14ac:dyDescent="0.4">
      <c r="A9" s="122" t="s">
        <v>17</v>
      </c>
      <c r="B9" s="123"/>
      <c r="C9" s="123"/>
      <c r="D9" s="123"/>
      <c r="E9" s="123"/>
      <c r="F9" s="123"/>
      <c r="G9" s="123"/>
      <c r="H9" s="123"/>
      <c r="I9" s="123"/>
      <c r="J9" s="123"/>
      <c r="K9" s="124"/>
    </row>
    <row r="10" spans="1:11" ht="15.75" x14ac:dyDescent="0.25">
      <c r="A10" s="3">
        <v>1</v>
      </c>
      <c r="B10" s="3" t="s">
        <v>506</v>
      </c>
      <c r="C10" s="80">
        <v>5775</v>
      </c>
      <c r="D10" s="5">
        <v>46199</v>
      </c>
      <c r="E10" s="14">
        <v>0</v>
      </c>
      <c r="F10" s="13" t="s">
        <v>18</v>
      </c>
      <c r="G10" s="15">
        <v>1539</v>
      </c>
      <c r="H10" s="16">
        <v>0</v>
      </c>
      <c r="I10" s="3" t="s">
        <v>19</v>
      </c>
      <c r="J10" s="5">
        <f t="shared" ref="J10:J11" si="0">+D10+1</f>
        <v>46200</v>
      </c>
      <c r="K10" s="13" t="s">
        <v>115</v>
      </c>
    </row>
    <row r="11" spans="1:11" ht="15.75" x14ac:dyDescent="0.25">
      <c r="A11" s="3">
        <v>2</v>
      </c>
      <c r="B11" s="3" t="s">
        <v>507</v>
      </c>
      <c r="C11" s="80">
        <v>550</v>
      </c>
      <c r="D11" s="5">
        <f t="shared" ref="D11" si="1">+D10</f>
        <v>46199</v>
      </c>
      <c r="E11" s="14">
        <v>0</v>
      </c>
      <c r="F11" s="13" t="s">
        <v>18</v>
      </c>
      <c r="G11" s="55">
        <v>240</v>
      </c>
      <c r="H11" s="16">
        <v>0</v>
      </c>
      <c r="I11" s="3" t="s">
        <v>15</v>
      </c>
      <c r="J11" s="5">
        <f t="shared" si="0"/>
        <v>46200</v>
      </c>
      <c r="K11" s="13" t="s">
        <v>113</v>
      </c>
    </row>
    <row r="12" spans="1:11" ht="18.75" x14ac:dyDescent="0.3">
      <c r="A12" s="3"/>
      <c r="B12" s="17" t="s">
        <v>16</v>
      </c>
      <c r="C12" s="82">
        <f>SUM(C10:C11)</f>
        <v>6325</v>
      </c>
      <c r="D12" s="3"/>
      <c r="E12" s="3"/>
      <c r="F12" s="13"/>
      <c r="G12" s="13"/>
      <c r="H12" s="11"/>
      <c r="I12" s="3"/>
      <c r="J12" s="3"/>
      <c r="K12" s="3"/>
    </row>
    <row r="13" spans="1:11" ht="24.75" x14ac:dyDescent="0.5">
      <c r="A13" s="125" t="s">
        <v>20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7"/>
    </row>
    <row r="14" spans="1:11" ht="18.75" x14ac:dyDescent="0.3">
      <c r="A14" s="19" t="s">
        <v>3</v>
      </c>
      <c r="B14" s="19" t="s">
        <v>21</v>
      </c>
      <c r="C14" s="50" t="s">
        <v>5</v>
      </c>
      <c r="D14" s="1" t="s">
        <v>22</v>
      </c>
      <c r="E14" s="19" t="s">
        <v>7</v>
      </c>
      <c r="F14" s="19" t="s">
        <v>8</v>
      </c>
      <c r="G14" s="19" t="s">
        <v>23</v>
      </c>
      <c r="H14" s="20" t="s">
        <v>24</v>
      </c>
      <c r="I14" s="19" t="s">
        <v>11</v>
      </c>
      <c r="J14" s="19" t="s">
        <v>25</v>
      </c>
      <c r="K14" s="21" t="s">
        <v>26</v>
      </c>
    </row>
    <row r="15" spans="1:11" ht="15.75" x14ac:dyDescent="0.25">
      <c r="A15" s="8">
        <v>1</v>
      </c>
      <c r="B15" s="8" t="s">
        <v>41</v>
      </c>
      <c r="C15" s="75">
        <v>36781</v>
      </c>
      <c r="D15" s="5">
        <v>46199</v>
      </c>
      <c r="E15" s="8"/>
      <c r="F15" s="8"/>
      <c r="G15" s="22">
        <v>56</v>
      </c>
      <c r="H15" s="23"/>
      <c r="I15" s="24"/>
      <c r="J15" s="3"/>
      <c r="K15" s="13" t="s">
        <v>115</v>
      </c>
    </row>
    <row r="16" spans="1:11" ht="15.75" x14ac:dyDescent="0.25">
      <c r="A16" s="8">
        <v>2</v>
      </c>
      <c r="B16" s="8" t="s">
        <v>476</v>
      </c>
      <c r="C16" s="75">
        <v>3000</v>
      </c>
      <c r="D16" s="5">
        <v>46199</v>
      </c>
      <c r="E16" s="8"/>
      <c r="F16" s="8"/>
      <c r="G16" s="22">
        <v>7957</v>
      </c>
      <c r="H16" s="23"/>
      <c r="I16" s="24"/>
      <c r="J16" s="3"/>
      <c r="K16" s="13" t="s">
        <v>508</v>
      </c>
    </row>
    <row r="17" spans="1:11" ht="18.75" x14ac:dyDescent="0.25">
      <c r="A17" s="8"/>
      <c r="B17" s="25" t="s">
        <v>27</v>
      </c>
      <c r="C17" s="83">
        <f>SUM(C15:C16)</f>
        <v>39781</v>
      </c>
      <c r="D17" s="3"/>
      <c r="E17" s="8"/>
      <c r="F17" s="8"/>
      <c r="G17" s="8"/>
      <c r="H17" s="27">
        <v>0</v>
      </c>
      <c r="I17" s="24"/>
      <c r="J17" s="3"/>
      <c r="K17" s="28"/>
    </row>
    <row r="18" spans="1:11" x14ac:dyDescent="0.25">
      <c r="C18" s="29"/>
      <c r="H18" s="29"/>
    </row>
    <row r="19" spans="1:11" ht="16.5" x14ac:dyDescent="0.3">
      <c r="B19" s="30" t="s">
        <v>28</v>
      </c>
      <c r="C19" s="76">
        <f>SUM(C11)</f>
        <v>550</v>
      </c>
      <c r="E19" s="32"/>
      <c r="F19" s="32"/>
      <c r="G19" s="116"/>
      <c r="H19" s="116"/>
    </row>
    <row r="20" spans="1:11" ht="16.5" x14ac:dyDescent="0.3">
      <c r="B20" s="33" t="s">
        <v>29</v>
      </c>
      <c r="C20" s="77">
        <f>SUM(C10)</f>
        <v>5775</v>
      </c>
      <c r="E20" s="35"/>
      <c r="F20" s="35"/>
      <c r="G20" s="36" t="s">
        <v>30</v>
      </c>
      <c r="H20" s="37"/>
    </row>
    <row r="21" spans="1:11" ht="24" x14ac:dyDescent="0.4">
      <c r="B21" s="38" t="s">
        <v>31</v>
      </c>
      <c r="C21" s="78">
        <v>0</v>
      </c>
      <c r="E21" s="40" t="s">
        <v>32</v>
      </c>
      <c r="F21" s="41"/>
      <c r="G21" s="42"/>
      <c r="H21" s="43"/>
      <c r="I21" s="42"/>
      <c r="J21" s="44"/>
    </row>
    <row r="22" spans="1:11" ht="18.75" x14ac:dyDescent="0.3">
      <c r="B22" s="45" t="s">
        <v>16</v>
      </c>
      <c r="C22" s="79">
        <f>SUM(C19:C21)</f>
        <v>6325</v>
      </c>
      <c r="G22" s="36"/>
      <c r="H22" s="37"/>
      <c r="I22" s="36"/>
      <c r="J22" s="36"/>
    </row>
  </sheetData>
  <mergeCells count="6">
    <mergeCell ref="G19:H19"/>
    <mergeCell ref="A1:K1"/>
    <mergeCell ref="A2:K2"/>
    <mergeCell ref="A3:K3"/>
    <mergeCell ref="A9:K9"/>
    <mergeCell ref="A13:K13"/>
  </mergeCells>
  <pageMargins left="0.59055118110236215" right="0.15748031496062992" top="0.47244094488188976" bottom="0.23622047244094488" header="0.31496062992125984" footer="0.31496062992125984"/>
  <pageSetup scale="88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01A45-AFAD-4E9A-B70D-8A0CDDD30C89}">
  <sheetPr>
    <pageSetUpPr fitToPage="1"/>
  </sheetPr>
  <dimension ref="A1:K30"/>
  <sheetViews>
    <sheetView topLeftCell="A9" workbookViewId="0">
      <selection activeCell="Q15" sqref="Q15"/>
    </sheetView>
  </sheetViews>
  <sheetFormatPr defaultRowHeight="15" x14ac:dyDescent="0.25"/>
  <cols>
    <col min="1" max="1" width="4.42578125" bestFit="1" customWidth="1"/>
    <col min="2" max="2" width="16.7109375" bestFit="1" customWidth="1"/>
    <col min="3" max="3" width="14.4257812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8.7109375" customWidth="1"/>
  </cols>
  <sheetData>
    <row r="1" spans="1:11" ht="48.75" x14ac:dyDescent="0.25">
      <c r="A1" s="128" t="s">
        <v>458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509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4"/>
      <c r="D5" s="5">
        <v>46200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46199</v>
      </c>
      <c r="K5" s="8" t="s">
        <v>33</v>
      </c>
    </row>
    <row r="6" spans="1:11" ht="18.75" x14ac:dyDescent="0.3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4" x14ac:dyDescent="0.4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75" x14ac:dyDescent="0.25">
      <c r="A9" s="3">
        <v>1</v>
      </c>
      <c r="B9" s="3" t="s">
        <v>445</v>
      </c>
      <c r="C9" s="80">
        <v>1000</v>
      </c>
      <c r="D9" s="5">
        <v>46200</v>
      </c>
      <c r="E9" s="14">
        <v>0</v>
      </c>
      <c r="F9" s="13" t="s">
        <v>18</v>
      </c>
      <c r="G9" s="15">
        <v>9740</v>
      </c>
      <c r="H9" s="16">
        <v>0</v>
      </c>
      <c r="I9" s="3" t="s">
        <v>19</v>
      </c>
      <c r="J9" s="5">
        <f t="shared" ref="J9:J17" si="0">+D9+1</f>
        <v>46201</v>
      </c>
      <c r="K9" s="13" t="s">
        <v>519</v>
      </c>
    </row>
    <row r="10" spans="1:11" ht="15.75" x14ac:dyDescent="0.25">
      <c r="A10" s="3">
        <v>2</v>
      </c>
      <c r="B10" s="3" t="s">
        <v>85</v>
      </c>
      <c r="C10" s="80">
        <v>1635</v>
      </c>
      <c r="D10" s="5">
        <f t="shared" ref="D10:D17" si="1">+D9</f>
        <v>46200</v>
      </c>
      <c r="E10" s="14">
        <v>0</v>
      </c>
      <c r="F10" s="13" t="s">
        <v>18</v>
      </c>
      <c r="G10" s="15">
        <v>6872</v>
      </c>
      <c r="H10" s="16">
        <v>0</v>
      </c>
      <c r="I10" s="3" t="s">
        <v>15</v>
      </c>
      <c r="J10" s="5">
        <f t="shared" si="0"/>
        <v>46201</v>
      </c>
      <c r="K10" s="13" t="s">
        <v>115</v>
      </c>
    </row>
    <row r="11" spans="1:11" ht="15.75" x14ac:dyDescent="0.25">
      <c r="A11" s="3">
        <v>3</v>
      </c>
      <c r="B11" s="3" t="s">
        <v>510</v>
      </c>
      <c r="C11" s="80">
        <v>900</v>
      </c>
      <c r="D11" s="5">
        <f t="shared" si="1"/>
        <v>46200</v>
      </c>
      <c r="E11" s="14">
        <v>0</v>
      </c>
      <c r="F11" s="13" t="s">
        <v>18</v>
      </c>
      <c r="G11" s="15">
        <v>183</v>
      </c>
      <c r="H11" s="16">
        <v>0</v>
      </c>
      <c r="I11" s="3" t="s">
        <v>15</v>
      </c>
      <c r="J11" s="5">
        <f t="shared" si="0"/>
        <v>46201</v>
      </c>
      <c r="K11" s="13" t="s">
        <v>518</v>
      </c>
    </row>
    <row r="12" spans="1:11" ht="15.75" x14ac:dyDescent="0.25">
      <c r="A12" s="3">
        <v>4</v>
      </c>
      <c r="B12" s="3" t="s">
        <v>511</v>
      </c>
      <c r="C12" s="80">
        <v>550</v>
      </c>
      <c r="D12" s="5">
        <f t="shared" si="1"/>
        <v>46200</v>
      </c>
      <c r="E12" s="14">
        <v>0</v>
      </c>
      <c r="F12" s="13" t="s">
        <v>18</v>
      </c>
      <c r="G12" s="15">
        <v>8108</v>
      </c>
      <c r="H12" s="16">
        <v>0</v>
      </c>
      <c r="I12" s="3" t="s">
        <v>15</v>
      </c>
      <c r="J12" s="5">
        <f t="shared" si="0"/>
        <v>46201</v>
      </c>
      <c r="K12" s="13" t="s">
        <v>115</v>
      </c>
    </row>
    <row r="13" spans="1:11" ht="15.75" x14ac:dyDescent="0.25">
      <c r="A13" s="3">
        <v>5</v>
      </c>
      <c r="B13" s="3" t="s">
        <v>511</v>
      </c>
      <c r="C13" s="80">
        <v>2000</v>
      </c>
      <c r="D13" s="5">
        <f t="shared" si="1"/>
        <v>46200</v>
      </c>
      <c r="E13" s="14">
        <v>0</v>
      </c>
      <c r="F13" s="13" t="s">
        <v>18</v>
      </c>
      <c r="G13" s="15">
        <v>8458</v>
      </c>
      <c r="H13" s="16">
        <v>0</v>
      </c>
      <c r="I13" s="3" t="s">
        <v>15</v>
      </c>
      <c r="J13" s="5">
        <f t="shared" si="0"/>
        <v>46201</v>
      </c>
      <c r="K13" s="13" t="s">
        <v>115</v>
      </c>
    </row>
    <row r="14" spans="1:11" ht="15.75" x14ac:dyDescent="0.25">
      <c r="A14" s="3">
        <v>6</v>
      </c>
      <c r="B14" s="3" t="s">
        <v>512</v>
      </c>
      <c r="C14" s="80">
        <v>22000</v>
      </c>
      <c r="D14" s="5">
        <f t="shared" si="1"/>
        <v>46200</v>
      </c>
      <c r="E14" s="14">
        <v>0</v>
      </c>
      <c r="F14" s="13" t="s">
        <v>18</v>
      </c>
      <c r="G14" s="15">
        <v>8654</v>
      </c>
      <c r="H14" s="16">
        <v>0</v>
      </c>
      <c r="I14" s="3" t="s">
        <v>15</v>
      </c>
      <c r="J14" s="5">
        <f t="shared" si="0"/>
        <v>46201</v>
      </c>
      <c r="K14" s="13" t="s">
        <v>102</v>
      </c>
    </row>
    <row r="15" spans="1:11" ht="15.75" x14ac:dyDescent="0.25">
      <c r="A15" s="3">
        <v>7</v>
      </c>
      <c r="B15" s="3" t="s">
        <v>513</v>
      </c>
      <c r="C15" s="80">
        <v>12300</v>
      </c>
      <c r="D15" s="5">
        <f t="shared" si="1"/>
        <v>46200</v>
      </c>
      <c r="E15" s="14">
        <v>0</v>
      </c>
      <c r="F15" s="13" t="s">
        <v>18</v>
      </c>
      <c r="G15" s="15">
        <v>5121</v>
      </c>
      <c r="H15" s="16">
        <v>0</v>
      </c>
      <c r="I15" s="3" t="s">
        <v>15</v>
      </c>
      <c r="J15" s="5">
        <f t="shared" si="0"/>
        <v>46201</v>
      </c>
      <c r="K15" s="13" t="s">
        <v>102</v>
      </c>
    </row>
    <row r="16" spans="1:11" ht="15.75" x14ac:dyDescent="0.25">
      <c r="A16" s="3">
        <v>8</v>
      </c>
      <c r="B16" s="3" t="s">
        <v>514</v>
      </c>
      <c r="C16" s="80">
        <v>4130</v>
      </c>
      <c r="D16" s="5">
        <f t="shared" si="1"/>
        <v>46200</v>
      </c>
      <c r="E16" s="14">
        <v>0</v>
      </c>
      <c r="F16" s="13" t="s">
        <v>18</v>
      </c>
      <c r="G16" s="15">
        <v>8312</v>
      </c>
      <c r="H16" s="16">
        <v>0</v>
      </c>
      <c r="I16" s="3" t="s">
        <v>15</v>
      </c>
      <c r="J16" s="5">
        <f t="shared" si="0"/>
        <v>46201</v>
      </c>
      <c r="K16" s="13" t="s">
        <v>115</v>
      </c>
    </row>
    <row r="17" spans="1:11" ht="15.75" x14ac:dyDescent="0.25">
      <c r="A17" s="3">
        <v>9</v>
      </c>
      <c r="B17" s="3" t="s">
        <v>515</v>
      </c>
      <c r="C17" s="80">
        <v>2020</v>
      </c>
      <c r="D17" s="5">
        <f t="shared" si="1"/>
        <v>46200</v>
      </c>
      <c r="E17" s="14">
        <v>0</v>
      </c>
      <c r="F17" s="13" t="s">
        <v>18</v>
      </c>
      <c r="G17" s="15">
        <v>7708</v>
      </c>
      <c r="H17" s="16">
        <v>0</v>
      </c>
      <c r="I17" s="3" t="s">
        <v>15</v>
      </c>
      <c r="J17" s="5">
        <f t="shared" si="0"/>
        <v>46201</v>
      </c>
      <c r="K17" s="13" t="s">
        <v>115</v>
      </c>
    </row>
    <row r="18" spans="1:11" ht="18.75" x14ac:dyDescent="0.3">
      <c r="A18" s="3"/>
      <c r="B18" s="17" t="s">
        <v>16</v>
      </c>
      <c r="C18" s="82">
        <f>SUM(C9:C17)</f>
        <v>46535</v>
      </c>
      <c r="D18" s="3"/>
      <c r="E18" s="3"/>
      <c r="F18" s="13"/>
      <c r="G18" s="13"/>
      <c r="H18" s="11"/>
      <c r="I18" s="3"/>
      <c r="J18" s="3"/>
      <c r="K18" s="3"/>
    </row>
    <row r="19" spans="1:11" ht="24.75" x14ac:dyDescent="0.5">
      <c r="A19" s="125" t="s">
        <v>20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7"/>
    </row>
    <row r="20" spans="1:11" ht="18.75" x14ac:dyDescent="0.3">
      <c r="A20" s="19" t="s">
        <v>3</v>
      </c>
      <c r="B20" s="19" t="s">
        <v>21</v>
      </c>
      <c r="C20" s="50" t="s">
        <v>5</v>
      </c>
      <c r="D20" s="1" t="s">
        <v>22</v>
      </c>
      <c r="E20" s="19" t="s">
        <v>7</v>
      </c>
      <c r="F20" s="19" t="s">
        <v>8</v>
      </c>
      <c r="G20" s="19" t="s">
        <v>23</v>
      </c>
      <c r="H20" s="20" t="s">
        <v>24</v>
      </c>
      <c r="I20" s="19" t="s">
        <v>11</v>
      </c>
      <c r="J20" s="19" t="s">
        <v>25</v>
      </c>
      <c r="K20" s="21" t="s">
        <v>26</v>
      </c>
    </row>
    <row r="21" spans="1:11" ht="15.75" x14ac:dyDescent="0.25">
      <c r="A21" s="8">
        <v>1</v>
      </c>
      <c r="B21" s="8" t="s">
        <v>516</v>
      </c>
      <c r="C21" s="75">
        <v>10</v>
      </c>
      <c r="D21" s="5">
        <v>46200</v>
      </c>
      <c r="E21" s="8"/>
      <c r="F21" s="8"/>
      <c r="G21" s="22">
        <v>1573</v>
      </c>
      <c r="H21" s="23"/>
      <c r="I21" s="24"/>
      <c r="J21" s="3"/>
      <c r="K21" s="13" t="s">
        <v>321</v>
      </c>
    </row>
    <row r="22" spans="1:11" ht="15.75" x14ac:dyDescent="0.25">
      <c r="A22" s="8">
        <v>2</v>
      </c>
      <c r="B22" s="8" t="s">
        <v>516</v>
      </c>
      <c r="C22" s="75">
        <v>4000</v>
      </c>
      <c r="D22" s="5">
        <v>46200</v>
      </c>
      <c r="E22" s="8"/>
      <c r="F22" s="8"/>
      <c r="G22" s="22">
        <v>8317</v>
      </c>
      <c r="H22" s="23"/>
      <c r="I22" s="24"/>
      <c r="J22" s="3"/>
      <c r="K22" s="13" t="s">
        <v>321</v>
      </c>
    </row>
    <row r="23" spans="1:11" ht="15.75" x14ac:dyDescent="0.25">
      <c r="A23" s="8">
        <v>3</v>
      </c>
      <c r="B23" s="8" t="s">
        <v>41</v>
      </c>
      <c r="C23" s="75">
        <v>15261</v>
      </c>
      <c r="D23" s="5">
        <v>46200</v>
      </c>
      <c r="E23" s="8"/>
      <c r="F23" s="8"/>
      <c r="G23" s="22">
        <v>52</v>
      </c>
      <c r="H23" s="23"/>
      <c r="I23" s="24"/>
      <c r="J23" s="3"/>
      <c r="K23" s="13" t="s">
        <v>115</v>
      </c>
    </row>
    <row r="24" spans="1:11" ht="15.75" x14ac:dyDescent="0.25">
      <c r="A24" s="8">
        <v>4</v>
      </c>
      <c r="B24" s="8" t="s">
        <v>517</v>
      </c>
      <c r="C24" s="75">
        <v>100000</v>
      </c>
      <c r="D24" s="5">
        <v>46200</v>
      </c>
      <c r="E24" s="8"/>
      <c r="F24" s="8"/>
      <c r="G24" s="22">
        <v>1279</v>
      </c>
      <c r="H24" s="23"/>
      <c r="I24" s="24"/>
      <c r="J24" s="3"/>
      <c r="K24" s="13" t="s">
        <v>520</v>
      </c>
    </row>
    <row r="25" spans="1:11" ht="18.75" x14ac:dyDescent="0.25">
      <c r="A25" s="8"/>
      <c r="B25" s="25" t="s">
        <v>27</v>
      </c>
      <c r="C25" s="83"/>
      <c r="D25" s="3"/>
      <c r="E25" s="8"/>
      <c r="F25" s="8"/>
      <c r="G25" s="8"/>
      <c r="H25" s="27">
        <v>0</v>
      </c>
      <c r="I25" s="24"/>
      <c r="J25" s="3"/>
      <c r="K25" s="28"/>
    </row>
    <row r="26" spans="1:11" x14ac:dyDescent="0.25">
      <c r="C26" s="29"/>
      <c r="H26" s="29"/>
    </row>
    <row r="27" spans="1:11" ht="16.5" x14ac:dyDescent="0.3">
      <c r="B27" s="30" t="s">
        <v>28</v>
      </c>
      <c r="C27" s="76">
        <f>SUM(C9,C14,C15)</f>
        <v>35300</v>
      </c>
      <c r="E27" s="32"/>
      <c r="F27" s="32"/>
      <c r="G27" s="116"/>
      <c r="H27" s="116"/>
    </row>
    <row r="28" spans="1:11" ht="16.5" x14ac:dyDescent="0.3">
      <c r="B28" s="33" t="s">
        <v>29</v>
      </c>
      <c r="C28" s="77">
        <f>SUM(C10,C11,C12,C13,C16,C17)</f>
        <v>11235</v>
      </c>
      <c r="E28" s="35"/>
      <c r="F28" s="35"/>
      <c r="G28" s="36" t="s">
        <v>30</v>
      </c>
      <c r="H28" s="37"/>
    </row>
    <row r="29" spans="1:11" ht="24" x14ac:dyDescent="0.4">
      <c r="B29" s="38" t="s">
        <v>31</v>
      </c>
      <c r="C29" s="78">
        <v>0</v>
      </c>
      <c r="E29" s="40" t="s">
        <v>32</v>
      </c>
      <c r="F29" s="41"/>
      <c r="G29" s="42"/>
      <c r="H29" s="43"/>
      <c r="I29" s="42"/>
      <c r="J29" s="44"/>
    </row>
    <row r="30" spans="1:11" ht="18.75" x14ac:dyDescent="0.3">
      <c r="B30" s="45" t="s">
        <v>16</v>
      </c>
      <c r="C30" s="79">
        <f>SUM(C27:C29)</f>
        <v>46535</v>
      </c>
      <c r="G30" s="36"/>
      <c r="H30" s="37"/>
      <c r="I30" s="36"/>
      <c r="J30" s="36"/>
    </row>
  </sheetData>
  <mergeCells count="6">
    <mergeCell ref="G27:H27"/>
    <mergeCell ref="A1:K1"/>
    <mergeCell ref="A2:K2"/>
    <mergeCell ref="A3:K3"/>
    <mergeCell ref="A8:K8"/>
    <mergeCell ref="A19:K19"/>
  </mergeCells>
  <pageMargins left="0.59055118110236215" right="0.15748031496062992" top="0.47244094488188976" bottom="0.23622047244094488" header="0.31496062992125984" footer="0.31496062992125984"/>
  <pageSetup scale="89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1D574-DE0E-4830-B633-17FADD1D42C6}">
  <sheetPr>
    <pageSetUpPr fitToPage="1"/>
  </sheetPr>
  <dimension ref="A1:K19"/>
  <sheetViews>
    <sheetView topLeftCell="A2" workbookViewId="0">
      <selection activeCell="N10" sqref="N10"/>
    </sheetView>
  </sheetViews>
  <sheetFormatPr defaultRowHeight="15" x14ac:dyDescent="0.25"/>
  <cols>
    <col min="1" max="1" width="4.42578125" bestFit="1" customWidth="1"/>
    <col min="2" max="2" width="19.42578125" bestFit="1" customWidth="1"/>
    <col min="3" max="3" width="12.710937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34.5703125" customWidth="1"/>
  </cols>
  <sheetData>
    <row r="1" spans="1:11" ht="48.75" x14ac:dyDescent="0.25">
      <c r="A1" s="128" t="s">
        <v>458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521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4"/>
      <c r="D5" s="5">
        <v>46201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46200</v>
      </c>
      <c r="K5" s="8" t="s">
        <v>33</v>
      </c>
    </row>
    <row r="6" spans="1:11" ht="18.75" x14ac:dyDescent="0.3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4" x14ac:dyDescent="0.4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75" x14ac:dyDescent="0.25">
      <c r="A9" s="3">
        <v>1</v>
      </c>
      <c r="B9" s="3" t="s">
        <v>522</v>
      </c>
      <c r="C9" s="80">
        <v>1210</v>
      </c>
      <c r="D9" s="5">
        <v>46201</v>
      </c>
      <c r="E9" s="14">
        <v>0</v>
      </c>
      <c r="F9" s="13" t="s">
        <v>18</v>
      </c>
      <c r="G9" s="15">
        <v>2688</v>
      </c>
      <c r="H9" s="16">
        <v>0</v>
      </c>
      <c r="I9" s="3" t="s">
        <v>19</v>
      </c>
      <c r="J9" s="5">
        <f t="shared" ref="J9" si="0">+D9+1</f>
        <v>46202</v>
      </c>
      <c r="K9" s="13" t="s">
        <v>523</v>
      </c>
    </row>
    <row r="10" spans="1:11" ht="18.75" x14ac:dyDescent="0.3">
      <c r="A10" s="3"/>
      <c r="B10" s="17" t="s">
        <v>16</v>
      </c>
      <c r="C10" s="82">
        <f>SUM(C9:C9)</f>
        <v>1210</v>
      </c>
      <c r="D10" s="3"/>
      <c r="E10" s="3"/>
      <c r="F10" s="13"/>
      <c r="G10" s="13"/>
      <c r="H10" s="11"/>
      <c r="I10" s="3"/>
      <c r="J10" s="3"/>
      <c r="K10" s="3"/>
    </row>
    <row r="11" spans="1:11" ht="24.75" x14ac:dyDescent="0.5">
      <c r="A11" s="125" t="s">
        <v>20</v>
      </c>
      <c r="B11" s="126"/>
      <c r="C11" s="126"/>
      <c r="D11" s="126"/>
      <c r="E11" s="126"/>
      <c r="F11" s="126"/>
      <c r="G11" s="126"/>
      <c r="H11" s="126"/>
      <c r="I11" s="126"/>
      <c r="J11" s="126"/>
      <c r="K11" s="127"/>
    </row>
    <row r="12" spans="1:11" ht="18.75" x14ac:dyDescent="0.3">
      <c r="A12" s="19" t="s">
        <v>3</v>
      </c>
      <c r="B12" s="19" t="s">
        <v>21</v>
      </c>
      <c r="C12" s="50" t="s">
        <v>5</v>
      </c>
      <c r="D12" s="1" t="s">
        <v>22</v>
      </c>
      <c r="E12" s="19" t="s">
        <v>7</v>
      </c>
      <c r="F12" s="19" t="s">
        <v>8</v>
      </c>
      <c r="G12" s="19" t="s">
        <v>23</v>
      </c>
      <c r="H12" s="20" t="s">
        <v>24</v>
      </c>
      <c r="I12" s="19" t="s">
        <v>11</v>
      </c>
      <c r="J12" s="19" t="s">
        <v>25</v>
      </c>
      <c r="K12" s="21" t="s">
        <v>26</v>
      </c>
    </row>
    <row r="13" spans="1:11" ht="15.75" x14ac:dyDescent="0.25">
      <c r="A13" s="8">
        <v>1</v>
      </c>
      <c r="B13" s="8"/>
      <c r="C13" s="75">
        <v>0</v>
      </c>
      <c r="D13" s="5">
        <v>46201</v>
      </c>
      <c r="E13" s="8"/>
      <c r="F13" s="8"/>
      <c r="G13" s="22"/>
      <c r="H13" s="23"/>
      <c r="I13" s="24"/>
      <c r="J13" s="3"/>
      <c r="K13" s="13"/>
    </row>
    <row r="14" spans="1:11" ht="18.75" x14ac:dyDescent="0.25">
      <c r="A14" s="8"/>
      <c r="B14" s="25" t="s">
        <v>27</v>
      </c>
      <c r="C14" s="52"/>
      <c r="D14" s="3"/>
      <c r="E14" s="8"/>
      <c r="F14" s="8"/>
      <c r="G14" s="8"/>
      <c r="H14" s="27">
        <v>0</v>
      </c>
      <c r="I14" s="24"/>
      <c r="J14" s="3"/>
      <c r="K14" s="28"/>
    </row>
    <row r="15" spans="1:11" x14ac:dyDescent="0.25">
      <c r="C15" s="29"/>
      <c r="H15" s="29"/>
    </row>
    <row r="16" spans="1:11" ht="16.5" x14ac:dyDescent="0.3">
      <c r="B16" s="30" t="s">
        <v>28</v>
      </c>
      <c r="C16" s="76">
        <v>0</v>
      </c>
      <c r="E16" s="32"/>
      <c r="F16" s="32"/>
      <c r="G16" s="116"/>
      <c r="H16" s="116"/>
    </row>
    <row r="17" spans="2:10" ht="16.5" x14ac:dyDescent="0.3">
      <c r="B17" s="33" t="s">
        <v>29</v>
      </c>
      <c r="C17" s="77">
        <v>1210</v>
      </c>
      <c r="E17" s="35"/>
      <c r="F17" s="35"/>
      <c r="G17" s="36" t="s">
        <v>30</v>
      </c>
      <c r="H17" s="37"/>
    </row>
    <row r="18" spans="2:10" ht="24" x14ac:dyDescent="0.4">
      <c r="B18" s="38" t="s">
        <v>31</v>
      </c>
      <c r="C18" s="78">
        <v>0</v>
      </c>
      <c r="E18" s="40" t="s">
        <v>32</v>
      </c>
      <c r="F18" s="41"/>
      <c r="G18" s="42"/>
      <c r="H18" s="43"/>
      <c r="I18" s="42"/>
      <c r="J18" s="44"/>
    </row>
    <row r="19" spans="2:10" ht="18.75" x14ac:dyDescent="0.3">
      <c r="B19" s="45" t="s">
        <v>16</v>
      </c>
      <c r="C19" s="79">
        <f>SUM(C16:C18)</f>
        <v>1210</v>
      </c>
      <c r="G19" s="36"/>
      <c r="H19" s="37"/>
      <c r="I19" s="36"/>
      <c r="J19" s="36"/>
    </row>
  </sheetData>
  <mergeCells count="6">
    <mergeCell ref="G16:H16"/>
    <mergeCell ref="A1:K1"/>
    <mergeCell ref="A2:K2"/>
    <mergeCell ref="A3:K3"/>
    <mergeCell ref="A8:K8"/>
    <mergeCell ref="A11:K11"/>
  </mergeCells>
  <pageMargins left="0.59055118110236215" right="0.15748031496062992" top="0.47244094488188976" bottom="0.23622047244094488" header="0.31496062992125984" footer="0.31496062992125984"/>
  <pageSetup scale="85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1CE2-C00C-44E6-A6BC-7074ABCB514B}">
  <sheetPr>
    <pageSetUpPr fitToPage="1"/>
  </sheetPr>
  <dimension ref="A1:K28"/>
  <sheetViews>
    <sheetView workbookViewId="0">
      <selection activeCell="L11" sqref="L11"/>
    </sheetView>
  </sheetViews>
  <sheetFormatPr defaultRowHeight="15" x14ac:dyDescent="0.25"/>
  <cols>
    <col min="1" max="1" width="4.42578125" bestFit="1" customWidth="1"/>
    <col min="2" max="2" width="20.140625" bestFit="1" customWidth="1"/>
    <col min="3" max="3" width="14.4257812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6.7109375" customWidth="1"/>
  </cols>
  <sheetData>
    <row r="1" spans="1:11" ht="48.75" x14ac:dyDescent="0.25">
      <c r="A1" s="128" t="s">
        <v>458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524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/>
      <c r="D5" s="5">
        <v>46202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46201</v>
      </c>
      <c r="K5" s="8" t="s">
        <v>33</v>
      </c>
    </row>
    <row r="6" spans="1:11" ht="18.75" x14ac:dyDescent="0.3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4" x14ac:dyDescent="0.4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75" x14ac:dyDescent="0.25">
      <c r="A9" s="3">
        <v>1</v>
      </c>
      <c r="B9" s="3" t="s">
        <v>525</v>
      </c>
      <c r="C9" s="80">
        <v>19150</v>
      </c>
      <c r="D9" s="5">
        <v>46202</v>
      </c>
      <c r="E9" s="14">
        <v>0</v>
      </c>
      <c r="F9" s="13" t="s">
        <v>18</v>
      </c>
      <c r="G9" s="15">
        <v>8081</v>
      </c>
      <c r="H9" s="16">
        <v>0</v>
      </c>
      <c r="I9" s="3" t="s">
        <v>19</v>
      </c>
      <c r="J9" s="5">
        <f t="shared" ref="J9:J17" si="0">+D9+1</f>
        <v>46203</v>
      </c>
      <c r="K9" s="13" t="s">
        <v>531</v>
      </c>
    </row>
    <row r="10" spans="1:11" ht="15.75" x14ac:dyDescent="0.25">
      <c r="A10" s="3">
        <v>2</v>
      </c>
      <c r="B10" s="3" t="s">
        <v>526</v>
      </c>
      <c r="C10" s="80">
        <v>725</v>
      </c>
      <c r="D10" s="5">
        <f t="shared" ref="D10:D17" si="1">+D9</f>
        <v>46202</v>
      </c>
      <c r="E10" s="14">
        <v>0</v>
      </c>
      <c r="F10" s="13" t="s">
        <v>18</v>
      </c>
      <c r="G10" s="15">
        <v>969</v>
      </c>
      <c r="H10" s="16">
        <v>0</v>
      </c>
      <c r="I10" s="3" t="s">
        <v>15</v>
      </c>
      <c r="J10" s="5">
        <f t="shared" si="0"/>
        <v>46203</v>
      </c>
      <c r="K10" s="13" t="s">
        <v>115</v>
      </c>
    </row>
    <row r="11" spans="1:11" ht="15.75" x14ac:dyDescent="0.25">
      <c r="A11" s="3">
        <v>3</v>
      </c>
      <c r="B11" s="3" t="s">
        <v>500</v>
      </c>
      <c r="C11" s="80">
        <v>2100</v>
      </c>
      <c r="D11" s="5">
        <f t="shared" si="1"/>
        <v>46202</v>
      </c>
      <c r="E11" s="14">
        <v>0</v>
      </c>
      <c r="F11" s="13" t="s">
        <v>18</v>
      </c>
      <c r="G11" s="15">
        <v>332</v>
      </c>
      <c r="H11" s="16">
        <v>0</v>
      </c>
      <c r="I11" s="3" t="s">
        <v>15</v>
      </c>
      <c r="J11" s="5">
        <f t="shared" si="0"/>
        <v>46203</v>
      </c>
      <c r="K11" s="13" t="s">
        <v>115</v>
      </c>
    </row>
    <row r="12" spans="1:11" ht="15.75" x14ac:dyDescent="0.25">
      <c r="A12" s="3">
        <v>4</v>
      </c>
      <c r="B12" s="3" t="s">
        <v>437</v>
      </c>
      <c r="C12" s="80">
        <v>1</v>
      </c>
      <c r="D12" s="5">
        <f t="shared" si="1"/>
        <v>46202</v>
      </c>
      <c r="E12" s="14">
        <v>0</v>
      </c>
      <c r="F12" s="13" t="s">
        <v>18</v>
      </c>
      <c r="G12" s="15">
        <v>6635</v>
      </c>
      <c r="H12" s="16">
        <v>0</v>
      </c>
      <c r="I12" s="3" t="s">
        <v>15</v>
      </c>
      <c r="J12" s="5">
        <f t="shared" si="0"/>
        <v>46203</v>
      </c>
      <c r="K12" s="13" t="s">
        <v>77</v>
      </c>
    </row>
    <row r="13" spans="1:11" ht="15.75" x14ac:dyDescent="0.25">
      <c r="A13" s="3">
        <v>5</v>
      </c>
      <c r="B13" s="3" t="s">
        <v>527</v>
      </c>
      <c r="C13" s="80">
        <v>872</v>
      </c>
      <c r="D13" s="5">
        <f t="shared" si="1"/>
        <v>46202</v>
      </c>
      <c r="E13" s="14">
        <v>0</v>
      </c>
      <c r="F13" s="13" t="s">
        <v>18</v>
      </c>
      <c r="G13" s="15">
        <v>2790</v>
      </c>
      <c r="H13" s="16">
        <v>0</v>
      </c>
      <c r="I13" s="3" t="s">
        <v>15</v>
      </c>
      <c r="J13" s="5">
        <f t="shared" si="0"/>
        <v>46203</v>
      </c>
      <c r="K13" s="13" t="s">
        <v>535</v>
      </c>
    </row>
    <row r="14" spans="1:11" ht="15.75" x14ac:dyDescent="0.25">
      <c r="A14" s="3">
        <v>6</v>
      </c>
      <c r="B14" s="3" t="s">
        <v>527</v>
      </c>
      <c r="C14" s="80">
        <v>70375</v>
      </c>
      <c r="D14" s="5">
        <f t="shared" si="1"/>
        <v>46202</v>
      </c>
      <c r="E14" s="14">
        <v>0</v>
      </c>
      <c r="F14" s="13" t="s">
        <v>18</v>
      </c>
      <c r="G14" s="15">
        <v>3618</v>
      </c>
      <c r="H14" s="16">
        <v>0</v>
      </c>
      <c r="I14" s="3" t="s">
        <v>15</v>
      </c>
      <c r="J14" s="5">
        <f t="shared" si="0"/>
        <v>46203</v>
      </c>
      <c r="K14" s="13" t="s">
        <v>533</v>
      </c>
    </row>
    <row r="15" spans="1:11" ht="15.75" x14ac:dyDescent="0.25">
      <c r="A15" s="3">
        <v>7</v>
      </c>
      <c r="B15" s="3" t="s">
        <v>305</v>
      </c>
      <c r="C15" s="80">
        <v>14146</v>
      </c>
      <c r="D15" s="5">
        <f t="shared" si="1"/>
        <v>46202</v>
      </c>
      <c r="E15" s="14">
        <v>0</v>
      </c>
      <c r="F15" s="13" t="s">
        <v>18</v>
      </c>
      <c r="G15" s="15">
        <v>3422</v>
      </c>
      <c r="H15" s="16">
        <v>0</v>
      </c>
      <c r="I15" s="3" t="s">
        <v>15</v>
      </c>
      <c r="J15" s="5">
        <f t="shared" si="0"/>
        <v>46203</v>
      </c>
      <c r="K15" s="13" t="s">
        <v>102</v>
      </c>
    </row>
    <row r="16" spans="1:11" ht="15.75" x14ac:dyDescent="0.25">
      <c r="A16" s="3">
        <v>8</v>
      </c>
      <c r="B16" s="3" t="s">
        <v>528</v>
      </c>
      <c r="C16" s="80">
        <v>33000</v>
      </c>
      <c r="D16" s="5">
        <f t="shared" si="1"/>
        <v>46202</v>
      </c>
      <c r="E16" s="14">
        <v>0</v>
      </c>
      <c r="F16" s="13" t="s">
        <v>18</v>
      </c>
      <c r="G16" s="15">
        <v>2256</v>
      </c>
      <c r="H16" s="16">
        <v>0</v>
      </c>
      <c r="I16" s="3" t="s">
        <v>15</v>
      </c>
      <c r="J16" s="5">
        <f t="shared" si="0"/>
        <v>46203</v>
      </c>
      <c r="K16" s="13" t="s">
        <v>532</v>
      </c>
    </row>
    <row r="17" spans="1:11" ht="15.75" x14ac:dyDescent="0.25">
      <c r="A17" s="3">
        <v>9</v>
      </c>
      <c r="B17" s="3" t="s">
        <v>529</v>
      </c>
      <c r="C17" s="80">
        <v>1120</v>
      </c>
      <c r="D17" s="5">
        <f t="shared" si="1"/>
        <v>46202</v>
      </c>
      <c r="E17" s="14">
        <v>0</v>
      </c>
      <c r="F17" s="13" t="s">
        <v>18</v>
      </c>
      <c r="G17" s="15">
        <v>8744</v>
      </c>
      <c r="H17" s="16">
        <v>0</v>
      </c>
      <c r="I17" s="3" t="s">
        <v>15</v>
      </c>
      <c r="J17" s="5">
        <f t="shared" si="0"/>
        <v>46203</v>
      </c>
      <c r="K17" s="13" t="s">
        <v>115</v>
      </c>
    </row>
    <row r="18" spans="1:11" ht="18.75" x14ac:dyDescent="0.3">
      <c r="A18" s="3"/>
      <c r="B18" s="17" t="s">
        <v>16</v>
      </c>
      <c r="C18" s="82">
        <f>SUM(C9:C17)</f>
        <v>141489</v>
      </c>
      <c r="D18" s="3"/>
      <c r="E18" s="3"/>
      <c r="F18" s="13"/>
      <c r="G18" s="13"/>
      <c r="H18" s="11"/>
      <c r="I18" s="3"/>
      <c r="J18" s="3"/>
      <c r="K18" s="3"/>
    </row>
    <row r="19" spans="1:11" ht="24.75" x14ac:dyDescent="0.5">
      <c r="A19" s="125" t="s">
        <v>20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7"/>
    </row>
    <row r="20" spans="1:11" ht="18.75" x14ac:dyDescent="0.3">
      <c r="A20" s="19" t="s">
        <v>3</v>
      </c>
      <c r="B20" s="19" t="s">
        <v>21</v>
      </c>
      <c r="C20" s="50" t="s">
        <v>5</v>
      </c>
      <c r="D20" s="1" t="s">
        <v>22</v>
      </c>
      <c r="E20" s="19" t="s">
        <v>7</v>
      </c>
      <c r="F20" s="19" t="s">
        <v>8</v>
      </c>
      <c r="G20" s="19" t="s">
        <v>23</v>
      </c>
      <c r="H20" s="20" t="s">
        <v>24</v>
      </c>
      <c r="I20" s="19" t="s">
        <v>11</v>
      </c>
      <c r="J20" s="19" t="s">
        <v>25</v>
      </c>
      <c r="K20" s="21" t="s">
        <v>26</v>
      </c>
    </row>
    <row r="21" spans="1:11" ht="15.75" x14ac:dyDescent="0.25">
      <c r="A21" s="8">
        <v>1</v>
      </c>
      <c r="B21" s="8" t="s">
        <v>41</v>
      </c>
      <c r="C21" s="75">
        <v>46781</v>
      </c>
      <c r="D21" s="5">
        <v>46202</v>
      </c>
      <c r="E21" s="8"/>
      <c r="F21" s="8"/>
      <c r="G21" s="22">
        <v>148</v>
      </c>
      <c r="H21" s="23"/>
      <c r="I21" s="24"/>
      <c r="J21" s="3"/>
      <c r="K21" s="13" t="s">
        <v>115</v>
      </c>
    </row>
    <row r="22" spans="1:11" ht="15.75" x14ac:dyDescent="0.25">
      <c r="A22" s="8">
        <v>2</v>
      </c>
      <c r="B22" s="8" t="s">
        <v>530</v>
      </c>
      <c r="C22" s="75">
        <v>150000</v>
      </c>
      <c r="D22" s="5">
        <v>46202</v>
      </c>
      <c r="E22" s="8"/>
      <c r="F22" s="8"/>
      <c r="G22" s="22">
        <v>76</v>
      </c>
      <c r="H22" s="23"/>
      <c r="I22" s="24"/>
      <c r="J22" s="3"/>
      <c r="K22" s="13" t="s">
        <v>534</v>
      </c>
    </row>
    <row r="23" spans="1:11" ht="18.75" x14ac:dyDescent="0.25">
      <c r="A23" s="8"/>
      <c r="B23" s="25" t="s">
        <v>27</v>
      </c>
      <c r="C23" s="83">
        <f>SUM(C21:C22)</f>
        <v>196781</v>
      </c>
      <c r="D23" s="3"/>
      <c r="E23" s="8"/>
      <c r="F23" s="8"/>
      <c r="G23" s="8"/>
      <c r="H23" s="27">
        <v>0</v>
      </c>
      <c r="I23" s="24"/>
      <c r="J23" s="3"/>
      <c r="K23" s="28"/>
    </row>
    <row r="24" spans="1:11" x14ac:dyDescent="0.25">
      <c r="C24" s="29"/>
      <c r="H24" s="29"/>
    </row>
    <row r="25" spans="1:11" ht="16.5" x14ac:dyDescent="0.3">
      <c r="B25" s="30" t="s">
        <v>28</v>
      </c>
      <c r="C25" s="76">
        <f>SUM(C9,C16,C15)</f>
        <v>66296</v>
      </c>
      <c r="E25" s="32"/>
      <c r="F25" s="32"/>
      <c r="G25" s="116"/>
      <c r="H25" s="116"/>
    </row>
    <row r="26" spans="1:11" ht="16.5" x14ac:dyDescent="0.3">
      <c r="B26" s="33" t="s">
        <v>29</v>
      </c>
      <c r="C26" s="77">
        <f>SUM(C10,C11,C17)</f>
        <v>3945</v>
      </c>
      <c r="E26" s="35"/>
      <c r="F26" s="35"/>
      <c r="G26" s="36" t="s">
        <v>30</v>
      </c>
      <c r="H26" s="37"/>
    </row>
    <row r="27" spans="1:11" ht="24" x14ac:dyDescent="0.4">
      <c r="B27" s="38" t="s">
        <v>31</v>
      </c>
      <c r="C27" s="78">
        <f>SUM(C12,C13,C14)</f>
        <v>71248</v>
      </c>
      <c r="E27" s="40" t="s">
        <v>32</v>
      </c>
      <c r="F27" s="41"/>
      <c r="G27" s="42"/>
      <c r="H27" s="43"/>
      <c r="I27" s="42"/>
      <c r="J27" s="44"/>
    </row>
    <row r="28" spans="1:11" ht="18.75" x14ac:dyDescent="0.3">
      <c r="B28" s="45" t="s">
        <v>16</v>
      </c>
      <c r="C28" s="79">
        <f>SUM(C25:C27)</f>
        <v>141489</v>
      </c>
      <c r="G28" s="36"/>
      <c r="H28" s="37"/>
      <c r="I28" s="36"/>
      <c r="J28" s="36"/>
    </row>
  </sheetData>
  <mergeCells count="6">
    <mergeCell ref="G25:H25"/>
    <mergeCell ref="A1:K1"/>
    <mergeCell ref="A2:K2"/>
    <mergeCell ref="A3:K3"/>
    <mergeCell ref="A8:K8"/>
    <mergeCell ref="A19:K19"/>
  </mergeCells>
  <pageMargins left="0.59055118110236215" right="0.15748031496062992" top="0.47244094488188976" bottom="0.23622047244094488" header="0.31496062992125984" footer="0.31496062992125984"/>
  <pageSetup scale="88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8844B-E931-42DD-8B04-35134B05E92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5E584-534F-40ED-BD5D-5E7ACDC02D9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7093F-C011-496D-BDE5-F9F82D8E9BD7}">
  <dimension ref="A1:K34"/>
  <sheetViews>
    <sheetView workbookViewId="0">
      <selection activeCell="E24" sqref="E24"/>
    </sheetView>
  </sheetViews>
  <sheetFormatPr defaultRowHeight="15" x14ac:dyDescent="0.25"/>
  <cols>
    <col min="1" max="1" width="4.42578125" bestFit="1" customWidth="1"/>
    <col min="2" max="2" width="25.42578125" customWidth="1"/>
    <col min="3" max="3" width="12.710937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32.5703125" customWidth="1"/>
  </cols>
  <sheetData>
    <row r="1" spans="1:11" ht="48.75" x14ac:dyDescent="0.25">
      <c r="A1" s="128" t="s">
        <v>458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536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873</v>
      </c>
      <c r="D5" s="5">
        <v>46203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46202</v>
      </c>
      <c r="K5" s="8" t="s">
        <v>33</v>
      </c>
    </row>
    <row r="6" spans="1:11" ht="15.75" x14ac:dyDescent="0.25">
      <c r="A6" s="3">
        <v>2</v>
      </c>
      <c r="B6" s="3" t="s">
        <v>547</v>
      </c>
      <c r="C6" s="80">
        <v>51500</v>
      </c>
      <c r="D6" s="5">
        <v>46203</v>
      </c>
      <c r="E6" s="6">
        <v>0</v>
      </c>
      <c r="F6" s="3" t="s">
        <v>14</v>
      </c>
      <c r="G6" s="49">
        <v>3789</v>
      </c>
      <c r="H6" s="7">
        <v>0</v>
      </c>
      <c r="I6" s="3" t="s">
        <v>15</v>
      </c>
      <c r="J6" s="5">
        <f>+D6-1</f>
        <v>46202</v>
      </c>
      <c r="K6" s="8" t="s">
        <v>46</v>
      </c>
    </row>
    <row r="7" spans="1:11" ht="15.75" x14ac:dyDescent="0.25">
      <c r="A7" s="3">
        <v>3</v>
      </c>
      <c r="B7" s="3"/>
      <c r="C7" s="4"/>
      <c r="D7" s="5"/>
      <c r="E7" s="6"/>
      <c r="F7" s="3"/>
      <c r="G7" s="49"/>
      <c r="H7" s="7"/>
      <c r="I7" s="3"/>
      <c r="J7" s="5"/>
      <c r="K7" s="8"/>
    </row>
    <row r="8" spans="1:11" ht="18.75" x14ac:dyDescent="0.3">
      <c r="A8" s="9"/>
      <c r="B8" s="10" t="s">
        <v>16</v>
      </c>
      <c r="C8" s="81">
        <f>SUM(C5:C7)</f>
        <v>52373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4" x14ac:dyDescent="0.4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75" x14ac:dyDescent="0.25">
      <c r="A11" s="3">
        <v>1</v>
      </c>
      <c r="B11" s="3" t="s">
        <v>537</v>
      </c>
      <c r="C11" s="80">
        <v>7105</v>
      </c>
      <c r="D11" s="5">
        <v>46203</v>
      </c>
      <c r="E11" s="14">
        <v>0</v>
      </c>
      <c r="F11" s="13" t="s">
        <v>18</v>
      </c>
      <c r="G11" s="15">
        <v>6190</v>
      </c>
      <c r="H11" s="16">
        <v>0</v>
      </c>
      <c r="I11" s="3" t="s">
        <v>19</v>
      </c>
      <c r="J11" s="5">
        <f t="shared" ref="J11:J21" si="0">+D11+1</f>
        <v>46204</v>
      </c>
      <c r="K11" s="13" t="s">
        <v>115</v>
      </c>
    </row>
    <row r="12" spans="1:11" ht="15.75" x14ac:dyDescent="0.25">
      <c r="A12" s="3">
        <v>2</v>
      </c>
      <c r="B12" s="3" t="s">
        <v>538</v>
      </c>
      <c r="C12" s="80">
        <v>3120</v>
      </c>
      <c r="D12" s="5">
        <f t="shared" ref="D12:D21" si="1">+D11</f>
        <v>46203</v>
      </c>
      <c r="E12" s="14">
        <v>0</v>
      </c>
      <c r="F12" s="13" t="s">
        <v>18</v>
      </c>
      <c r="G12" s="15">
        <v>9644</v>
      </c>
      <c r="H12" s="16">
        <v>0</v>
      </c>
      <c r="I12" s="3" t="s">
        <v>15</v>
      </c>
      <c r="J12" s="5">
        <f t="shared" si="0"/>
        <v>46204</v>
      </c>
      <c r="K12" s="13" t="s">
        <v>267</v>
      </c>
    </row>
    <row r="13" spans="1:11" ht="15.75" x14ac:dyDescent="0.25">
      <c r="A13" s="3">
        <v>3</v>
      </c>
      <c r="B13" s="3" t="s">
        <v>539</v>
      </c>
      <c r="C13" s="80">
        <v>10000</v>
      </c>
      <c r="D13" s="5">
        <f t="shared" si="1"/>
        <v>46203</v>
      </c>
      <c r="E13" s="14">
        <v>0</v>
      </c>
      <c r="F13" s="13" t="s">
        <v>18</v>
      </c>
      <c r="G13" s="15">
        <v>2897</v>
      </c>
      <c r="H13" s="16">
        <v>0</v>
      </c>
      <c r="I13" s="3" t="s">
        <v>15</v>
      </c>
      <c r="J13" s="5">
        <f t="shared" si="0"/>
        <v>46204</v>
      </c>
      <c r="K13" s="13" t="s">
        <v>552</v>
      </c>
    </row>
    <row r="14" spans="1:11" ht="15.75" x14ac:dyDescent="0.25">
      <c r="A14" s="3">
        <v>4</v>
      </c>
      <c r="B14" s="3" t="s">
        <v>540</v>
      </c>
      <c r="C14" s="80">
        <v>2031</v>
      </c>
      <c r="D14" s="5">
        <f t="shared" si="1"/>
        <v>46203</v>
      </c>
      <c r="E14" s="14">
        <v>0</v>
      </c>
      <c r="F14" s="13" t="s">
        <v>18</v>
      </c>
      <c r="G14" s="15">
        <v>6857</v>
      </c>
      <c r="H14" s="16">
        <v>0</v>
      </c>
      <c r="I14" s="3" t="s">
        <v>15</v>
      </c>
      <c r="J14" s="5">
        <f t="shared" si="0"/>
        <v>46204</v>
      </c>
      <c r="K14" s="13" t="s">
        <v>110</v>
      </c>
    </row>
    <row r="15" spans="1:11" ht="15.75" x14ac:dyDescent="0.25">
      <c r="A15" s="3">
        <v>5</v>
      </c>
      <c r="B15" s="3" t="s">
        <v>539</v>
      </c>
      <c r="C15" s="80">
        <v>5000</v>
      </c>
      <c r="D15" s="5">
        <f t="shared" si="1"/>
        <v>46203</v>
      </c>
      <c r="E15" s="14">
        <v>0</v>
      </c>
      <c r="F15" s="13" t="s">
        <v>18</v>
      </c>
      <c r="G15" s="15">
        <v>5685</v>
      </c>
      <c r="H15" s="16">
        <v>0</v>
      </c>
      <c r="I15" s="3" t="s">
        <v>15</v>
      </c>
      <c r="J15" s="5">
        <f t="shared" si="0"/>
        <v>46204</v>
      </c>
      <c r="K15" s="13" t="s">
        <v>552</v>
      </c>
    </row>
    <row r="16" spans="1:11" ht="15.75" x14ac:dyDescent="0.25">
      <c r="A16" s="3">
        <v>6</v>
      </c>
      <c r="B16" s="3" t="s">
        <v>541</v>
      </c>
      <c r="C16" s="80">
        <v>10000</v>
      </c>
      <c r="D16" s="5">
        <f t="shared" si="1"/>
        <v>46203</v>
      </c>
      <c r="E16" s="14">
        <v>0</v>
      </c>
      <c r="F16" s="13" t="s">
        <v>18</v>
      </c>
      <c r="G16" s="15">
        <v>5339</v>
      </c>
      <c r="H16" s="16">
        <v>0</v>
      </c>
      <c r="I16" s="3" t="s">
        <v>15</v>
      </c>
      <c r="J16" s="5">
        <f t="shared" si="0"/>
        <v>46204</v>
      </c>
      <c r="K16" s="13" t="s">
        <v>552</v>
      </c>
    </row>
    <row r="17" spans="1:11" ht="15.75" x14ac:dyDescent="0.25">
      <c r="A17" s="3">
        <v>7</v>
      </c>
      <c r="B17" s="3" t="s">
        <v>542</v>
      </c>
      <c r="C17" s="80">
        <v>2445</v>
      </c>
      <c r="D17" s="5">
        <f t="shared" si="1"/>
        <v>46203</v>
      </c>
      <c r="E17" s="14">
        <v>0</v>
      </c>
      <c r="F17" s="13" t="s">
        <v>18</v>
      </c>
      <c r="G17" s="15">
        <v>6843</v>
      </c>
      <c r="H17" s="16">
        <v>0</v>
      </c>
      <c r="I17" s="3" t="s">
        <v>15</v>
      </c>
      <c r="J17" s="5">
        <f t="shared" si="0"/>
        <v>46204</v>
      </c>
      <c r="K17" s="13" t="s">
        <v>267</v>
      </c>
    </row>
    <row r="18" spans="1:11" ht="15.75" x14ac:dyDescent="0.25">
      <c r="A18" s="3">
        <v>8</v>
      </c>
      <c r="B18" s="3" t="s">
        <v>543</v>
      </c>
      <c r="C18" s="80">
        <v>1265</v>
      </c>
      <c r="D18" s="5">
        <f t="shared" si="1"/>
        <v>46203</v>
      </c>
      <c r="E18" s="14">
        <v>0</v>
      </c>
      <c r="F18" s="13" t="s">
        <v>18</v>
      </c>
      <c r="G18" s="15">
        <v>6575</v>
      </c>
      <c r="H18" s="16">
        <v>0</v>
      </c>
      <c r="I18" s="3" t="s">
        <v>15</v>
      </c>
      <c r="J18" s="5">
        <f t="shared" si="0"/>
        <v>46204</v>
      </c>
      <c r="K18" s="13" t="s">
        <v>115</v>
      </c>
    </row>
    <row r="19" spans="1:11" ht="15.75" x14ac:dyDescent="0.25">
      <c r="A19" s="3">
        <v>9</v>
      </c>
      <c r="B19" s="3" t="s">
        <v>544</v>
      </c>
      <c r="C19" s="80">
        <v>600</v>
      </c>
      <c r="D19" s="5">
        <f t="shared" si="1"/>
        <v>46203</v>
      </c>
      <c r="E19" s="14">
        <v>0</v>
      </c>
      <c r="F19" s="13" t="s">
        <v>18</v>
      </c>
      <c r="G19" s="15">
        <v>4065</v>
      </c>
      <c r="H19" s="16">
        <v>0</v>
      </c>
      <c r="I19" s="3" t="s">
        <v>15</v>
      </c>
      <c r="J19" s="5">
        <f t="shared" si="0"/>
        <v>46204</v>
      </c>
      <c r="K19" s="13" t="s">
        <v>551</v>
      </c>
    </row>
    <row r="20" spans="1:11" ht="15.75" x14ac:dyDescent="0.25">
      <c r="A20" s="3">
        <v>10</v>
      </c>
      <c r="B20" s="3" t="s">
        <v>545</v>
      </c>
      <c r="C20" s="80">
        <v>3370</v>
      </c>
      <c r="D20" s="5">
        <f t="shared" si="1"/>
        <v>46203</v>
      </c>
      <c r="E20" s="14">
        <v>0</v>
      </c>
      <c r="F20" s="13" t="s">
        <v>18</v>
      </c>
      <c r="G20" s="15">
        <v>1161</v>
      </c>
      <c r="H20" s="16">
        <v>0</v>
      </c>
      <c r="I20" s="3" t="s">
        <v>15</v>
      </c>
      <c r="J20" s="5">
        <f t="shared" si="0"/>
        <v>46204</v>
      </c>
      <c r="K20" s="13" t="s">
        <v>115</v>
      </c>
    </row>
    <row r="21" spans="1:11" ht="15.75" x14ac:dyDescent="0.25">
      <c r="A21" s="3">
        <v>11</v>
      </c>
      <c r="B21" s="3" t="s">
        <v>546</v>
      </c>
      <c r="C21" s="80">
        <v>10000</v>
      </c>
      <c r="D21" s="5">
        <f t="shared" si="1"/>
        <v>46203</v>
      </c>
      <c r="E21" s="14">
        <v>0</v>
      </c>
      <c r="F21" s="13" t="s">
        <v>18</v>
      </c>
      <c r="G21" s="15">
        <v>7025</v>
      </c>
      <c r="H21" s="16">
        <v>0</v>
      </c>
      <c r="I21" s="3" t="s">
        <v>15</v>
      </c>
      <c r="J21" s="5">
        <f t="shared" si="0"/>
        <v>46204</v>
      </c>
      <c r="K21" s="13" t="s">
        <v>115</v>
      </c>
    </row>
    <row r="22" spans="1:11" ht="18.75" x14ac:dyDescent="0.3">
      <c r="A22" s="3"/>
      <c r="B22" s="17" t="s">
        <v>16</v>
      </c>
      <c r="C22" s="82">
        <f>SUM(C11:C21)</f>
        <v>54936</v>
      </c>
      <c r="D22" s="3"/>
      <c r="E22" s="3"/>
      <c r="F22" s="13"/>
      <c r="G22" s="13"/>
      <c r="H22" s="11"/>
      <c r="I22" s="3"/>
      <c r="J22" s="3"/>
      <c r="K22" s="3"/>
    </row>
    <row r="23" spans="1:11" ht="24.75" x14ac:dyDescent="0.5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.75" x14ac:dyDescent="0.3">
      <c r="A24" s="19" t="s">
        <v>3</v>
      </c>
      <c r="B24" s="19" t="s">
        <v>21</v>
      </c>
      <c r="C24" s="5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75" x14ac:dyDescent="0.25">
      <c r="A25" s="8">
        <v>1</v>
      </c>
      <c r="B25" s="8" t="s">
        <v>548</v>
      </c>
      <c r="C25" s="75">
        <v>3000</v>
      </c>
      <c r="D25" s="5">
        <v>46203</v>
      </c>
      <c r="E25" s="8"/>
      <c r="F25" s="8"/>
      <c r="G25" s="22">
        <v>7121</v>
      </c>
      <c r="H25" s="23"/>
      <c r="I25" s="24"/>
      <c r="J25" s="5">
        <v>46203</v>
      </c>
      <c r="K25" s="13" t="s">
        <v>550</v>
      </c>
    </row>
    <row r="26" spans="1:11" ht="15.75" x14ac:dyDescent="0.25">
      <c r="A26" s="8">
        <v>2</v>
      </c>
      <c r="B26" s="8" t="s">
        <v>41</v>
      </c>
      <c r="C26" s="75">
        <v>9316</v>
      </c>
      <c r="D26" s="5">
        <v>46203</v>
      </c>
      <c r="E26" s="8"/>
      <c r="F26" s="8"/>
      <c r="G26" s="22">
        <v>42</v>
      </c>
      <c r="H26" s="23"/>
      <c r="I26" s="24"/>
      <c r="J26" s="5">
        <v>46203</v>
      </c>
      <c r="K26" s="13" t="s">
        <v>115</v>
      </c>
    </row>
    <row r="27" spans="1:11" ht="15.75" x14ac:dyDescent="0.25">
      <c r="A27" s="8">
        <v>3</v>
      </c>
      <c r="B27" s="8" t="s">
        <v>549</v>
      </c>
      <c r="C27" s="75">
        <v>11000</v>
      </c>
      <c r="D27" s="5">
        <v>46203</v>
      </c>
      <c r="E27" s="8"/>
      <c r="F27" s="8"/>
      <c r="G27" s="22">
        <v>2605</v>
      </c>
      <c r="H27" s="23"/>
      <c r="I27" s="24"/>
      <c r="J27" s="5">
        <v>46203</v>
      </c>
      <c r="K27" s="13" t="s">
        <v>349</v>
      </c>
    </row>
    <row r="28" spans="1:11" ht="15.75" x14ac:dyDescent="0.25">
      <c r="A28" s="8">
        <v>4</v>
      </c>
      <c r="B28" s="8" t="s">
        <v>160</v>
      </c>
      <c r="C28" s="75">
        <v>1506</v>
      </c>
      <c r="D28" s="5">
        <v>46203</v>
      </c>
      <c r="E28" s="8"/>
      <c r="F28" s="8"/>
      <c r="G28" s="22">
        <v>184</v>
      </c>
      <c r="H28" s="23"/>
      <c r="I28" s="24"/>
      <c r="J28" s="5">
        <v>46203</v>
      </c>
      <c r="K28" s="13" t="s">
        <v>160</v>
      </c>
    </row>
    <row r="29" spans="1:11" ht="18.75" x14ac:dyDescent="0.25">
      <c r="A29" s="8"/>
      <c r="B29" s="25" t="s">
        <v>27</v>
      </c>
      <c r="C29" s="83">
        <f>SUM(C25:C28)</f>
        <v>24822</v>
      </c>
      <c r="D29" s="3"/>
      <c r="E29" s="8"/>
      <c r="F29" s="8"/>
      <c r="G29" s="8"/>
      <c r="H29" s="27">
        <v>0</v>
      </c>
      <c r="I29" s="24"/>
      <c r="J29" s="3"/>
      <c r="K29" s="28"/>
    </row>
    <row r="30" spans="1:11" x14ac:dyDescent="0.25">
      <c r="C30" s="29"/>
      <c r="H30" s="29"/>
    </row>
    <row r="31" spans="1:11" ht="16.5" x14ac:dyDescent="0.3">
      <c r="B31" s="30" t="s">
        <v>28</v>
      </c>
      <c r="C31" s="76">
        <f>SUM(C14,C19)</f>
        <v>2631</v>
      </c>
      <c r="E31" s="32"/>
      <c r="F31" s="32"/>
      <c r="G31" s="116"/>
      <c r="H31" s="116"/>
    </row>
    <row r="32" spans="1:11" ht="16.5" x14ac:dyDescent="0.3">
      <c r="B32" s="33" t="s">
        <v>29</v>
      </c>
      <c r="C32" s="77">
        <f>SUM(C11,C12,C17,C18,C20,C21)</f>
        <v>27305</v>
      </c>
      <c r="E32" s="35"/>
      <c r="F32" s="35"/>
      <c r="G32" s="36" t="s">
        <v>30</v>
      </c>
      <c r="H32" s="37"/>
    </row>
    <row r="33" spans="2:10" ht="24" x14ac:dyDescent="0.4">
      <c r="B33" s="38" t="s">
        <v>31</v>
      </c>
      <c r="C33" s="78">
        <f>SUM(C13,C15,C16)</f>
        <v>25000</v>
      </c>
      <c r="E33" s="40" t="s">
        <v>32</v>
      </c>
      <c r="F33" s="41"/>
      <c r="G33" s="42"/>
      <c r="H33" s="43"/>
      <c r="I33" s="42"/>
      <c r="J33" s="44"/>
    </row>
    <row r="34" spans="2:10" ht="18.75" x14ac:dyDescent="0.3">
      <c r="B34" s="45" t="s">
        <v>16</v>
      </c>
      <c r="C34" s="79">
        <f>SUM(C31:C33)</f>
        <v>54936</v>
      </c>
      <c r="G34" s="36"/>
      <c r="H34" s="37"/>
      <c r="I34" s="36"/>
      <c r="J34" s="36"/>
    </row>
  </sheetData>
  <mergeCells count="6">
    <mergeCell ref="G31:H31"/>
    <mergeCell ref="A1:K1"/>
    <mergeCell ref="A2:K2"/>
    <mergeCell ref="A3:K3"/>
    <mergeCell ref="A10:K10"/>
    <mergeCell ref="A23:K23"/>
  </mergeCells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43461-1471-4A4B-9B01-981103982522}">
  <sheetPr>
    <pageSetUpPr fitToPage="1"/>
  </sheetPr>
  <dimension ref="A1:K27"/>
  <sheetViews>
    <sheetView topLeftCell="A6" workbookViewId="0">
      <selection activeCell="M13" sqref="M13"/>
    </sheetView>
  </sheetViews>
  <sheetFormatPr defaultRowHeight="15" x14ac:dyDescent="0.25"/>
  <cols>
    <col min="1" max="1" width="4.42578125" bestFit="1" customWidth="1"/>
    <col min="2" max="2" width="22.140625" bestFit="1" customWidth="1"/>
    <col min="3" max="3" width="12.710937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7.5703125" customWidth="1"/>
  </cols>
  <sheetData>
    <row r="1" spans="1:11" ht="48.75" x14ac:dyDescent="0.25">
      <c r="A1" s="128" t="s">
        <v>458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553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35000</v>
      </c>
      <c r="D5" s="5">
        <v>46204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46203</v>
      </c>
      <c r="K5" s="8" t="s">
        <v>33</v>
      </c>
    </row>
    <row r="6" spans="1:11" ht="18.75" x14ac:dyDescent="0.3">
      <c r="A6" s="9"/>
      <c r="B6" s="10" t="s">
        <v>16</v>
      </c>
      <c r="C6" s="81">
        <f>SUM(C5:C5)</f>
        <v>35000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4" x14ac:dyDescent="0.4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75" x14ac:dyDescent="0.25">
      <c r="A9" s="3">
        <v>1</v>
      </c>
      <c r="B9" s="3" t="s">
        <v>554</v>
      </c>
      <c r="C9" s="80">
        <v>9600</v>
      </c>
      <c r="D9" s="5">
        <v>46204</v>
      </c>
      <c r="E9" s="14">
        <v>0</v>
      </c>
      <c r="F9" s="13" t="s">
        <v>18</v>
      </c>
      <c r="G9" s="55">
        <v>3980</v>
      </c>
      <c r="H9" s="16">
        <v>0</v>
      </c>
      <c r="I9" s="3" t="s">
        <v>19</v>
      </c>
      <c r="J9" s="5">
        <f t="shared" ref="J9:J17" si="0">+D9+1</f>
        <v>46205</v>
      </c>
      <c r="K9" s="13" t="s">
        <v>551</v>
      </c>
    </row>
    <row r="10" spans="1:11" ht="15.75" x14ac:dyDescent="0.25">
      <c r="A10" s="3">
        <v>2</v>
      </c>
      <c r="B10" s="3" t="s">
        <v>554</v>
      </c>
      <c r="C10" s="80">
        <v>9000</v>
      </c>
      <c r="D10" s="5">
        <f t="shared" ref="D10:D17" si="1">+D9</f>
        <v>46204</v>
      </c>
      <c r="E10" s="14">
        <v>0</v>
      </c>
      <c r="F10" s="13" t="s">
        <v>18</v>
      </c>
      <c r="G10" s="55">
        <v>1527</v>
      </c>
      <c r="H10" s="16">
        <v>0</v>
      </c>
      <c r="I10" s="3" t="s">
        <v>15</v>
      </c>
      <c r="J10" s="5">
        <f t="shared" si="0"/>
        <v>46205</v>
      </c>
      <c r="K10" s="13" t="s">
        <v>115</v>
      </c>
    </row>
    <row r="11" spans="1:11" ht="15.75" x14ac:dyDescent="0.25">
      <c r="A11" s="3">
        <v>3</v>
      </c>
      <c r="B11" s="3" t="s">
        <v>549</v>
      </c>
      <c r="C11" s="80">
        <v>1805</v>
      </c>
      <c r="D11" s="5">
        <f t="shared" si="1"/>
        <v>46204</v>
      </c>
      <c r="E11" s="14">
        <v>0</v>
      </c>
      <c r="F11" s="13" t="s">
        <v>18</v>
      </c>
      <c r="G11" s="55">
        <v>8736</v>
      </c>
      <c r="H11" s="16">
        <v>0</v>
      </c>
      <c r="I11" s="3" t="s">
        <v>15</v>
      </c>
      <c r="J11" s="5">
        <f t="shared" si="0"/>
        <v>46205</v>
      </c>
      <c r="K11" s="13" t="s">
        <v>115</v>
      </c>
    </row>
    <row r="12" spans="1:11" ht="15.75" x14ac:dyDescent="0.25">
      <c r="A12" s="3">
        <v>4</v>
      </c>
      <c r="B12" s="3" t="s">
        <v>305</v>
      </c>
      <c r="C12" s="80">
        <v>68472</v>
      </c>
      <c r="D12" s="5">
        <f t="shared" si="1"/>
        <v>46204</v>
      </c>
      <c r="E12" s="14">
        <v>0</v>
      </c>
      <c r="F12" s="13" t="s">
        <v>18</v>
      </c>
      <c r="G12" s="55">
        <v>851</v>
      </c>
      <c r="H12" s="16">
        <v>0</v>
      </c>
      <c r="I12" s="3" t="s">
        <v>15</v>
      </c>
      <c r="J12" s="5">
        <f t="shared" si="0"/>
        <v>46205</v>
      </c>
      <c r="K12" s="13" t="s">
        <v>157</v>
      </c>
    </row>
    <row r="13" spans="1:11" ht="15.75" x14ac:dyDescent="0.25">
      <c r="A13" s="3">
        <v>5</v>
      </c>
      <c r="B13" s="3" t="s">
        <v>555</v>
      </c>
      <c r="C13" s="80">
        <v>1890</v>
      </c>
      <c r="D13" s="5">
        <f t="shared" si="1"/>
        <v>46204</v>
      </c>
      <c r="E13" s="14">
        <v>0</v>
      </c>
      <c r="F13" s="13" t="s">
        <v>18</v>
      </c>
      <c r="G13" s="55">
        <v>1760</v>
      </c>
      <c r="H13" s="16">
        <v>0</v>
      </c>
      <c r="I13" s="3" t="s">
        <v>15</v>
      </c>
      <c r="J13" s="5">
        <f t="shared" si="0"/>
        <v>46205</v>
      </c>
      <c r="K13" s="13" t="s">
        <v>115</v>
      </c>
    </row>
    <row r="14" spans="1:11" ht="15.75" x14ac:dyDescent="0.25">
      <c r="A14" s="3">
        <v>6</v>
      </c>
      <c r="B14" s="3" t="s">
        <v>556</v>
      </c>
      <c r="C14" s="80">
        <v>290</v>
      </c>
      <c r="D14" s="5">
        <f t="shared" si="1"/>
        <v>46204</v>
      </c>
      <c r="E14" s="14">
        <v>0</v>
      </c>
      <c r="F14" s="13" t="s">
        <v>18</v>
      </c>
      <c r="G14" s="55">
        <v>502</v>
      </c>
      <c r="H14" s="16">
        <v>0</v>
      </c>
      <c r="I14" s="3" t="s">
        <v>15</v>
      </c>
      <c r="J14" s="5">
        <f t="shared" si="0"/>
        <v>46205</v>
      </c>
      <c r="K14" s="13" t="s">
        <v>115</v>
      </c>
    </row>
    <row r="15" spans="1:11" ht="15.75" x14ac:dyDescent="0.25">
      <c r="A15" s="3">
        <v>7</v>
      </c>
      <c r="B15" s="3" t="s">
        <v>557</v>
      </c>
      <c r="C15" s="80">
        <v>1530</v>
      </c>
      <c r="D15" s="5">
        <f t="shared" si="1"/>
        <v>46204</v>
      </c>
      <c r="E15" s="14">
        <v>0</v>
      </c>
      <c r="F15" s="13" t="s">
        <v>18</v>
      </c>
      <c r="G15" s="55">
        <v>3664</v>
      </c>
      <c r="H15" s="16">
        <v>0</v>
      </c>
      <c r="I15" s="3" t="s">
        <v>15</v>
      </c>
      <c r="J15" s="5">
        <f t="shared" si="0"/>
        <v>46205</v>
      </c>
      <c r="K15" s="13" t="s">
        <v>115</v>
      </c>
    </row>
    <row r="16" spans="1:11" ht="15.75" x14ac:dyDescent="0.25">
      <c r="A16" s="3">
        <v>8</v>
      </c>
      <c r="B16" s="3" t="s">
        <v>558</v>
      </c>
      <c r="C16" s="80">
        <v>740</v>
      </c>
      <c r="D16" s="5">
        <f t="shared" si="1"/>
        <v>46204</v>
      </c>
      <c r="E16" s="14">
        <v>0</v>
      </c>
      <c r="F16" s="13" t="s">
        <v>18</v>
      </c>
      <c r="G16" s="55">
        <v>7153</v>
      </c>
      <c r="H16" s="16">
        <v>0</v>
      </c>
      <c r="I16" s="3" t="s">
        <v>15</v>
      </c>
      <c r="J16" s="5">
        <f t="shared" si="0"/>
        <v>46205</v>
      </c>
      <c r="K16" s="13" t="s">
        <v>115</v>
      </c>
    </row>
    <row r="17" spans="1:11" ht="15.75" x14ac:dyDescent="0.25">
      <c r="A17" s="3">
        <v>9</v>
      </c>
      <c r="B17" s="3" t="s">
        <v>559</v>
      </c>
      <c r="C17" s="80">
        <v>4020</v>
      </c>
      <c r="D17" s="5">
        <f t="shared" si="1"/>
        <v>46204</v>
      </c>
      <c r="E17" s="14">
        <v>0</v>
      </c>
      <c r="F17" s="13" t="s">
        <v>18</v>
      </c>
      <c r="G17" s="55">
        <v>6324</v>
      </c>
      <c r="H17" s="16">
        <v>0</v>
      </c>
      <c r="I17" s="3" t="s">
        <v>15</v>
      </c>
      <c r="J17" s="5">
        <f t="shared" si="0"/>
        <v>46205</v>
      </c>
      <c r="K17" s="13" t="s">
        <v>115</v>
      </c>
    </row>
    <row r="18" spans="1:11" ht="18.75" x14ac:dyDescent="0.3">
      <c r="A18" s="3"/>
      <c r="B18" s="17" t="s">
        <v>16</v>
      </c>
      <c r="C18" s="82">
        <f>SUM(C9:C17)</f>
        <v>97347</v>
      </c>
      <c r="D18" s="3"/>
      <c r="E18" s="3"/>
      <c r="F18" s="13"/>
      <c r="G18" s="13"/>
      <c r="H18" s="11"/>
      <c r="I18" s="3"/>
      <c r="J18" s="3"/>
      <c r="K18" s="3"/>
    </row>
    <row r="19" spans="1:11" ht="24.75" x14ac:dyDescent="0.5">
      <c r="A19" s="125" t="s">
        <v>20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7"/>
    </row>
    <row r="20" spans="1:11" ht="18.75" x14ac:dyDescent="0.3">
      <c r="A20" s="19" t="s">
        <v>3</v>
      </c>
      <c r="B20" s="19" t="s">
        <v>21</v>
      </c>
      <c r="C20" s="50" t="s">
        <v>5</v>
      </c>
      <c r="D20" s="1" t="s">
        <v>22</v>
      </c>
      <c r="E20" s="19" t="s">
        <v>7</v>
      </c>
      <c r="F20" s="19" t="s">
        <v>8</v>
      </c>
      <c r="G20" s="19" t="s">
        <v>23</v>
      </c>
      <c r="H20" s="20" t="s">
        <v>24</v>
      </c>
      <c r="I20" s="19" t="s">
        <v>11</v>
      </c>
      <c r="J20" s="19" t="s">
        <v>25</v>
      </c>
      <c r="K20" s="21" t="s">
        <v>26</v>
      </c>
    </row>
    <row r="21" spans="1:11" ht="15.75" x14ac:dyDescent="0.25">
      <c r="A21" s="8">
        <v>1</v>
      </c>
      <c r="B21" s="8" t="s">
        <v>41</v>
      </c>
      <c r="C21" s="75">
        <v>37856</v>
      </c>
      <c r="D21" s="5">
        <v>46204</v>
      </c>
      <c r="E21" s="8"/>
      <c r="F21" s="8"/>
      <c r="G21" s="22">
        <v>227</v>
      </c>
      <c r="H21" s="23"/>
      <c r="I21" s="24"/>
      <c r="J21" s="5">
        <v>46204</v>
      </c>
      <c r="K21" s="13" t="s">
        <v>115</v>
      </c>
    </row>
    <row r="22" spans="1:11" ht="18.75" x14ac:dyDescent="0.25">
      <c r="A22" s="8"/>
      <c r="B22" s="25" t="s">
        <v>27</v>
      </c>
      <c r="C22" s="83">
        <f>SUM(C21:C21)</f>
        <v>37856</v>
      </c>
      <c r="D22" s="3"/>
      <c r="E22" s="8"/>
      <c r="F22" s="8"/>
      <c r="G22" s="8"/>
      <c r="H22" s="27">
        <v>0</v>
      </c>
      <c r="I22" s="24"/>
      <c r="J22" s="3"/>
      <c r="K22" s="28"/>
    </row>
    <row r="23" spans="1:11" x14ac:dyDescent="0.25">
      <c r="C23" s="29"/>
      <c r="H23" s="29"/>
    </row>
    <row r="24" spans="1:11" ht="16.5" x14ac:dyDescent="0.3">
      <c r="B24" s="30" t="s">
        <v>28</v>
      </c>
      <c r="C24" s="76">
        <f>SUM(C9,C12)</f>
        <v>78072</v>
      </c>
      <c r="E24" s="32"/>
      <c r="F24" s="32"/>
      <c r="G24" s="116"/>
      <c r="H24" s="116"/>
    </row>
    <row r="25" spans="1:11" ht="16.5" x14ac:dyDescent="0.3">
      <c r="B25" s="33" t="s">
        <v>29</v>
      </c>
      <c r="C25" s="77">
        <f>SUM(C10,C11,C13,C14,C15,C16,C17)</f>
        <v>19275</v>
      </c>
      <c r="E25" s="35"/>
      <c r="F25" s="35"/>
      <c r="G25" s="36" t="s">
        <v>30</v>
      </c>
      <c r="H25" s="37"/>
    </row>
    <row r="26" spans="1:11" ht="24" x14ac:dyDescent="0.4">
      <c r="B26" s="38" t="s">
        <v>31</v>
      </c>
      <c r="C26" s="78"/>
      <c r="E26" s="40" t="s">
        <v>32</v>
      </c>
      <c r="F26" s="41"/>
      <c r="G26" s="42"/>
      <c r="H26" s="43"/>
      <c r="I26" s="42"/>
      <c r="J26" s="44"/>
    </row>
    <row r="27" spans="1:11" ht="18.75" x14ac:dyDescent="0.3">
      <c r="B27" s="45" t="s">
        <v>16</v>
      </c>
      <c r="C27" s="79">
        <f>SUM(C24:C26)</f>
        <v>97347</v>
      </c>
      <c r="G27" s="36"/>
      <c r="H27" s="37"/>
      <c r="I27" s="36"/>
      <c r="J27" s="36"/>
    </row>
  </sheetData>
  <mergeCells count="6">
    <mergeCell ref="G24:H24"/>
    <mergeCell ref="A1:K1"/>
    <mergeCell ref="A2:K2"/>
    <mergeCell ref="A3:K3"/>
    <mergeCell ref="A8:K8"/>
    <mergeCell ref="A19:K19"/>
  </mergeCells>
  <pageMargins left="0.59055118110236215" right="0.15748031496062992" top="0.47244094488188976" bottom="0.23622047244094488" header="0.31496062992125984" footer="0.31496062992125984"/>
  <pageSetup scale="87" orientation="landscape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1D6AA-6CD0-4682-8DBD-51E0BD627DD2}">
  <sheetPr>
    <pageSetUpPr fitToPage="1"/>
  </sheetPr>
  <dimension ref="A1:K25"/>
  <sheetViews>
    <sheetView topLeftCell="A3" workbookViewId="0">
      <selection activeCell="E7" sqref="E7"/>
    </sheetView>
  </sheetViews>
  <sheetFormatPr defaultRowHeight="15" x14ac:dyDescent="0.25"/>
  <cols>
    <col min="1" max="1" width="4.42578125" bestFit="1" customWidth="1"/>
    <col min="2" max="2" width="20" bestFit="1" customWidth="1"/>
    <col min="3" max="3" width="14.4257812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32" bestFit="1" customWidth="1"/>
  </cols>
  <sheetData>
    <row r="1" spans="1:11" ht="48.75" x14ac:dyDescent="0.25">
      <c r="A1" s="128" t="s">
        <v>458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560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97347</v>
      </c>
      <c r="D5" s="5">
        <v>46205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46204</v>
      </c>
      <c r="K5" s="8" t="s">
        <v>33</v>
      </c>
    </row>
    <row r="6" spans="1:11" ht="18.75" x14ac:dyDescent="0.3">
      <c r="A6" s="9"/>
      <c r="B6" s="10" t="s">
        <v>16</v>
      </c>
      <c r="C6" s="81">
        <f>SUM(C5:C5)</f>
        <v>97347</v>
      </c>
      <c r="D6" s="3"/>
      <c r="E6" s="12"/>
      <c r="F6" s="9"/>
      <c r="G6" s="13"/>
      <c r="H6" s="11">
        <f>SUM(H5:H5)</f>
        <v>0</v>
      </c>
      <c r="I6" s="9"/>
      <c r="J6" s="9"/>
      <c r="K6" s="8"/>
    </row>
    <row r="8" spans="1:11" ht="24" x14ac:dyDescent="0.4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75" x14ac:dyDescent="0.25">
      <c r="A9" s="3">
        <v>1</v>
      </c>
      <c r="B9" s="3" t="s">
        <v>561</v>
      </c>
      <c r="C9" s="80">
        <v>500</v>
      </c>
      <c r="D9" s="5">
        <v>46205</v>
      </c>
      <c r="E9" s="14">
        <v>0</v>
      </c>
      <c r="F9" s="13" t="s">
        <v>18</v>
      </c>
      <c r="G9" s="55">
        <v>6061</v>
      </c>
      <c r="H9" s="16">
        <v>0</v>
      </c>
      <c r="I9" s="3" t="s">
        <v>19</v>
      </c>
      <c r="J9" s="5">
        <f t="shared" ref="J9:J15" si="0">+D9+1</f>
        <v>46206</v>
      </c>
      <c r="K9" s="13" t="s">
        <v>115</v>
      </c>
    </row>
    <row r="10" spans="1:11" ht="15.75" x14ac:dyDescent="0.25">
      <c r="A10" s="3">
        <v>2</v>
      </c>
      <c r="B10" s="3" t="s">
        <v>562</v>
      </c>
      <c r="C10" s="80">
        <v>2199</v>
      </c>
      <c r="D10" s="5">
        <f t="shared" ref="D10:D15" si="1">+D9</f>
        <v>46205</v>
      </c>
      <c r="E10" s="14">
        <v>0</v>
      </c>
      <c r="F10" s="13" t="s">
        <v>18</v>
      </c>
      <c r="G10" s="55">
        <v>9532</v>
      </c>
      <c r="H10" s="16">
        <v>0</v>
      </c>
      <c r="I10" s="3" t="s">
        <v>15</v>
      </c>
      <c r="J10" s="5">
        <f t="shared" si="0"/>
        <v>46206</v>
      </c>
      <c r="K10" s="13" t="s">
        <v>571</v>
      </c>
    </row>
    <row r="11" spans="1:11" ht="15.75" x14ac:dyDescent="0.25">
      <c r="A11" s="3">
        <v>3</v>
      </c>
      <c r="B11" s="3" t="s">
        <v>540</v>
      </c>
      <c r="C11" s="80">
        <v>335</v>
      </c>
      <c r="D11" s="5">
        <f t="shared" si="1"/>
        <v>46205</v>
      </c>
      <c r="E11" s="14">
        <v>0</v>
      </c>
      <c r="F11" s="13" t="s">
        <v>18</v>
      </c>
      <c r="G11" s="55">
        <v>9869</v>
      </c>
      <c r="H11" s="16">
        <v>0</v>
      </c>
      <c r="I11" s="3" t="s">
        <v>15</v>
      </c>
      <c r="J11" s="5">
        <f t="shared" si="0"/>
        <v>46206</v>
      </c>
      <c r="K11" s="13" t="s">
        <v>203</v>
      </c>
    </row>
    <row r="12" spans="1:11" ht="15.75" x14ac:dyDescent="0.25">
      <c r="A12" s="3">
        <v>4</v>
      </c>
      <c r="B12" s="3" t="s">
        <v>563</v>
      </c>
      <c r="C12" s="80">
        <v>1562</v>
      </c>
      <c r="D12" s="5">
        <f t="shared" si="1"/>
        <v>46205</v>
      </c>
      <c r="E12" s="14">
        <v>0</v>
      </c>
      <c r="F12" s="13" t="s">
        <v>18</v>
      </c>
      <c r="G12" s="55">
        <v>8683</v>
      </c>
      <c r="H12" s="16">
        <v>0</v>
      </c>
      <c r="I12" s="3" t="s">
        <v>15</v>
      </c>
      <c r="J12" s="5">
        <f t="shared" si="0"/>
        <v>46206</v>
      </c>
      <c r="K12" s="13" t="s">
        <v>570</v>
      </c>
    </row>
    <row r="13" spans="1:11" ht="15.75" x14ac:dyDescent="0.25">
      <c r="A13" s="3">
        <v>5</v>
      </c>
      <c r="B13" s="3" t="s">
        <v>564</v>
      </c>
      <c r="C13" s="80">
        <v>1330</v>
      </c>
      <c r="D13" s="5">
        <f t="shared" si="1"/>
        <v>46205</v>
      </c>
      <c r="E13" s="14">
        <v>0</v>
      </c>
      <c r="F13" s="13" t="s">
        <v>18</v>
      </c>
      <c r="G13" s="55">
        <v>8686</v>
      </c>
      <c r="H13" s="16">
        <v>0</v>
      </c>
      <c r="I13" s="3" t="s">
        <v>15</v>
      </c>
      <c r="J13" s="5">
        <f t="shared" si="0"/>
        <v>46206</v>
      </c>
      <c r="K13" s="13" t="s">
        <v>203</v>
      </c>
    </row>
    <row r="14" spans="1:11" ht="15.75" x14ac:dyDescent="0.25">
      <c r="A14" s="3">
        <v>6</v>
      </c>
      <c r="B14" s="3" t="s">
        <v>565</v>
      </c>
      <c r="C14" s="80">
        <v>1805</v>
      </c>
      <c r="D14" s="5">
        <f t="shared" si="1"/>
        <v>46205</v>
      </c>
      <c r="E14" s="14">
        <v>0</v>
      </c>
      <c r="F14" s="13" t="s">
        <v>18</v>
      </c>
      <c r="G14" s="55">
        <v>8915</v>
      </c>
      <c r="H14" s="16">
        <v>0</v>
      </c>
      <c r="I14" s="3" t="s">
        <v>15</v>
      </c>
      <c r="J14" s="5">
        <f t="shared" si="0"/>
        <v>46206</v>
      </c>
      <c r="K14" s="13" t="s">
        <v>115</v>
      </c>
    </row>
    <row r="15" spans="1:11" ht="15.75" x14ac:dyDescent="0.25">
      <c r="A15" s="3">
        <v>7</v>
      </c>
      <c r="B15" s="3" t="s">
        <v>566</v>
      </c>
      <c r="C15" s="80">
        <v>2295</v>
      </c>
      <c r="D15" s="5">
        <f t="shared" si="1"/>
        <v>46205</v>
      </c>
      <c r="E15" s="14">
        <v>0</v>
      </c>
      <c r="F15" s="13" t="s">
        <v>18</v>
      </c>
      <c r="G15" s="55">
        <v>4359</v>
      </c>
      <c r="H15" s="16">
        <v>0</v>
      </c>
      <c r="I15" s="3" t="s">
        <v>15</v>
      </c>
      <c r="J15" s="5">
        <f t="shared" si="0"/>
        <v>46206</v>
      </c>
      <c r="K15" s="13" t="s">
        <v>115</v>
      </c>
    </row>
    <row r="16" spans="1:11" ht="18.75" x14ac:dyDescent="0.3">
      <c r="A16" s="3"/>
      <c r="B16" s="17" t="s">
        <v>16</v>
      </c>
      <c r="C16" s="82">
        <f>SUM(C9:C15)</f>
        <v>10026</v>
      </c>
      <c r="D16" s="3"/>
      <c r="E16" s="3"/>
      <c r="F16" s="13"/>
      <c r="G16" s="13"/>
      <c r="H16" s="11"/>
      <c r="I16" s="3"/>
      <c r="J16" s="3"/>
      <c r="K16" s="3"/>
    </row>
    <row r="17" spans="1:11" ht="24.75" x14ac:dyDescent="0.5">
      <c r="A17" s="125" t="s">
        <v>20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7"/>
    </row>
    <row r="18" spans="1:11" ht="18.75" x14ac:dyDescent="0.3">
      <c r="A18" s="19" t="s">
        <v>3</v>
      </c>
      <c r="B18" s="19" t="s">
        <v>21</v>
      </c>
      <c r="C18" s="50" t="s">
        <v>5</v>
      </c>
      <c r="D18" s="1" t="s">
        <v>22</v>
      </c>
      <c r="E18" s="19" t="s">
        <v>7</v>
      </c>
      <c r="F18" s="19" t="s">
        <v>8</v>
      </c>
      <c r="G18" s="19" t="s">
        <v>23</v>
      </c>
      <c r="H18" s="20" t="s">
        <v>24</v>
      </c>
      <c r="I18" s="19" t="s">
        <v>11</v>
      </c>
      <c r="J18" s="19" t="s">
        <v>25</v>
      </c>
      <c r="K18" s="21" t="s">
        <v>26</v>
      </c>
    </row>
    <row r="19" spans="1:11" ht="15.75" x14ac:dyDescent="0.25">
      <c r="A19" s="8">
        <v>1</v>
      </c>
      <c r="B19" s="8" t="s">
        <v>567</v>
      </c>
      <c r="C19" s="75">
        <v>200000</v>
      </c>
      <c r="D19" s="5">
        <v>46205</v>
      </c>
      <c r="E19" s="8"/>
      <c r="F19" s="8"/>
      <c r="G19" s="22">
        <v>27</v>
      </c>
      <c r="H19" s="23"/>
      <c r="I19" s="24"/>
      <c r="J19" s="5">
        <v>46205</v>
      </c>
      <c r="K19" s="13" t="s">
        <v>572</v>
      </c>
    </row>
    <row r="20" spans="1:11" ht="18.75" x14ac:dyDescent="0.25">
      <c r="A20" s="8"/>
      <c r="B20" s="25" t="s">
        <v>27</v>
      </c>
      <c r="C20" s="83">
        <f>SUM(C19:C19)</f>
        <v>200000</v>
      </c>
      <c r="D20" s="3"/>
      <c r="E20" s="8"/>
      <c r="F20" s="8"/>
      <c r="G20" s="8"/>
      <c r="H20" s="27">
        <v>0</v>
      </c>
      <c r="I20" s="24"/>
      <c r="J20" s="3"/>
      <c r="K20" s="28"/>
    </row>
    <row r="21" spans="1:11" x14ac:dyDescent="0.25">
      <c r="C21" s="29"/>
      <c r="H21" s="29"/>
    </row>
    <row r="22" spans="1:11" ht="16.5" x14ac:dyDescent="0.3">
      <c r="B22" s="30" t="s">
        <v>28</v>
      </c>
      <c r="C22" s="76">
        <f>SUM(C10,C11,C12,C13)</f>
        <v>5426</v>
      </c>
      <c r="E22" s="32"/>
      <c r="F22" s="32"/>
      <c r="G22" s="116"/>
      <c r="H22" s="116"/>
    </row>
    <row r="23" spans="1:11" ht="16.5" x14ac:dyDescent="0.3">
      <c r="B23" s="33" t="s">
        <v>29</v>
      </c>
      <c r="C23" s="77">
        <f>SUM(C15,C14,C9)</f>
        <v>4600</v>
      </c>
      <c r="E23" s="35"/>
      <c r="F23" s="35"/>
      <c r="G23" s="36" t="s">
        <v>30</v>
      </c>
      <c r="H23" s="37"/>
    </row>
    <row r="24" spans="1:11" ht="24" x14ac:dyDescent="0.4">
      <c r="B24" s="38" t="s">
        <v>31</v>
      </c>
      <c r="C24" s="78">
        <v>0</v>
      </c>
      <c r="E24" s="40" t="s">
        <v>32</v>
      </c>
      <c r="F24" s="41"/>
      <c r="G24" s="42"/>
      <c r="H24" s="43"/>
      <c r="I24" s="42"/>
      <c r="J24" s="44"/>
    </row>
    <row r="25" spans="1:11" ht="18.75" x14ac:dyDescent="0.3">
      <c r="B25" s="45" t="s">
        <v>16</v>
      </c>
      <c r="C25" s="79">
        <f>SUM(C22,C23,C24)</f>
        <v>10026</v>
      </c>
      <c r="G25" s="36"/>
      <c r="H25" s="37"/>
      <c r="I25" s="36"/>
      <c r="J25" s="36"/>
    </row>
  </sheetData>
  <mergeCells count="6">
    <mergeCell ref="G22:H22"/>
    <mergeCell ref="A1:K1"/>
    <mergeCell ref="A2:K2"/>
    <mergeCell ref="A3:K3"/>
    <mergeCell ref="A8:K8"/>
    <mergeCell ref="A17:K17"/>
  </mergeCells>
  <pageMargins left="0.59055118110236215" right="0.15748031496062992" top="0.47244094488188976" bottom="0.23622047244094488" header="0.31496062992125984" footer="0.31496062992125984"/>
  <pageSetup scale="85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69A5A-9AC9-4B56-9E42-0C12D37F23D2}">
  <sheetPr>
    <pageSetUpPr fitToPage="1"/>
  </sheetPr>
  <dimension ref="A1:K30"/>
  <sheetViews>
    <sheetView topLeftCell="A9" workbookViewId="0">
      <selection activeCell="M19" sqref="M19"/>
    </sheetView>
  </sheetViews>
  <sheetFormatPr defaultRowHeight="15" x14ac:dyDescent="0.25"/>
  <cols>
    <col min="1" max="1" width="4.42578125" bestFit="1" customWidth="1"/>
    <col min="2" max="2" width="20.140625" bestFit="1" customWidth="1"/>
    <col min="3" max="3" width="12.710937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9.42578125" customWidth="1"/>
    <col min="11" max="11" width="30.85546875" customWidth="1"/>
  </cols>
  <sheetData>
    <row r="1" spans="1:11" ht="48.75" x14ac:dyDescent="0.25">
      <c r="A1" s="128" t="s">
        <v>458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568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7827</v>
      </c>
      <c r="D5" s="5">
        <v>46206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46205</v>
      </c>
      <c r="K5" s="8" t="s">
        <v>33</v>
      </c>
    </row>
    <row r="6" spans="1:11" ht="15.75" x14ac:dyDescent="0.25">
      <c r="A6" s="3">
        <v>2</v>
      </c>
      <c r="B6" s="3" t="s">
        <v>51</v>
      </c>
      <c r="C6" s="80">
        <v>2165.2600000000002</v>
      </c>
      <c r="D6" s="5">
        <v>46206</v>
      </c>
      <c r="E6" s="6">
        <v>0</v>
      </c>
      <c r="F6" s="3" t="s">
        <v>14</v>
      </c>
      <c r="G6" s="49">
        <v>0</v>
      </c>
      <c r="H6" s="7">
        <v>0</v>
      </c>
      <c r="I6" s="3" t="s">
        <v>15</v>
      </c>
      <c r="J6" s="5">
        <f>+D6-1</f>
        <v>46205</v>
      </c>
      <c r="K6" s="8" t="s">
        <v>33</v>
      </c>
    </row>
    <row r="7" spans="1:11" ht="18.75" x14ac:dyDescent="0.3">
      <c r="A7" s="9"/>
      <c r="B7" s="10" t="s">
        <v>16</v>
      </c>
      <c r="C7" s="81">
        <f>SUM(C5:C6)</f>
        <v>9992.26</v>
      </c>
      <c r="D7" s="3"/>
      <c r="E7" s="12"/>
      <c r="F7" s="9"/>
      <c r="G7" s="13"/>
      <c r="H7" s="11">
        <f>SUM(H5:H5)</f>
        <v>0</v>
      </c>
      <c r="I7" s="9"/>
      <c r="J7" s="9"/>
      <c r="K7" s="9"/>
    </row>
    <row r="9" spans="1:11" ht="24" x14ac:dyDescent="0.4">
      <c r="A9" s="122" t="s">
        <v>17</v>
      </c>
      <c r="B9" s="123"/>
      <c r="C9" s="123"/>
      <c r="D9" s="123"/>
      <c r="E9" s="123"/>
      <c r="F9" s="123"/>
      <c r="G9" s="123"/>
      <c r="H9" s="123"/>
      <c r="I9" s="123"/>
      <c r="J9" s="123"/>
      <c r="K9" s="124"/>
    </row>
    <row r="10" spans="1:11" ht="15.75" x14ac:dyDescent="0.25">
      <c r="A10" s="3">
        <v>1</v>
      </c>
      <c r="B10" s="3" t="s">
        <v>573</v>
      </c>
      <c r="C10" s="80">
        <v>2820</v>
      </c>
      <c r="D10" s="5">
        <v>46206</v>
      </c>
      <c r="E10" s="14">
        <v>0</v>
      </c>
      <c r="F10" s="13" t="s">
        <v>18</v>
      </c>
      <c r="G10" s="55">
        <v>1323</v>
      </c>
      <c r="H10" s="16">
        <v>0</v>
      </c>
      <c r="I10" s="3" t="s">
        <v>19</v>
      </c>
      <c r="J10" s="5">
        <f t="shared" ref="J10:J20" si="0">+D10+1</f>
        <v>46207</v>
      </c>
      <c r="K10" s="13" t="s">
        <v>115</v>
      </c>
    </row>
    <row r="11" spans="1:11" ht="15.75" x14ac:dyDescent="0.25">
      <c r="A11" s="3">
        <v>2</v>
      </c>
      <c r="B11" s="3" t="s">
        <v>574</v>
      </c>
      <c r="C11" s="80">
        <v>600</v>
      </c>
      <c r="D11" s="5">
        <f t="shared" ref="D11:D20" si="1">+D10</f>
        <v>46206</v>
      </c>
      <c r="E11" s="14">
        <v>0</v>
      </c>
      <c r="F11" s="13" t="s">
        <v>18</v>
      </c>
      <c r="G11" s="55">
        <v>1524</v>
      </c>
      <c r="H11" s="16">
        <v>0</v>
      </c>
      <c r="I11" s="3" t="s">
        <v>15</v>
      </c>
      <c r="J11" s="5">
        <f t="shared" si="0"/>
        <v>46207</v>
      </c>
      <c r="K11" s="13" t="s">
        <v>115</v>
      </c>
    </row>
    <row r="12" spans="1:11" ht="15.75" x14ac:dyDescent="0.25">
      <c r="A12" s="3">
        <v>3</v>
      </c>
      <c r="B12" s="3" t="s">
        <v>575</v>
      </c>
      <c r="C12" s="80">
        <v>700</v>
      </c>
      <c r="D12" s="5">
        <f t="shared" si="1"/>
        <v>46206</v>
      </c>
      <c r="E12" s="14">
        <v>0</v>
      </c>
      <c r="F12" s="13" t="s">
        <v>18</v>
      </c>
      <c r="G12" s="55">
        <v>6377</v>
      </c>
      <c r="H12" s="16">
        <v>0</v>
      </c>
      <c r="I12" s="3" t="s">
        <v>15</v>
      </c>
      <c r="J12" s="5">
        <f t="shared" si="0"/>
        <v>46207</v>
      </c>
      <c r="K12" s="13" t="s">
        <v>115</v>
      </c>
    </row>
    <row r="13" spans="1:11" ht="15.75" x14ac:dyDescent="0.25">
      <c r="A13" s="3">
        <v>4</v>
      </c>
      <c r="B13" s="3" t="s">
        <v>576</v>
      </c>
      <c r="C13" s="80">
        <v>98</v>
      </c>
      <c r="D13" s="5">
        <f t="shared" si="1"/>
        <v>46206</v>
      </c>
      <c r="E13" s="14">
        <v>0</v>
      </c>
      <c r="F13" s="13" t="s">
        <v>18</v>
      </c>
      <c r="G13" s="55">
        <v>5131</v>
      </c>
      <c r="H13" s="16">
        <v>0</v>
      </c>
      <c r="I13" s="3" t="s">
        <v>15</v>
      </c>
      <c r="J13" s="5">
        <f t="shared" si="0"/>
        <v>46207</v>
      </c>
      <c r="K13" s="13" t="s">
        <v>187</v>
      </c>
    </row>
    <row r="14" spans="1:11" ht="15.75" x14ac:dyDescent="0.25">
      <c r="A14" s="3">
        <v>5</v>
      </c>
      <c r="B14" s="3" t="s">
        <v>235</v>
      </c>
      <c r="C14" s="80">
        <v>18534</v>
      </c>
      <c r="D14" s="5">
        <f t="shared" si="1"/>
        <v>46206</v>
      </c>
      <c r="E14" s="14">
        <v>0</v>
      </c>
      <c r="F14" s="13" t="s">
        <v>18</v>
      </c>
      <c r="G14" s="55">
        <v>7266</v>
      </c>
      <c r="H14" s="16">
        <v>0</v>
      </c>
      <c r="I14" s="3" t="s">
        <v>15</v>
      </c>
      <c r="J14" s="5">
        <f t="shared" si="0"/>
        <v>46207</v>
      </c>
      <c r="K14" s="13" t="s">
        <v>102</v>
      </c>
    </row>
    <row r="15" spans="1:11" ht="15.75" x14ac:dyDescent="0.25">
      <c r="A15" s="3">
        <v>6</v>
      </c>
      <c r="B15" s="3" t="s">
        <v>334</v>
      </c>
      <c r="C15" s="80">
        <v>3000</v>
      </c>
      <c r="D15" s="5">
        <f t="shared" si="1"/>
        <v>46206</v>
      </c>
      <c r="E15" s="14">
        <v>0</v>
      </c>
      <c r="F15" s="13" t="s">
        <v>18</v>
      </c>
      <c r="G15" s="55">
        <v>4407</v>
      </c>
      <c r="H15" s="16">
        <v>0</v>
      </c>
      <c r="I15" s="3" t="s">
        <v>15</v>
      </c>
      <c r="J15" s="5">
        <f t="shared" si="0"/>
        <v>46207</v>
      </c>
      <c r="K15" s="13" t="s">
        <v>102</v>
      </c>
    </row>
    <row r="16" spans="1:11" ht="15.75" x14ac:dyDescent="0.25">
      <c r="A16" s="3">
        <v>7</v>
      </c>
      <c r="B16" s="3" t="s">
        <v>577</v>
      </c>
      <c r="C16" s="80">
        <v>500</v>
      </c>
      <c r="D16" s="5">
        <f t="shared" si="1"/>
        <v>46206</v>
      </c>
      <c r="E16" s="14">
        <v>0</v>
      </c>
      <c r="F16" s="13" t="s">
        <v>18</v>
      </c>
      <c r="G16" s="55">
        <v>3396</v>
      </c>
      <c r="H16" s="16">
        <v>0</v>
      </c>
      <c r="I16" s="3" t="s">
        <v>15</v>
      </c>
      <c r="J16" s="5">
        <f t="shared" si="0"/>
        <v>46207</v>
      </c>
      <c r="K16" s="13" t="s">
        <v>102</v>
      </c>
    </row>
    <row r="17" spans="1:11" ht="15.75" x14ac:dyDescent="0.25">
      <c r="A17" s="3">
        <v>8</v>
      </c>
      <c r="B17" s="3" t="s">
        <v>578</v>
      </c>
      <c r="C17" s="80">
        <v>1180</v>
      </c>
      <c r="D17" s="5">
        <f t="shared" si="1"/>
        <v>46206</v>
      </c>
      <c r="E17" s="14">
        <v>0</v>
      </c>
      <c r="F17" s="13" t="s">
        <v>18</v>
      </c>
      <c r="G17" s="55">
        <v>6408</v>
      </c>
      <c r="H17" s="16">
        <v>0</v>
      </c>
      <c r="I17" s="3" t="s">
        <v>15</v>
      </c>
      <c r="J17" s="5">
        <f t="shared" si="0"/>
        <v>46207</v>
      </c>
      <c r="K17" s="13" t="s">
        <v>115</v>
      </c>
    </row>
    <row r="18" spans="1:11" ht="15.75" x14ac:dyDescent="0.25">
      <c r="A18" s="3">
        <v>9</v>
      </c>
      <c r="B18" s="3" t="s">
        <v>577</v>
      </c>
      <c r="C18" s="80">
        <v>9150</v>
      </c>
      <c r="D18" s="5">
        <f t="shared" si="1"/>
        <v>46206</v>
      </c>
      <c r="E18" s="14">
        <v>0</v>
      </c>
      <c r="F18" s="13" t="s">
        <v>18</v>
      </c>
      <c r="G18" s="55">
        <v>6197</v>
      </c>
      <c r="H18" s="16">
        <v>0</v>
      </c>
      <c r="I18" s="3" t="s">
        <v>15</v>
      </c>
      <c r="J18" s="5">
        <f t="shared" si="0"/>
        <v>46207</v>
      </c>
      <c r="K18" s="13" t="s">
        <v>102</v>
      </c>
    </row>
    <row r="19" spans="1:11" ht="15.75" x14ac:dyDescent="0.25">
      <c r="A19" s="3">
        <v>10</v>
      </c>
      <c r="B19" s="3" t="s">
        <v>579</v>
      </c>
      <c r="C19" s="80">
        <v>400</v>
      </c>
      <c r="D19" s="5">
        <f t="shared" si="1"/>
        <v>46206</v>
      </c>
      <c r="E19" s="14">
        <v>0</v>
      </c>
      <c r="F19" s="13" t="s">
        <v>18</v>
      </c>
      <c r="G19" s="55">
        <v>1429</v>
      </c>
      <c r="H19" s="16">
        <v>0</v>
      </c>
      <c r="I19" s="3" t="s">
        <v>15</v>
      </c>
      <c r="J19" s="5">
        <f t="shared" si="0"/>
        <v>46207</v>
      </c>
      <c r="K19" s="13" t="s">
        <v>115</v>
      </c>
    </row>
    <row r="20" spans="1:11" ht="15.75" x14ac:dyDescent="0.25">
      <c r="A20" s="3">
        <v>11</v>
      </c>
      <c r="B20" s="3" t="s">
        <v>580</v>
      </c>
      <c r="C20" s="80">
        <v>5000</v>
      </c>
      <c r="D20" s="5">
        <f t="shared" si="1"/>
        <v>46206</v>
      </c>
      <c r="E20" s="14">
        <v>0</v>
      </c>
      <c r="F20" s="13" t="s">
        <v>18</v>
      </c>
      <c r="G20" s="55">
        <v>3082</v>
      </c>
      <c r="H20" s="16">
        <v>0</v>
      </c>
      <c r="I20" s="3" t="s">
        <v>15</v>
      </c>
      <c r="J20" s="5">
        <f t="shared" si="0"/>
        <v>46207</v>
      </c>
      <c r="K20" s="13" t="s">
        <v>551</v>
      </c>
    </row>
    <row r="21" spans="1:11" ht="18.75" x14ac:dyDescent="0.3">
      <c r="A21" s="3"/>
      <c r="B21" s="17" t="s">
        <v>16</v>
      </c>
      <c r="C21" s="82">
        <f>SUM(C10:C20)</f>
        <v>41982</v>
      </c>
      <c r="D21" s="3"/>
      <c r="E21" s="3"/>
      <c r="F21" s="13"/>
      <c r="G21" s="13"/>
      <c r="H21" s="11"/>
      <c r="I21" s="3"/>
      <c r="J21" s="3"/>
      <c r="K21" s="3"/>
    </row>
    <row r="22" spans="1:11" ht="24.75" x14ac:dyDescent="0.5">
      <c r="A22" s="125" t="s">
        <v>20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7"/>
    </row>
    <row r="23" spans="1:11" ht="18.75" x14ac:dyDescent="0.3">
      <c r="A23" s="19" t="s">
        <v>3</v>
      </c>
      <c r="B23" s="19" t="s">
        <v>21</v>
      </c>
      <c r="C23" s="50" t="s">
        <v>5</v>
      </c>
      <c r="D23" s="1" t="s">
        <v>22</v>
      </c>
      <c r="E23" s="19" t="s">
        <v>7</v>
      </c>
      <c r="F23" s="19" t="s">
        <v>8</v>
      </c>
      <c r="G23" s="19" t="s">
        <v>23</v>
      </c>
      <c r="H23" s="20" t="s">
        <v>24</v>
      </c>
      <c r="I23" s="19" t="s">
        <v>11</v>
      </c>
      <c r="J23" s="19" t="s">
        <v>25</v>
      </c>
      <c r="K23" s="21" t="s">
        <v>26</v>
      </c>
    </row>
    <row r="24" spans="1:11" ht="15.75" x14ac:dyDescent="0.25">
      <c r="A24" s="8">
        <v>1</v>
      </c>
      <c r="B24" s="8" t="s">
        <v>41</v>
      </c>
      <c r="C24" s="75">
        <v>19591</v>
      </c>
      <c r="D24" s="5">
        <v>46206</v>
      </c>
      <c r="E24" s="8"/>
      <c r="F24" s="8"/>
      <c r="G24" s="22"/>
      <c r="H24" s="23"/>
      <c r="I24" s="24"/>
      <c r="J24" s="5">
        <v>46206</v>
      </c>
      <c r="K24" s="13" t="s">
        <v>115</v>
      </c>
    </row>
    <row r="25" spans="1:11" ht="18.75" x14ac:dyDescent="0.25">
      <c r="A25" s="8"/>
      <c r="B25" s="25" t="s">
        <v>27</v>
      </c>
      <c r="C25" s="83">
        <f>SUM(C24:C24)</f>
        <v>19591</v>
      </c>
      <c r="D25" s="3"/>
      <c r="E25" s="8"/>
      <c r="F25" s="8"/>
      <c r="G25" s="8"/>
      <c r="H25" s="27">
        <v>0</v>
      </c>
      <c r="I25" s="24"/>
      <c r="J25" s="3"/>
      <c r="K25" s="28"/>
    </row>
    <row r="26" spans="1:11" x14ac:dyDescent="0.25">
      <c r="C26" s="29"/>
      <c r="H26" s="29"/>
    </row>
    <row r="27" spans="1:11" ht="16.5" x14ac:dyDescent="0.3">
      <c r="B27" s="30" t="s">
        <v>28</v>
      </c>
      <c r="C27" s="76">
        <f>SUM(C14,C15,C16,C18,C20)</f>
        <v>36184</v>
      </c>
      <c r="E27" s="32"/>
      <c r="F27" s="32"/>
      <c r="G27" s="116"/>
      <c r="H27" s="116"/>
    </row>
    <row r="28" spans="1:11" ht="16.5" x14ac:dyDescent="0.3">
      <c r="B28" s="33" t="s">
        <v>29</v>
      </c>
      <c r="C28" s="77">
        <f>SUM(C19,C17,C12,C11,C10)</f>
        <v>5700</v>
      </c>
      <c r="E28" s="35"/>
      <c r="F28" s="35"/>
      <c r="G28" s="36" t="s">
        <v>30</v>
      </c>
      <c r="H28" s="37"/>
    </row>
    <row r="29" spans="1:11" ht="24" x14ac:dyDescent="0.4">
      <c r="B29" s="38" t="s">
        <v>581</v>
      </c>
      <c r="C29" s="78">
        <f>SUM(C13)</f>
        <v>98</v>
      </c>
      <c r="E29" s="40" t="s">
        <v>32</v>
      </c>
      <c r="F29" s="41"/>
      <c r="G29" s="42"/>
      <c r="H29" s="43"/>
      <c r="I29" s="42"/>
      <c r="J29" s="44"/>
    </row>
    <row r="30" spans="1:11" ht="18.75" x14ac:dyDescent="0.3">
      <c r="B30" s="45" t="s">
        <v>16</v>
      </c>
      <c r="C30" s="79">
        <f>SUM(C27,C28,C29)</f>
        <v>41982</v>
      </c>
      <c r="G30" s="36"/>
      <c r="H30" s="37"/>
      <c r="I30" s="36"/>
      <c r="J30" s="36"/>
    </row>
  </sheetData>
  <mergeCells count="6">
    <mergeCell ref="G27:H27"/>
    <mergeCell ref="A1:K1"/>
    <mergeCell ref="A2:K2"/>
    <mergeCell ref="A3:K3"/>
    <mergeCell ref="A9:K9"/>
    <mergeCell ref="A22:K22"/>
  </mergeCells>
  <pageMargins left="0.59055118110236215" right="0.15748031496062992" top="0.47244094488188976" bottom="0.23622047244094488" header="0.31496062992125984" footer="0.31496062992125984"/>
  <pageSetup scale="91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32BE5-C4D9-42E3-B6CB-FC0D7ABFC375}">
  <sheetPr>
    <pageSetUpPr fitToPage="1"/>
  </sheetPr>
  <dimension ref="A1:K30"/>
  <sheetViews>
    <sheetView topLeftCell="A5" workbookViewId="0">
      <selection activeCell="N14" sqref="N14"/>
    </sheetView>
  </sheetViews>
  <sheetFormatPr defaultRowHeight="15" x14ac:dyDescent="0.25"/>
  <cols>
    <col min="1" max="1" width="4.42578125" bestFit="1" customWidth="1"/>
    <col min="2" max="2" width="23.42578125" customWidth="1"/>
    <col min="3" max="3" width="14.4257812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7.140625" customWidth="1"/>
  </cols>
  <sheetData>
    <row r="1" spans="1:11" ht="48.75" x14ac:dyDescent="0.25">
      <c r="A1" s="128" t="s">
        <v>458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569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32" t="s">
        <v>2</v>
      </c>
      <c r="B3" s="133"/>
      <c r="C3" s="133"/>
      <c r="D3" s="133"/>
      <c r="E3" s="133"/>
      <c r="F3" s="133"/>
      <c r="G3" s="133"/>
      <c r="H3" s="133"/>
      <c r="I3" s="133"/>
      <c r="J3" s="133"/>
      <c r="K3" s="134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38562</v>
      </c>
      <c r="D5" s="5">
        <v>46207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46206</v>
      </c>
      <c r="K5" s="8" t="s">
        <v>33</v>
      </c>
    </row>
    <row r="6" spans="1:11" ht="15.75" x14ac:dyDescent="0.25">
      <c r="A6" s="3">
        <v>2</v>
      </c>
      <c r="B6" s="3" t="s">
        <v>547</v>
      </c>
      <c r="C6" s="80">
        <v>73000</v>
      </c>
      <c r="D6" s="5">
        <v>46207</v>
      </c>
      <c r="E6" s="6">
        <v>0</v>
      </c>
      <c r="F6" s="3" t="s">
        <v>14</v>
      </c>
      <c r="G6" s="49">
        <v>0</v>
      </c>
      <c r="H6" s="7">
        <v>0</v>
      </c>
      <c r="I6" s="3" t="s">
        <v>15</v>
      </c>
      <c r="J6" s="5">
        <f>+D6-1</f>
        <v>46206</v>
      </c>
      <c r="K6" s="8" t="s">
        <v>46</v>
      </c>
    </row>
    <row r="7" spans="1:11" ht="18.75" x14ac:dyDescent="0.3">
      <c r="A7" s="9"/>
      <c r="B7" s="10" t="s">
        <v>16</v>
      </c>
      <c r="C7" s="81">
        <f>SUM(C5:C6)</f>
        <v>111562</v>
      </c>
      <c r="D7" s="3"/>
      <c r="E7" s="12"/>
      <c r="F7" s="9"/>
      <c r="G7" s="13"/>
      <c r="H7" s="11">
        <f>SUM(H5:H5)</f>
        <v>0</v>
      </c>
      <c r="I7" s="9"/>
      <c r="J7" s="9"/>
      <c r="K7" s="9"/>
    </row>
    <row r="9" spans="1:11" ht="24" x14ac:dyDescent="0.4">
      <c r="A9" s="122" t="s">
        <v>17</v>
      </c>
      <c r="B9" s="123"/>
      <c r="C9" s="123"/>
      <c r="D9" s="123"/>
      <c r="E9" s="123"/>
      <c r="F9" s="123"/>
      <c r="G9" s="123"/>
      <c r="H9" s="123"/>
      <c r="I9" s="123"/>
      <c r="J9" s="123"/>
      <c r="K9" s="124"/>
    </row>
    <row r="10" spans="1:11" ht="15.75" x14ac:dyDescent="0.25">
      <c r="A10" s="3">
        <v>1</v>
      </c>
      <c r="B10" s="3" t="s">
        <v>582</v>
      </c>
      <c r="C10" s="80">
        <v>1562</v>
      </c>
      <c r="D10" s="5">
        <v>46207</v>
      </c>
      <c r="E10" s="14">
        <v>0</v>
      </c>
      <c r="F10" s="13" t="s">
        <v>18</v>
      </c>
      <c r="G10" s="55">
        <v>3454</v>
      </c>
      <c r="H10" s="16">
        <v>0</v>
      </c>
      <c r="I10" s="3" t="s">
        <v>19</v>
      </c>
      <c r="J10" s="5">
        <f t="shared" ref="J10:J19" si="0">+D10+1</f>
        <v>46208</v>
      </c>
      <c r="K10" s="8" t="s">
        <v>592</v>
      </c>
    </row>
    <row r="11" spans="1:11" ht="15.75" x14ac:dyDescent="0.25">
      <c r="A11" s="3">
        <v>2</v>
      </c>
      <c r="B11" s="3" t="s">
        <v>583</v>
      </c>
      <c r="C11" s="80">
        <v>3000</v>
      </c>
      <c r="D11" s="5">
        <f t="shared" ref="D11:D19" si="1">+D10</f>
        <v>46207</v>
      </c>
      <c r="E11" s="14">
        <v>0</v>
      </c>
      <c r="F11" s="13" t="s">
        <v>18</v>
      </c>
      <c r="G11" s="55">
        <v>556</v>
      </c>
      <c r="H11" s="16">
        <v>0</v>
      </c>
      <c r="I11" s="3" t="s">
        <v>15</v>
      </c>
      <c r="J11" s="5">
        <f t="shared" si="0"/>
        <v>46208</v>
      </c>
      <c r="K11" s="13" t="s">
        <v>113</v>
      </c>
    </row>
    <row r="12" spans="1:11" ht="15.75" x14ac:dyDescent="0.25">
      <c r="A12" s="3">
        <v>3</v>
      </c>
      <c r="B12" s="3" t="s">
        <v>584</v>
      </c>
      <c r="C12" s="80">
        <v>550</v>
      </c>
      <c r="D12" s="5">
        <f t="shared" si="1"/>
        <v>46207</v>
      </c>
      <c r="E12" s="14">
        <v>0</v>
      </c>
      <c r="F12" s="13" t="s">
        <v>18</v>
      </c>
      <c r="G12" s="55">
        <v>9885</v>
      </c>
      <c r="H12" s="16">
        <v>0</v>
      </c>
      <c r="I12" s="3" t="s">
        <v>15</v>
      </c>
      <c r="J12" s="5">
        <f t="shared" si="0"/>
        <v>46208</v>
      </c>
      <c r="K12" s="13" t="s">
        <v>593</v>
      </c>
    </row>
    <row r="13" spans="1:11" ht="15.75" x14ac:dyDescent="0.25">
      <c r="A13" s="3">
        <v>4</v>
      </c>
      <c r="B13" s="3" t="s">
        <v>242</v>
      </c>
      <c r="C13" s="80">
        <v>1785</v>
      </c>
      <c r="D13" s="5">
        <f t="shared" si="1"/>
        <v>46207</v>
      </c>
      <c r="E13" s="14">
        <v>0</v>
      </c>
      <c r="F13" s="13" t="s">
        <v>18</v>
      </c>
      <c r="G13" s="55">
        <v>5789</v>
      </c>
      <c r="H13" s="16">
        <v>0</v>
      </c>
      <c r="I13" s="3" t="s">
        <v>15</v>
      </c>
      <c r="J13" s="5">
        <f t="shared" si="0"/>
        <v>46208</v>
      </c>
      <c r="K13" s="13" t="s">
        <v>115</v>
      </c>
    </row>
    <row r="14" spans="1:11" ht="15.75" x14ac:dyDescent="0.25">
      <c r="A14" s="3">
        <v>5</v>
      </c>
      <c r="B14" s="3" t="s">
        <v>585</v>
      </c>
      <c r="C14" s="80">
        <v>1360</v>
      </c>
      <c r="D14" s="5">
        <f t="shared" si="1"/>
        <v>46207</v>
      </c>
      <c r="E14" s="14">
        <v>0</v>
      </c>
      <c r="F14" s="13" t="s">
        <v>18</v>
      </c>
      <c r="G14" s="55">
        <v>3403</v>
      </c>
      <c r="H14" s="16">
        <v>0</v>
      </c>
      <c r="I14" s="3" t="s">
        <v>15</v>
      </c>
      <c r="J14" s="5">
        <f t="shared" si="0"/>
        <v>46208</v>
      </c>
      <c r="K14" s="13" t="s">
        <v>115</v>
      </c>
    </row>
    <row r="15" spans="1:11" ht="15.75" x14ac:dyDescent="0.25">
      <c r="A15" s="3">
        <v>6</v>
      </c>
      <c r="B15" s="3" t="s">
        <v>586</v>
      </c>
      <c r="C15" s="80">
        <v>800</v>
      </c>
      <c r="D15" s="5">
        <f t="shared" si="1"/>
        <v>46207</v>
      </c>
      <c r="E15" s="14">
        <v>0</v>
      </c>
      <c r="F15" s="13" t="s">
        <v>18</v>
      </c>
      <c r="G15" s="55">
        <v>5978</v>
      </c>
      <c r="H15" s="16">
        <v>0</v>
      </c>
      <c r="I15" s="3" t="s">
        <v>15</v>
      </c>
      <c r="J15" s="5">
        <f t="shared" si="0"/>
        <v>46208</v>
      </c>
      <c r="K15" s="13" t="s">
        <v>115</v>
      </c>
    </row>
    <row r="16" spans="1:11" ht="15.75" x14ac:dyDescent="0.25">
      <c r="A16" s="3">
        <v>7</v>
      </c>
      <c r="B16" s="3" t="s">
        <v>309</v>
      </c>
      <c r="C16" s="80">
        <v>9850</v>
      </c>
      <c r="D16" s="5">
        <f t="shared" si="1"/>
        <v>46207</v>
      </c>
      <c r="E16" s="14">
        <v>0</v>
      </c>
      <c r="F16" s="13" t="s">
        <v>18</v>
      </c>
      <c r="G16" s="55">
        <v>5711</v>
      </c>
      <c r="H16" s="16">
        <v>0</v>
      </c>
      <c r="I16" s="3" t="s">
        <v>15</v>
      </c>
      <c r="J16" s="5">
        <f t="shared" si="0"/>
        <v>46208</v>
      </c>
      <c r="K16" s="13" t="s">
        <v>115</v>
      </c>
    </row>
    <row r="17" spans="1:11" ht="15.75" x14ac:dyDescent="0.25">
      <c r="A17" s="3">
        <v>8</v>
      </c>
      <c r="B17" s="3" t="s">
        <v>587</v>
      </c>
      <c r="C17" s="80">
        <v>1795</v>
      </c>
      <c r="D17" s="5">
        <f t="shared" si="1"/>
        <v>46207</v>
      </c>
      <c r="E17" s="14">
        <v>0</v>
      </c>
      <c r="F17" s="13" t="s">
        <v>18</v>
      </c>
      <c r="G17" s="55">
        <v>6901</v>
      </c>
      <c r="H17" s="16">
        <v>0</v>
      </c>
      <c r="I17" s="3" t="s">
        <v>15</v>
      </c>
      <c r="J17" s="5">
        <f t="shared" si="0"/>
        <v>46208</v>
      </c>
      <c r="K17" s="13" t="s">
        <v>115</v>
      </c>
    </row>
    <row r="18" spans="1:11" ht="15.75" x14ac:dyDescent="0.25">
      <c r="A18" s="3">
        <v>9</v>
      </c>
      <c r="B18" s="3" t="s">
        <v>588</v>
      </c>
      <c r="C18" s="80">
        <v>680</v>
      </c>
      <c r="D18" s="5">
        <f t="shared" si="1"/>
        <v>46207</v>
      </c>
      <c r="E18" s="14">
        <v>0</v>
      </c>
      <c r="F18" s="13" t="s">
        <v>18</v>
      </c>
      <c r="G18" s="55">
        <v>3665</v>
      </c>
      <c r="H18" s="16">
        <v>0</v>
      </c>
      <c r="I18" s="3" t="s">
        <v>15</v>
      </c>
      <c r="J18" s="5">
        <f t="shared" si="0"/>
        <v>46208</v>
      </c>
      <c r="K18" s="13" t="s">
        <v>115</v>
      </c>
    </row>
    <row r="19" spans="1:11" ht="15.75" x14ac:dyDescent="0.25">
      <c r="A19" s="3">
        <v>10</v>
      </c>
      <c r="B19" s="3" t="s">
        <v>589</v>
      </c>
      <c r="C19" s="80">
        <v>5098</v>
      </c>
      <c r="D19" s="5">
        <f t="shared" si="1"/>
        <v>46207</v>
      </c>
      <c r="E19" s="14">
        <v>0</v>
      </c>
      <c r="F19" s="13" t="s">
        <v>18</v>
      </c>
      <c r="G19" s="55">
        <v>2002</v>
      </c>
      <c r="H19" s="16">
        <v>0</v>
      </c>
      <c r="I19" s="3" t="s">
        <v>15</v>
      </c>
      <c r="J19" s="5">
        <f t="shared" si="0"/>
        <v>46208</v>
      </c>
      <c r="K19" s="13" t="s">
        <v>102</v>
      </c>
    </row>
    <row r="20" spans="1:11" ht="18.75" x14ac:dyDescent="0.3">
      <c r="A20" s="3"/>
      <c r="B20" s="17" t="s">
        <v>16</v>
      </c>
      <c r="C20" s="82">
        <f>SUM(C10:C19)</f>
        <v>26480</v>
      </c>
      <c r="D20" s="3"/>
      <c r="E20" s="3"/>
      <c r="F20" s="13"/>
      <c r="G20" s="13"/>
      <c r="H20" s="11"/>
      <c r="I20" s="3"/>
      <c r="J20" s="3"/>
      <c r="K20" s="3"/>
    </row>
    <row r="21" spans="1:11" ht="24.75" x14ac:dyDescent="0.5">
      <c r="A21" s="125" t="s">
        <v>20</v>
      </c>
      <c r="B21" s="126"/>
      <c r="C21" s="126"/>
      <c r="D21" s="126"/>
      <c r="E21" s="126"/>
      <c r="F21" s="126"/>
      <c r="G21" s="126"/>
      <c r="H21" s="126"/>
      <c r="I21" s="126"/>
      <c r="J21" s="126"/>
      <c r="K21" s="127"/>
    </row>
    <row r="22" spans="1:11" ht="18.75" x14ac:dyDescent="0.3">
      <c r="A22" s="19" t="s">
        <v>3</v>
      </c>
      <c r="B22" s="19" t="s">
        <v>21</v>
      </c>
      <c r="C22" s="50" t="s">
        <v>5</v>
      </c>
      <c r="D22" s="1" t="s">
        <v>22</v>
      </c>
      <c r="E22" s="19" t="s">
        <v>7</v>
      </c>
      <c r="F22" s="19" t="s">
        <v>8</v>
      </c>
      <c r="G22" s="19" t="s">
        <v>23</v>
      </c>
      <c r="H22" s="20" t="s">
        <v>24</v>
      </c>
      <c r="I22" s="19" t="s">
        <v>11</v>
      </c>
      <c r="J22" s="19" t="s">
        <v>25</v>
      </c>
      <c r="K22" s="21" t="s">
        <v>26</v>
      </c>
    </row>
    <row r="23" spans="1:11" ht="15.75" x14ac:dyDescent="0.25">
      <c r="A23" s="8">
        <v>1</v>
      </c>
      <c r="B23" s="8" t="s">
        <v>590</v>
      </c>
      <c r="C23" s="75">
        <v>57841</v>
      </c>
      <c r="D23" s="5">
        <v>46207</v>
      </c>
      <c r="E23" s="8"/>
      <c r="F23" s="8"/>
      <c r="G23" s="22">
        <v>7396</v>
      </c>
      <c r="H23" s="23"/>
      <c r="I23" s="24"/>
      <c r="J23" s="5">
        <v>46207</v>
      </c>
      <c r="K23" s="13" t="s">
        <v>277</v>
      </c>
    </row>
    <row r="24" spans="1:11" ht="15.75" x14ac:dyDescent="0.25">
      <c r="A24" s="8">
        <v>2</v>
      </c>
      <c r="B24" s="8" t="s">
        <v>344</v>
      </c>
      <c r="C24" s="75">
        <v>16700</v>
      </c>
      <c r="D24" s="5">
        <v>46207</v>
      </c>
      <c r="E24" s="8"/>
      <c r="F24" s="8"/>
      <c r="G24" s="22">
        <v>1197</v>
      </c>
      <c r="H24" s="23"/>
      <c r="I24" s="24"/>
      <c r="J24" s="5">
        <v>46207</v>
      </c>
      <c r="K24" s="13" t="s">
        <v>591</v>
      </c>
    </row>
    <row r="25" spans="1:11" ht="18.75" x14ac:dyDescent="0.25">
      <c r="A25" s="8"/>
      <c r="B25" s="25" t="s">
        <v>27</v>
      </c>
      <c r="C25" s="83">
        <f>SUM(C23:C24)</f>
        <v>74541</v>
      </c>
      <c r="D25" s="3"/>
      <c r="E25" s="8"/>
      <c r="F25" s="8"/>
      <c r="G25" s="8"/>
      <c r="H25" s="27">
        <v>0</v>
      </c>
      <c r="I25" s="24"/>
      <c r="J25" s="3"/>
      <c r="K25" s="28"/>
    </row>
    <row r="26" spans="1:11" x14ac:dyDescent="0.25">
      <c r="C26" s="29"/>
      <c r="H26" s="29"/>
    </row>
    <row r="27" spans="1:11" ht="16.5" x14ac:dyDescent="0.3">
      <c r="B27" s="30" t="s">
        <v>28</v>
      </c>
      <c r="C27" s="76">
        <f>SUM(C11,C10,C12,C19)</f>
        <v>10210</v>
      </c>
      <c r="E27" s="32"/>
      <c r="F27" s="32"/>
      <c r="G27" s="116"/>
      <c r="H27" s="116"/>
    </row>
    <row r="28" spans="1:11" ht="16.5" x14ac:dyDescent="0.3">
      <c r="B28" s="33" t="s">
        <v>29</v>
      </c>
      <c r="C28" s="77">
        <f>SUM(C13,C14,C15,C16,C17,C18)</f>
        <v>16270</v>
      </c>
      <c r="E28" s="35"/>
      <c r="F28" s="35"/>
      <c r="G28" s="36" t="s">
        <v>30</v>
      </c>
      <c r="H28" s="37"/>
    </row>
    <row r="29" spans="1:11" ht="24" x14ac:dyDescent="0.4">
      <c r="B29" s="38" t="s">
        <v>31</v>
      </c>
      <c r="C29" s="77">
        <v>0</v>
      </c>
      <c r="E29" s="40" t="s">
        <v>32</v>
      </c>
      <c r="F29" s="41"/>
      <c r="G29" s="42"/>
      <c r="H29" s="43"/>
      <c r="I29" s="42"/>
      <c r="J29" s="44"/>
    </row>
    <row r="30" spans="1:11" ht="18.75" x14ac:dyDescent="0.3">
      <c r="B30" s="45" t="s">
        <v>16</v>
      </c>
      <c r="C30" s="79">
        <f>SUM(C27:C29)</f>
        <v>26480</v>
      </c>
      <c r="G30" s="36"/>
      <c r="H30" s="37"/>
      <c r="I30" s="36"/>
      <c r="J30" s="36"/>
    </row>
  </sheetData>
  <mergeCells count="6">
    <mergeCell ref="G27:H27"/>
    <mergeCell ref="A1:K1"/>
    <mergeCell ref="A2:K2"/>
    <mergeCell ref="A3:K3"/>
    <mergeCell ref="A9:K9"/>
    <mergeCell ref="A21:K21"/>
  </mergeCells>
  <pageMargins left="0.59055118110236215" right="0.15748031496062992" top="0.47244094488188976" bottom="0.23622047244094488" header="0.31496062992125984" footer="0.31496062992125984"/>
  <pageSetup scale="86"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3A56E-5510-47A4-BBFF-67A6E925D5FD}">
  <sheetPr>
    <pageSetUpPr fitToPage="1"/>
  </sheetPr>
  <dimension ref="A1:K24"/>
  <sheetViews>
    <sheetView topLeftCell="A6" workbookViewId="0">
      <selection activeCell="Q9" sqref="Q9"/>
    </sheetView>
  </sheetViews>
  <sheetFormatPr defaultRowHeight="15" x14ac:dyDescent="0.25"/>
  <cols>
    <col min="1" max="1" width="4.42578125" bestFit="1" customWidth="1"/>
    <col min="2" max="2" width="16.7109375" bestFit="1" customWidth="1"/>
    <col min="3" max="3" width="12.710937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5.5703125" customWidth="1"/>
  </cols>
  <sheetData>
    <row r="1" spans="1:11" ht="48.75" x14ac:dyDescent="0.25">
      <c r="A1" s="128" t="s">
        <v>458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597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10650</v>
      </c>
      <c r="D5" s="5">
        <v>46208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46207</v>
      </c>
      <c r="K5" s="8" t="s">
        <v>33</v>
      </c>
    </row>
    <row r="6" spans="1:11" ht="18.75" x14ac:dyDescent="0.3">
      <c r="A6" s="9"/>
      <c r="B6" s="10" t="s">
        <v>16</v>
      </c>
      <c r="C6" s="81">
        <f>SUM(C5:C5)</f>
        <v>10650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4" x14ac:dyDescent="0.4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75" x14ac:dyDescent="0.25">
      <c r="A9" s="3">
        <v>1</v>
      </c>
      <c r="B9" s="3" t="s">
        <v>434</v>
      </c>
      <c r="C9" s="80">
        <v>3200</v>
      </c>
      <c r="D9" s="5">
        <v>46208</v>
      </c>
      <c r="E9" s="14">
        <v>0</v>
      </c>
      <c r="F9" s="13" t="s">
        <v>18</v>
      </c>
      <c r="G9" s="55">
        <v>797</v>
      </c>
      <c r="H9" s="16">
        <v>0</v>
      </c>
      <c r="I9" s="3" t="s">
        <v>19</v>
      </c>
      <c r="J9" s="5">
        <f t="shared" ref="J9:J14" si="0">+D9+1</f>
        <v>46209</v>
      </c>
      <c r="K9" s="13" t="s">
        <v>600</v>
      </c>
    </row>
    <row r="10" spans="1:11" ht="15.75" x14ac:dyDescent="0.25">
      <c r="A10" s="3">
        <v>2</v>
      </c>
      <c r="B10" s="3" t="s">
        <v>594</v>
      </c>
      <c r="C10" s="80">
        <v>640</v>
      </c>
      <c r="D10" s="5">
        <f t="shared" ref="D10:D14" si="1">+D9</f>
        <v>46208</v>
      </c>
      <c r="E10" s="14">
        <v>0</v>
      </c>
      <c r="F10" s="13" t="s">
        <v>18</v>
      </c>
      <c r="G10" s="55">
        <v>1571</v>
      </c>
      <c r="H10" s="16">
        <v>0</v>
      </c>
      <c r="I10" s="3" t="s">
        <v>19</v>
      </c>
      <c r="J10" s="5">
        <f t="shared" si="0"/>
        <v>46209</v>
      </c>
      <c r="K10" s="13" t="s">
        <v>599</v>
      </c>
    </row>
    <row r="11" spans="1:11" ht="15.75" x14ac:dyDescent="0.25">
      <c r="A11" s="3">
        <v>3</v>
      </c>
      <c r="B11" s="3" t="s">
        <v>595</v>
      </c>
      <c r="C11" s="80">
        <v>5</v>
      </c>
      <c r="D11" s="5">
        <f t="shared" si="1"/>
        <v>46208</v>
      </c>
      <c r="E11" s="14">
        <v>0</v>
      </c>
      <c r="F11" s="13" t="s">
        <v>18</v>
      </c>
      <c r="G11" s="55">
        <v>9660</v>
      </c>
      <c r="H11" s="16">
        <v>0</v>
      </c>
      <c r="I11" s="3" t="s">
        <v>15</v>
      </c>
      <c r="J11" s="5">
        <f t="shared" si="0"/>
        <v>46209</v>
      </c>
      <c r="K11" s="13" t="s">
        <v>115</v>
      </c>
    </row>
    <row r="12" spans="1:11" ht="15.75" x14ac:dyDescent="0.25">
      <c r="A12" s="3">
        <v>4</v>
      </c>
      <c r="B12" s="3" t="s">
        <v>596</v>
      </c>
      <c r="C12" s="80">
        <v>530</v>
      </c>
      <c r="D12" s="5">
        <f t="shared" si="1"/>
        <v>46208</v>
      </c>
      <c r="E12" s="14">
        <v>0</v>
      </c>
      <c r="F12" s="13" t="s">
        <v>18</v>
      </c>
      <c r="G12" s="55">
        <v>664</v>
      </c>
      <c r="H12" s="16">
        <v>0</v>
      </c>
      <c r="I12" s="3" t="s">
        <v>15</v>
      </c>
      <c r="J12" s="5">
        <f t="shared" si="0"/>
        <v>46209</v>
      </c>
      <c r="K12" s="13" t="s">
        <v>115</v>
      </c>
    </row>
    <row r="13" spans="1:11" ht="15.75" x14ac:dyDescent="0.25">
      <c r="A13" s="3">
        <v>5</v>
      </c>
      <c r="B13" s="3" t="s">
        <v>235</v>
      </c>
      <c r="C13" s="80">
        <v>4400</v>
      </c>
      <c r="D13" s="5">
        <f t="shared" si="1"/>
        <v>46208</v>
      </c>
      <c r="E13" s="14">
        <v>0</v>
      </c>
      <c r="F13" s="13" t="s">
        <v>18</v>
      </c>
      <c r="G13" s="55">
        <v>34</v>
      </c>
      <c r="H13" s="16">
        <v>0</v>
      </c>
      <c r="I13" s="3" t="s">
        <v>15</v>
      </c>
      <c r="J13" s="5">
        <f t="shared" si="0"/>
        <v>46209</v>
      </c>
      <c r="K13" s="13" t="s">
        <v>115</v>
      </c>
    </row>
    <row r="14" spans="1:11" ht="15.75" x14ac:dyDescent="0.25">
      <c r="A14" s="3">
        <v>6</v>
      </c>
      <c r="B14" s="3" t="s">
        <v>140</v>
      </c>
      <c r="C14" s="80">
        <v>4500</v>
      </c>
      <c r="D14" s="5">
        <f t="shared" si="1"/>
        <v>46208</v>
      </c>
      <c r="E14" s="14">
        <v>0</v>
      </c>
      <c r="F14" s="13" t="s">
        <v>18</v>
      </c>
      <c r="G14" s="55">
        <v>8240</v>
      </c>
      <c r="H14" s="16">
        <v>0</v>
      </c>
      <c r="I14" s="3" t="s">
        <v>15</v>
      </c>
      <c r="J14" s="5">
        <f t="shared" si="0"/>
        <v>46209</v>
      </c>
      <c r="K14" s="13" t="s">
        <v>115</v>
      </c>
    </row>
    <row r="15" spans="1:11" ht="18.75" x14ac:dyDescent="0.3">
      <c r="A15" s="3"/>
      <c r="B15" s="17" t="s">
        <v>16</v>
      </c>
      <c r="C15" s="82">
        <f>SUM(C9:C14)</f>
        <v>13275</v>
      </c>
      <c r="D15" s="3"/>
      <c r="E15" s="3"/>
      <c r="F15" s="13"/>
      <c r="G15" s="13"/>
      <c r="H15" s="11"/>
      <c r="I15" s="3"/>
      <c r="J15" s="3"/>
      <c r="K15" s="3"/>
    </row>
    <row r="16" spans="1:11" ht="24.75" x14ac:dyDescent="0.5">
      <c r="A16" s="125" t="s">
        <v>20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7"/>
    </row>
    <row r="17" spans="1:11" ht="18.75" x14ac:dyDescent="0.3">
      <c r="A17" s="19" t="s">
        <v>3</v>
      </c>
      <c r="B17" s="19" t="s">
        <v>21</v>
      </c>
      <c r="C17" s="50" t="s">
        <v>5</v>
      </c>
      <c r="D17" s="1" t="s">
        <v>22</v>
      </c>
      <c r="E17" s="19" t="s">
        <v>7</v>
      </c>
      <c r="F17" s="19" t="s">
        <v>8</v>
      </c>
      <c r="G17" s="19" t="s">
        <v>23</v>
      </c>
      <c r="H17" s="20" t="s">
        <v>24</v>
      </c>
      <c r="I17" s="19" t="s">
        <v>11</v>
      </c>
      <c r="J17" s="19" t="s">
        <v>25</v>
      </c>
      <c r="K17" s="21" t="s">
        <v>26</v>
      </c>
    </row>
    <row r="18" spans="1:11" ht="15.75" x14ac:dyDescent="0.25">
      <c r="A18" s="8">
        <v>1</v>
      </c>
      <c r="B18" s="8" t="s">
        <v>476</v>
      </c>
      <c r="C18" s="84">
        <v>3000</v>
      </c>
      <c r="D18" s="5">
        <v>46208</v>
      </c>
      <c r="E18" s="8"/>
      <c r="F18" s="8"/>
      <c r="G18" s="22">
        <v>3329</v>
      </c>
      <c r="H18" s="23"/>
      <c r="I18" s="24"/>
      <c r="J18" s="3"/>
      <c r="K18" s="13" t="s">
        <v>598</v>
      </c>
    </row>
    <row r="19" spans="1:11" ht="18.75" x14ac:dyDescent="0.25">
      <c r="A19" s="8"/>
      <c r="B19" s="25" t="s">
        <v>27</v>
      </c>
      <c r="C19" s="83">
        <f>SUM(C18:C18)</f>
        <v>3000</v>
      </c>
      <c r="D19" s="3"/>
      <c r="E19" s="8"/>
      <c r="F19" s="8"/>
      <c r="G19" s="8"/>
      <c r="H19" s="27">
        <v>0</v>
      </c>
      <c r="I19" s="24"/>
      <c r="J19" s="3"/>
      <c r="K19" s="28"/>
    </row>
    <row r="20" spans="1:11" x14ac:dyDescent="0.25">
      <c r="C20" s="29"/>
      <c r="H20" s="29"/>
    </row>
    <row r="21" spans="1:11" ht="16.5" x14ac:dyDescent="0.3">
      <c r="B21" s="30" t="s">
        <v>28</v>
      </c>
      <c r="C21" s="76">
        <f>SUM(C10)</f>
        <v>640</v>
      </c>
      <c r="E21" s="32"/>
      <c r="F21" s="32"/>
      <c r="G21" s="116"/>
      <c r="H21" s="116"/>
    </row>
    <row r="22" spans="1:11" ht="16.5" x14ac:dyDescent="0.3">
      <c r="B22" s="33" t="s">
        <v>29</v>
      </c>
      <c r="C22" s="77">
        <f>SUM(C14,C13,C12,C11,C9)</f>
        <v>12635</v>
      </c>
      <c r="E22" s="35"/>
      <c r="F22" s="35"/>
      <c r="G22" s="36" t="s">
        <v>30</v>
      </c>
      <c r="H22" s="37"/>
    </row>
    <row r="23" spans="1:11" ht="24" x14ac:dyDescent="0.4">
      <c r="B23" s="38" t="s">
        <v>31</v>
      </c>
      <c r="C23" s="78">
        <v>0</v>
      </c>
      <c r="E23" s="40" t="s">
        <v>32</v>
      </c>
      <c r="F23" s="41"/>
      <c r="G23" s="42"/>
      <c r="H23" s="43"/>
      <c r="I23" s="42"/>
      <c r="J23" s="44"/>
    </row>
    <row r="24" spans="1:11" ht="18.75" x14ac:dyDescent="0.3">
      <c r="B24" s="45" t="s">
        <v>16</v>
      </c>
      <c r="C24" s="79">
        <f>SUM(C21:C23)</f>
        <v>13275</v>
      </c>
      <c r="G24" s="36"/>
      <c r="H24" s="37"/>
      <c r="I24" s="36"/>
      <c r="J24" s="36"/>
    </row>
  </sheetData>
  <mergeCells count="6">
    <mergeCell ref="G21:H21"/>
    <mergeCell ref="A1:K1"/>
    <mergeCell ref="A2:K2"/>
    <mergeCell ref="A3:K3"/>
    <mergeCell ref="A8:K8"/>
    <mergeCell ref="A16:K16"/>
  </mergeCells>
  <pageMargins left="0.59055118110236215" right="0.15748031496062992" top="0.47244094488188976" bottom="0.23622047244094488" header="0.31496062992125984" footer="0.31496062992125984"/>
  <pageSetup scale="92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44FDC-42A1-4BD4-8FC8-A4C58E585794}">
  <sheetPr>
    <pageSetUpPr fitToPage="1"/>
  </sheetPr>
  <dimension ref="A1:K36"/>
  <sheetViews>
    <sheetView topLeftCell="A15" workbookViewId="0">
      <selection activeCell="M33" sqref="M33"/>
    </sheetView>
  </sheetViews>
  <sheetFormatPr defaultRowHeight="15" x14ac:dyDescent="0.25"/>
  <cols>
    <col min="1" max="1" width="4.42578125" bestFit="1" customWidth="1"/>
    <col min="2" max="2" width="26.140625" bestFit="1" customWidth="1"/>
    <col min="3" max="3" width="14.4257812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32.7109375" customWidth="1"/>
  </cols>
  <sheetData>
    <row r="1" spans="1:11" ht="48.75" x14ac:dyDescent="0.25">
      <c r="A1" s="128" t="s">
        <v>458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612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46209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46208</v>
      </c>
      <c r="K5" s="8" t="s">
        <v>33</v>
      </c>
    </row>
    <row r="6" spans="1:11" ht="15.75" x14ac:dyDescent="0.25">
      <c r="A6" s="3">
        <v>2</v>
      </c>
      <c r="B6" s="3" t="s">
        <v>547</v>
      </c>
      <c r="C6" s="80">
        <v>48500</v>
      </c>
      <c r="D6" s="5">
        <v>46209</v>
      </c>
      <c r="E6" s="6">
        <v>0</v>
      </c>
      <c r="F6" s="3" t="s">
        <v>14</v>
      </c>
      <c r="G6" s="49">
        <v>4495</v>
      </c>
      <c r="H6" s="7">
        <v>0</v>
      </c>
      <c r="I6" s="3" t="s">
        <v>15</v>
      </c>
      <c r="J6" s="5">
        <f>+D6-1</f>
        <v>46208</v>
      </c>
      <c r="K6" s="8" t="s">
        <v>46</v>
      </c>
    </row>
    <row r="7" spans="1:11" ht="18.75" x14ac:dyDescent="0.3">
      <c r="A7" s="9"/>
      <c r="B7" s="10" t="s">
        <v>16</v>
      </c>
      <c r="C7" s="81">
        <f>SUM(C5:C6)</f>
        <v>48500</v>
      </c>
      <c r="D7" s="3"/>
      <c r="E7" s="12"/>
      <c r="F7" s="9"/>
      <c r="G7" s="13"/>
      <c r="H7" s="11">
        <f>SUM(H5:H5)</f>
        <v>0</v>
      </c>
      <c r="I7" s="9"/>
      <c r="J7" s="9"/>
      <c r="K7" s="9"/>
    </row>
    <row r="9" spans="1:11" ht="24" x14ac:dyDescent="0.4">
      <c r="A9" s="122" t="s">
        <v>17</v>
      </c>
      <c r="B9" s="123"/>
      <c r="C9" s="123"/>
      <c r="D9" s="123"/>
      <c r="E9" s="123"/>
      <c r="F9" s="123"/>
      <c r="G9" s="123"/>
      <c r="H9" s="123"/>
      <c r="I9" s="123"/>
      <c r="J9" s="123"/>
      <c r="K9" s="124"/>
    </row>
    <row r="10" spans="1:11" ht="15.75" x14ac:dyDescent="0.25">
      <c r="A10" s="3">
        <v>1</v>
      </c>
      <c r="B10" s="3" t="s">
        <v>602</v>
      </c>
      <c r="C10" s="80">
        <v>1900</v>
      </c>
      <c r="D10" s="5">
        <v>46209</v>
      </c>
      <c r="E10" s="14">
        <v>0</v>
      </c>
      <c r="F10" s="13" t="s">
        <v>18</v>
      </c>
      <c r="G10" s="55">
        <v>6527</v>
      </c>
      <c r="H10" s="16">
        <v>0</v>
      </c>
      <c r="I10" s="3" t="s">
        <v>19</v>
      </c>
      <c r="J10" s="5">
        <f t="shared" ref="J10:J23" si="0">+D10+1</f>
        <v>46210</v>
      </c>
      <c r="K10" s="13" t="s">
        <v>115</v>
      </c>
    </row>
    <row r="11" spans="1:11" ht="15.75" x14ac:dyDescent="0.25">
      <c r="A11" s="3">
        <v>2</v>
      </c>
      <c r="B11" s="3" t="s">
        <v>602</v>
      </c>
      <c r="C11" s="80">
        <v>5000</v>
      </c>
      <c r="D11" s="5">
        <f t="shared" ref="D11:D23" si="1">+D10</f>
        <v>46209</v>
      </c>
      <c r="E11" s="14">
        <v>0</v>
      </c>
      <c r="F11" s="13" t="s">
        <v>18</v>
      </c>
      <c r="G11" s="55">
        <v>2292</v>
      </c>
      <c r="H11" s="16">
        <v>0</v>
      </c>
      <c r="I11" s="3" t="s">
        <v>15</v>
      </c>
      <c r="J11" s="5">
        <f t="shared" si="0"/>
        <v>46210</v>
      </c>
      <c r="K11" s="13" t="s">
        <v>115</v>
      </c>
    </row>
    <row r="12" spans="1:11" ht="15.75" x14ac:dyDescent="0.25">
      <c r="A12" s="3">
        <v>3</v>
      </c>
      <c r="B12" s="3" t="s">
        <v>455</v>
      </c>
      <c r="C12" s="80">
        <v>750</v>
      </c>
      <c r="D12" s="5">
        <f t="shared" si="1"/>
        <v>46209</v>
      </c>
      <c r="E12" s="14">
        <v>0</v>
      </c>
      <c r="F12" s="13" t="s">
        <v>18</v>
      </c>
      <c r="G12" s="55">
        <v>819</v>
      </c>
      <c r="H12" s="16">
        <v>0</v>
      </c>
      <c r="I12" s="3" t="s">
        <v>15</v>
      </c>
      <c r="J12" s="5">
        <f t="shared" si="0"/>
        <v>46210</v>
      </c>
      <c r="K12" s="13" t="s">
        <v>115</v>
      </c>
    </row>
    <row r="13" spans="1:11" ht="15.75" x14ac:dyDescent="0.25">
      <c r="A13" s="3">
        <v>4</v>
      </c>
      <c r="B13" s="3" t="s">
        <v>603</v>
      </c>
      <c r="C13" s="80">
        <v>725</v>
      </c>
      <c r="D13" s="5">
        <f t="shared" si="1"/>
        <v>46209</v>
      </c>
      <c r="E13" s="14">
        <v>0</v>
      </c>
      <c r="F13" s="13" t="s">
        <v>18</v>
      </c>
      <c r="G13" s="55">
        <v>3069</v>
      </c>
      <c r="H13" s="16">
        <v>0</v>
      </c>
      <c r="I13" s="3" t="s">
        <v>15</v>
      </c>
      <c r="J13" s="5">
        <f t="shared" si="0"/>
        <v>46210</v>
      </c>
      <c r="K13" s="13" t="s">
        <v>115</v>
      </c>
    </row>
    <row r="14" spans="1:11" ht="15.75" x14ac:dyDescent="0.25">
      <c r="A14" s="3">
        <v>5</v>
      </c>
      <c r="B14" s="3" t="s">
        <v>604</v>
      </c>
      <c r="C14" s="80">
        <v>3060</v>
      </c>
      <c r="D14" s="5">
        <f t="shared" si="1"/>
        <v>46209</v>
      </c>
      <c r="E14" s="14">
        <v>0</v>
      </c>
      <c r="F14" s="13" t="s">
        <v>18</v>
      </c>
      <c r="G14" s="55">
        <v>2046</v>
      </c>
      <c r="H14" s="16">
        <v>0</v>
      </c>
      <c r="I14" s="3" t="s">
        <v>15</v>
      </c>
      <c r="J14" s="5">
        <f t="shared" si="0"/>
        <v>46210</v>
      </c>
      <c r="K14" s="13" t="s">
        <v>115</v>
      </c>
    </row>
    <row r="15" spans="1:11" ht="15.75" x14ac:dyDescent="0.25">
      <c r="A15" s="3">
        <v>6</v>
      </c>
      <c r="B15" s="3" t="s">
        <v>605</v>
      </c>
      <c r="C15" s="80">
        <v>1450</v>
      </c>
      <c r="D15" s="5">
        <f t="shared" si="1"/>
        <v>46209</v>
      </c>
      <c r="E15" s="14">
        <v>0</v>
      </c>
      <c r="F15" s="13" t="s">
        <v>18</v>
      </c>
      <c r="G15" s="55">
        <v>9308</v>
      </c>
      <c r="H15" s="16">
        <v>0</v>
      </c>
      <c r="I15" s="3" t="s">
        <v>15</v>
      </c>
      <c r="J15" s="5">
        <f t="shared" si="0"/>
        <v>46210</v>
      </c>
      <c r="K15" s="13" t="s">
        <v>115</v>
      </c>
    </row>
    <row r="16" spans="1:11" ht="15.75" x14ac:dyDescent="0.25">
      <c r="A16" s="3">
        <v>7</v>
      </c>
      <c r="B16" s="3" t="s">
        <v>606</v>
      </c>
      <c r="C16" s="80">
        <v>1010</v>
      </c>
      <c r="D16" s="5">
        <f t="shared" si="1"/>
        <v>46209</v>
      </c>
      <c r="E16" s="14">
        <v>0</v>
      </c>
      <c r="F16" s="13" t="s">
        <v>18</v>
      </c>
      <c r="G16" s="55">
        <v>4689</v>
      </c>
      <c r="H16" s="16">
        <v>0</v>
      </c>
      <c r="I16" s="3" t="s">
        <v>15</v>
      </c>
      <c r="J16" s="5">
        <f t="shared" si="0"/>
        <v>46210</v>
      </c>
      <c r="K16" s="13" t="s">
        <v>115</v>
      </c>
    </row>
    <row r="17" spans="1:11" ht="15.75" x14ac:dyDescent="0.25">
      <c r="A17" s="3">
        <v>8</v>
      </c>
      <c r="B17" s="3" t="s">
        <v>604</v>
      </c>
      <c r="C17" s="80">
        <v>3060</v>
      </c>
      <c r="D17" s="5">
        <f t="shared" si="1"/>
        <v>46209</v>
      </c>
      <c r="E17" s="14">
        <v>0</v>
      </c>
      <c r="F17" s="13" t="s">
        <v>18</v>
      </c>
      <c r="G17" s="55">
        <v>1126</v>
      </c>
      <c r="H17" s="16">
        <v>0</v>
      </c>
      <c r="I17" s="3" t="s">
        <v>15</v>
      </c>
      <c r="J17" s="5">
        <f t="shared" si="0"/>
        <v>46210</v>
      </c>
      <c r="K17" s="13" t="s">
        <v>115</v>
      </c>
    </row>
    <row r="18" spans="1:11" ht="15.75" x14ac:dyDescent="0.25">
      <c r="A18" s="3">
        <v>9</v>
      </c>
      <c r="B18" s="3" t="s">
        <v>607</v>
      </c>
      <c r="C18" s="80">
        <v>28200</v>
      </c>
      <c r="D18" s="5">
        <f t="shared" si="1"/>
        <v>46209</v>
      </c>
      <c r="E18" s="14">
        <v>0</v>
      </c>
      <c r="F18" s="13" t="s">
        <v>18</v>
      </c>
      <c r="G18" s="55">
        <v>8570</v>
      </c>
      <c r="H18" s="16">
        <v>0</v>
      </c>
      <c r="I18" s="3" t="s">
        <v>15</v>
      </c>
      <c r="J18" s="5">
        <f t="shared" si="0"/>
        <v>46210</v>
      </c>
      <c r="K18" s="13" t="s">
        <v>115</v>
      </c>
    </row>
    <row r="19" spans="1:11" ht="15.75" x14ac:dyDescent="0.25">
      <c r="A19" s="3">
        <v>10</v>
      </c>
      <c r="B19" s="3" t="s">
        <v>185</v>
      </c>
      <c r="C19" s="80">
        <v>1050</v>
      </c>
      <c r="D19" s="5">
        <f t="shared" si="1"/>
        <v>46209</v>
      </c>
      <c r="E19" s="14">
        <v>0</v>
      </c>
      <c r="F19" s="13" t="s">
        <v>18</v>
      </c>
      <c r="G19" s="55">
        <v>4376</v>
      </c>
      <c r="H19" s="16">
        <v>0</v>
      </c>
      <c r="I19" s="3" t="s">
        <v>15</v>
      </c>
      <c r="J19" s="5">
        <f t="shared" si="0"/>
        <v>46210</v>
      </c>
      <c r="K19" s="13" t="s">
        <v>611</v>
      </c>
    </row>
    <row r="20" spans="1:11" ht="15.75" x14ac:dyDescent="0.25">
      <c r="A20" s="3">
        <v>11</v>
      </c>
      <c r="B20" s="3" t="s">
        <v>235</v>
      </c>
      <c r="C20" s="80">
        <v>10000</v>
      </c>
      <c r="D20" s="5">
        <f t="shared" si="1"/>
        <v>46209</v>
      </c>
      <c r="E20" s="14">
        <v>0</v>
      </c>
      <c r="F20" s="13" t="s">
        <v>18</v>
      </c>
      <c r="G20" s="55">
        <v>3469</v>
      </c>
      <c r="H20" s="16">
        <v>0</v>
      </c>
      <c r="I20" s="3" t="s">
        <v>15</v>
      </c>
      <c r="J20" s="5">
        <f t="shared" si="0"/>
        <v>46210</v>
      </c>
      <c r="K20" s="13" t="s">
        <v>115</v>
      </c>
    </row>
    <row r="21" spans="1:11" ht="15.75" x14ac:dyDescent="0.25">
      <c r="A21" s="3">
        <v>12</v>
      </c>
      <c r="B21" s="3" t="s">
        <v>608</v>
      </c>
      <c r="C21" s="80">
        <v>2230</v>
      </c>
      <c r="D21" s="5">
        <f t="shared" si="1"/>
        <v>46209</v>
      </c>
      <c r="E21" s="14">
        <v>0</v>
      </c>
      <c r="F21" s="13" t="s">
        <v>18</v>
      </c>
      <c r="G21" s="55">
        <v>345</v>
      </c>
      <c r="H21" s="16">
        <v>0</v>
      </c>
      <c r="I21" s="3" t="s">
        <v>15</v>
      </c>
      <c r="J21" s="5">
        <f t="shared" si="0"/>
        <v>46210</v>
      </c>
      <c r="K21" s="13" t="s">
        <v>102</v>
      </c>
    </row>
    <row r="22" spans="1:11" ht="15.75" x14ac:dyDescent="0.25">
      <c r="A22" s="3">
        <v>13</v>
      </c>
      <c r="B22" s="3" t="s">
        <v>609</v>
      </c>
      <c r="C22" s="80">
        <v>215</v>
      </c>
      <c r="D22" s="5">
        <f t="shared" si="1"/>
        <v>46209</v>
      </c>
      <c r="E22" s="14">
        <v>0</v>
      </c>
      <c r="F22" s="13" t="s">
        <v>18</v>
      </c>
      <c r="G22" s="55">
        <v>3055</v>
      </c>
      <c r="H22" s="16">
        <v>0</v>
      </c>
      <c r="I22" s="3" t="s">
        <v>15</v>
      </c>
      <c r="J22" s="5">
        <f t="shared" si="0"/>
        <v>46210</v>
      </c>
      <c r="K22" s="13" t="s">
        <v>115</v>
      </c>
    </row>
    <row r="23" spans="1:11" ht="15.75" x14ac:dyDescent="0.25">
      <c r="A23" s="3">
        <v>14</v>
      </c>
      <c r="B23" s="3" t="s">
        <v>610</v>
      </c>
      <c r="C23" s="80">
        <v>5000</v>
      </c>
      <c r="D23" s="5">
        <f t="shared" si="1"/>
        <v>46209</v>
      </c>
      <c r="E23" s="14">
        <v>0</v>
      </c>
      <c r="F23" s="13" t="s">
        <v>18</v>
      </c>
      <c r="G23" s="55">
        <v>7966</v>
      </c>
      <c r="H23" s="16">
        <v>0</v>
      </c>
      <c r="I23" s="3" t="s">
        <v>15</v>
      </c>
      <c r="J23" s="5">
        <f t="shared" si="0"/>
        <v>46210</v>
      </c>
      <c r="K23" s="13" t="s">
        <v>262</v>
      </c>
    </row>
    <row r="24" spans="1:11" ht="18.75" x14ac:dyDescent="0.3">
      <c r="A24" s="3"/>
      <c r="B24" s="17" t="s">
        <v>16</v>
      </c>
      <c r="C24" s="82">
        <f>SUM(C10:C23)</f>
        <v>63650</v>
      </c>
      <c r="D24" s="3"/>
      <c r="E24" s="3"/>
      <c r="F24" s="13"/>
      <c r="G24" s="13"/>
      <c r="H24" s="11"/>
      <c r="I24" s="3"/>
      <c r="J24" s="3"/>
      <c r="K24" s="3"/>
    </row>
    <row r="25" spans="1:11" ht="24.75" x14ac:dyDescent="0.5">
      <c r="A25" s="125" t="s">
        <v>20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7"/>
    </row>
    <row r="26" spans="1:11" ht="18.75" x14ac:dyDescent="0.3">
      <c r="A26" s="19" t="s">
        <v>3</v>
      </c>
      <c r="B26" s="19" t="s">
        <v>21</v>
      </c>
      <c r="C26" s="50" t="s">
        <v>5</v>
      </c>
      <c r="D26" s="1" t="s">
        <v>22</v>
      </c>
      <c r="E26" s="19" t="s">
        <v>7</v>
      </c>
      <c r="F26" s="19" t="s">
        <v>8</v>
      </c>
      <c r="G26" s="19" t="s">
        <v>23</v>
      </c>
      <c r="H26" s="20" t="s">
        <v>24</v>
      </c>
      <c r="I26" s="19" t="s">
        <v>11</v>
      </c>
      <c r="J26" s="19" t="s">
        <v>25</v>
      </c>
      <c r="K26" s="21" t="s">
        <v>26</v>
      </c>
    </row>
    <row r="27" spans="1:11" ht="15.75" x14ac:dyDescent="0.25">
      <c r="A27" s="8">
        <v>1</v>
      </c>
      <c r="B27" s="8" t="s">
        <v>601</v>
      </c>
      <c r="C27" s="75">
        <v>20000</v>
      </c>
      <c r="D27" s="5">
        <v>46209</v>
      </c>
      <c r="E27" s="8"/>
      <c r="F27" s="8"/>
      <c r="G27" s="22">
        <v>9762</v>
      </c>
      <c r="H27" s="23"/>
      <c r="I27" s="24"/>
      <c r="J27" s="5">
        <v>46209</v>
      </c>
      <c r="K27" s="13" t="s">
        <v>614</v>
      </c>
    </row>
    <row r="28" spans="1:11" ht="15.75" x14ac:dyDescent="0.25">
      <c r="A28" s="8">
        <v>2</v>
      </c>
      <c r="B28" s="8" t="s">
        <v>41</v>
      </c>
      <c r="C28" s="75">
        <v>60441</v>
      </c>
      <c r="D28" s="5">
        <v>46209</v>
      </c>
      <c r="E28" s="8"/>
      <c r="F28" s="8"/>
      <c r="G28" s="22">
        <v>85</v>
      </c>
      <c r="H28" s="23"/>
      <c r="I28" s="24"/>
      <c r="J28" s="5">
        <v>46209</v>
      </c>
      <c r="K28" s="13" t="s">
        <v>115</v>
      </c>
    </row>
    <row r="29" spans="1:11" ht="15.75" x14ac:dyDescent="0.25">
      <c r="A29" s="8">
        <v>3</v>
      </c>
      <c r="B29" s="8" t="s">
        <v>273</v>
      </c>
      <c r="C29" s="75">
        <v>65000</v>
      </c>
      <c r="D29" s="5">
        <v>46209</v>
      </c>
      <c r="E29" s="8"/>
      <c r="F29" s="8"/>
      <c r="G29" s="22">
        <v>3210</v>
      </c>
      <c r="H29" s="23"/>
      <c r="I29" s="24"/>
      <c r="J29" s="5">
        <v>46209</v>
      </c>
      <c r="K29" s="13" t="s">
        <v>68</v>
      </c>
    </row>
    <row r="30" spans="1:11" ht="18.75" x14ac:dyDescent="0.25">
      <c r="A30" s="8"/>
      <c r="B30" s="25" t="s">
        <v>27</v>
      </c>
      <c r="C30" s="83">
        <f>SUM(C27:C29)</f>
        <v>145441</v>
      </c>
      <c r="D30" s="3"/>
      <c r="E30" s="8"/>
      <c r="F30" s="8"/>
      <c r="G30" s="8"/>
      <c r="H30" s="27">
        <v>0</v>
      </c>
      <c r="I30" s="24"/>
      <c r="J30" s="3"/>
      <c r="K30" s="28"/>
    </row>
    <row r="31" spans="1:11" x14ac:dyDescent="0.25">
      <c r="C31" s="29"/>
      <c r="H31" s="29"/>
    </row>
    <row r="32" spans="1:11" ht="16.5" x14ac:dyDescent="0.3">
      <c r="B32" s="30" t="s">
        <v>28</v>
      </c>
      <c r="C32" s="76">
        <f>SUM(C21)</f>
        <v>2230</v>
      </c>
      <c r="E32" s="32"/>
      <c r="F32" s="32"/>
      <c r="G32" s="116"/>
      <c r="H32" s="116"/>
    </row>
    <row r="33" spans="2:10" ht="16.5" x14ac:dyDescent="0.3">
      <c r="B33" s="33" t="s">
        <v>29</v>
      </c>
      <c r="C33" s="77">
        <f>SUM(C13,C10,C11,C12,C14,C16,C15,C17,C18,C20,C22)</f>
        <v>55370</v>
      </c>
      <c r="E33" s="35"/>
      <c r="F33" s="35"/>
      <c r="G33" s="36" t="s">
        <v>30</v>
      </c>
      <c r="H33" s="37"/>
    </row>
    <row r="34" spans="2:10" ht="24" x14ac:dyDescent="0.4">
      <c r="B34" s="38" t="s">
        <v>613</v>
      </c>
      <c r="C34" s="78">
        <f>SUM(C19)</f>
        <v>1050</v>
      </c>
      <c r="E34" s="40" t="s">
        <v>32</v>
      </c>
      <c r="F34" s="41"/>
      <c r="G34" s="42"/>
      <c r="H34" s="43"/>
      <c r="I34" s="42"/>
    </row>
    <row r="35" spans="2:10" ht="24" x14ac:dyDescent="0.4">
      <c r="B35" s="38" t="s">
        <v>321</v>
      </c>
      <c r="C35" s="78">
        <f>SUM(C23)</f>
        <v>5000</v>
      </c>
      <c r="E35" s="40"/>
      <c r="F35" s="41"/>
      <c r="G35" s="42"/>
      <c r="H35" s="43"/>
      <c r="I35" s="42"/>
    </row>
    <row r="36" spans="2:10" ht="18.75" x14ac:dyDescent="0.3">
      <c r="B36" s="45" t="s">
        <v>16</v>
      </c>
      <c r="C36" s="79">
        <f>SUM(C32:C35)</f>
        <v>63650</v>
      </c>
      <c r="G36" s="36"/>
      <c r="H36" s="37"/>
      <c r="I36" s="36"/>
      <c r="J36" s="36"/>
    </row>
  </sheetData>
  <mergeCells count="6">
    <mergeCell ref="G32:H32"/>
    <mergeCell ref="A1:K1"/>
    <mergeCell ref="A2:K2"/>
    <mergeCell ref="A3:K3"/>
    <mergeCell ref="A9:K9"/>
    <mergeCell ref="A25:K25"/>
  </mergeCells>
  <pageMargins left="0.59055118110236215" right="0.15748031496062992" top="0.47244094488188976" bottom="0.23622047244094488" header="0.31496062992125984" footer="0.31496062992125984"/>
  <pageSetup scale="81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8D73F-8FDE-448D-87C6-7D126FF83B84}">
  <sheetPr>
    <pageSetUpPr fitToPage="1"/>
  </sheetPr>
  <dimension ref="A1:K23"/>
  <sheetViews>
    <sheetView topLeftCell="A4" workbookViewId="0">
      <selection activeCell="I20" sqref="I20"/>
    </sheetView>
  </sheetViews>
  <sheetFormatPr defaultRowHeight="15" x14ac:dyDescent="0.25"/>
  <cols>
    <col min="1" max="1" width="4.42578125" bestFit="1" customWidth="1"/>
    <col min="2" max="2" width="21.7109375" customWidth="1"/>
    <col min="3" max="3" width="12.710937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33.7109375" customWidth="1"/>
  </cols>
  <sheetData>
    <row r="1" spans="1:11" ht="48.75" x14ac:dyDescent="0.25">
      <c r="A1" s="128" t="s">
        <v>458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617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46210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46209</v>
      </c>
      <c r="K5" s="8" t="s">
        <v>33</v>
      </c>
    </row>
    <row r="6" spans="1:11" ht="18.75" x14ac:dyDescent="0.3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4" x14ac:dyDescent="0.4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75" x14ac:dyDescent="0.25">
      <c r="A9" s="3">
        <v>1</v>
      </c>
      <c r="B9" s="3" t="s">
        <v>615</v>
      </c>
      <c r="C9" s="80">
        <v>1410</v>
      </c>
      <c r="D9" s="5">
        <v>46210</v>
      </c>
      <c r="E9" s="14">
        <v>0</v>
      </c>
      <c r="F9" s="13" t="s">
        <v>18</v>
      </c>
      <c r="G9" s="55">
        <v>9415</v>
      </c>
      <c r="H9" s="16">
        <v>0</v>
      </c>
      <c r="I9" s="3" t="s">
        <v>19</v>
      </c>
      <c r="J9" s="5">
        <f t="shared" ref="J9:J13" si="0">+D9+1</f>
        <v>46211</v>
      </c>
      <c r="K9" s="13" t="s">
        <v>428</v>
      </c>
    </row>
    <row r="10" spans="1:11" ht="15.75" x14ac:dyDescent="0.25">
      <c r="A10" s="3">
        <v>2</v>
      </c>
      <c r="B10" s="3" t="s">
        <v>249</v>
      </c>
      <c r="C10" s="80">
        <v>3540</v>
      </c>
      <c r="D10" s="5">
        <f t="shared" ref="D10:D13" si="1">+D9</f>
        <v>46210</v>
      </c>
      <c r="E10" s="14">
        <v>0</v>
      </c>
      <c r="F10" s="13" t="s">
        <v>18</v>
      </c>
      <c r="G10" s="55">
        <v>9208</v>
      </c>
      <c r="H10" s="16">
        <v>0</v>
      </c>
      <c r="I10" s="3" t="s">
        <v>15</v>
      </c>
      <c r="J10" s="5">
        <f t="shared" si="0"/>
        <v>46211</v>
      </c>
      <c r="K10" s="13" t="s">
        <v>428</v>
      </c>
    </row>
    <row r="11" spans="1:11" ht="15.75" x14ac:dyDescent="0.25">
      <c r="A11" s="3">
        <v>3</v>
      </c>
      <c r="B11" s="3" t="s">
        <v>616</v>
      </c>
      <c r="C11" s="80">
        <v>3030</v>
      </c>
      <c r="D11" s="5">
        <f t="shared" si="1"/>
        <v>46210</v>
      </c>
      <c r="E11" s="14">
        <v>0</v>
      </c>
      <c r="F11" s="13" t="s">
        <v>18</v>
      </c>
      <c r="G11" s="55">
        <v>1009</v>
      </c>
      <c r="H11" s="16">
        <v>0</v>
      </c>
      <c r="I11" s="3" t="s">
        <v>15</v>
      </c>
      <c r="J11" s="5">
        <f t="shared" si="0"/>
        <v>46211</v>
      </c>
      <c r="K11" s="13" t="s">
        <v>428</v>
      </c>
    </row>
    <row r="12" spans="1:11" ht="15.75" x14ac:dyDescent="0.25">
      <c r="A12" s="3">
        <v>4</v>
      </c>
      <c r="B12" s="3" t="s">
        <v>306</v>
      </c>
      <c r="C12" s="80">
        <v>1050</v>
      </c>
      <c r="D12" s="5">
        <f t="shared" si="1"/>
        <v>46210</v>
      </c>
      <c r="E12" s="14">
        <v>0</v>
      </c>
      <c r="F12" s="13" t="s">
        <v>18</v>
      </c>
      <c r="G12" s="55">
        <v>777</v>
      </c>
      <c r="H12" s="16">
        <v>0</v>
      </c>
      <c r="I12" s="3" t="s">
        <v>15</v>
      </c>
      <c r="J12" s="5">
        <f t="shared" si="0"/>
        <v>46211</v>
      </c>
      <c r="K12" s="13" t="s">
        <v>203</v>
      </c>
    </row>
    <row r="13" spans="1:11" ht="15.75" x14ac:dyDescent="0.25">
      <c r="A13" s="3">
        <v>5</v>
      </c>
      <c r="B13" s="3" t="s">
        <v>306</v>
      </c>
      <c r="C13" s="80">
        <v>1999</v>
      </c>
      <c r="D13" s="5">
        <f t="shared" si="1"/>
        <v>46210</v>
      </c>
      <c r="E13" s="14">
        <v>0</v>
      </c>
      <c r="F13" s="13" t="s">
        <v>18</v>
      </c>
      <c r="G13" s="55">
        <v>5113</v>
      </c>
      <c r="H13" s="16">
        <v>0</v>
      </c>
      <c r="I13" s="3" t="s">
        <v>15</v>
      </c>
      <c r="J13" s="5">
        <f t="shared" si="0"/>
        <v>46211</v>
      </c>
      <c r="K13" s="13" t="s">
        <v>203</v>
      </c>
    </row>
    <row r="14" spans="1:11" ht="18.75" x14ac:dyDescent="0.3">
      <c r="A14" s="3"/>
      <c r="B14" s="17" t="s">
        <v>16</v>
      </c>
      <c r="C14" s="82">
        <f>SUM(C9:C13)</f>
        <v>11029</v>
      </c>
      <c r="D14" s="3"/>
      <c r="E14" s="3"/>
      <c r="F14" s="13"/>
      <c r="G14" s="13"/>
      <c r="H14" s="11"/>
      <c r="I14" s="3"/>
      <c r="J14" s="3"/>
      <c r="K14" s="3"/>
    </row>
    <row r="15" spans="1:11" ht="24.75" x14ac:dyDescent="0.5">
      <c r="A15" s="125" t="s">
        <v>20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7"/>
    </row>
    <row r="16" spans="1:11" ht="18.75" x14ac:dyDescent="0.3">
      <c r="A16" s="19" t="s">
        <v>3</v>
      </c>
      <c r="B16" s="19" t="s">
        <v>21</v>
      </c>
      <c r="C16" s="50" t="s">
        <v>5</v>
      </c>
      <c r="D16" s="1" t="s">
        <v>22</v>
      </c>
      <c r="E16" s="19" t="s">
        <v>7</v>
      </c>
      <c r="F16" s="19" t="s">
        <v>8</v>
      </c>
      <c r="G16" s="19" t="s">
        <v>23</v>
      </c>
      <c r="H16" s="20" t="s">
        <v>24</v>
      </c>
      <c r="I16" s="19" t="s">
        <v>11</v>
      </c>
      <c r="J16" s="19" t="s">
        <v>25</v>
      </c>
      <c r="K16" s="21" t="s">
        <v>26</v>
      </c>
    </row>
    <row r="17" spans="1:11" ht="15.75" x14ac:dyDescent="0.25">
      <c r="A17" s="8">
        <v>1</v>
      </c>
      <c r="B17" s="8" t="s">
        <v>41</v>
      </c>
      <c r="C17" s="75">
        <v>57906</v>
      </c>
      <c r="D17" s="5">
        <v>46210</v>
      </c>
      <c r="E17" s="8"/>
      <c r="F17" s="8"/>
      <c r="G17" s="22">
        <v>77</v>
      </c>
      <c r="H17" s="23"/>
      <c r="I17" s="24"/>
      <c r="J17" s="5">
        <v>46210</v>
      </c>
      <c r="K17" s="13" t="s">
        <v>428</v>
      </c>
    </row>
    <row r="18" spans="1:11" ht="18.75" x14ac:dyDescent="0.25">
      <c r="A18" s="8"/>
      <c r="B18" s="25" t="s">
        <v>27</v>
      </c>
      <c r="C18" s="83">
        <f>SUM(C17:C17)</f>
        <v>57906</v>
      </c>
      <c r="D18" s="3"/>
      <c r="E18" s="8"/>
      <c r="F18" s="8"/>
      <c r="G18" s="8"/>
      <c r="H18" s="27">
        <v>0</v>
      </c>
      <c r="I18" s="24"/>
      <c r="J18" s="3"/>
      <c r="K18" s="28"/>
    </row>
    <row r="19" spans="1:11" x14ac:dyDescent="0.25">
      <c r="C19" s="29"/>
      <c r="H19" s="29"/>
    </row>
    <row r="20" spans="1:11" ht="16.5" x14ac:dyDescent="0.3">
      <c r="B20" s="30" t="s">
        <v>28</v>
      </c>
      <c r="C20" s="76">
        <f>SUM(C13,C12)</f>
        <v>3049</v>
      </c>
      <c r="E20" s="32"/>
      <c r="F20" s="32"/>
      <c r="G20" s="116"/>
      <c r="H20" s="116"/>
    </row>
    <row r="21" spans="1:11" ht="16.5" x14ac:dyDescent="0.3">
      <c r="B21" s="33" t="s">
        <v>29</v>
      </c>
      <c r="C21" s="77">
        <f>SUM(C9,C10,C11)</f>
        <v>7980</v>
      </c>
      <c r="E21" s="35"/>
      <c r="F21" s="35"/>
      <c r="G21" s="36" t="s">
        <v>30</v>
      </c>
      <c r="H21" s="37"/>
    </row>
    <row r="22" spans="1:11" ht="24" x14ac:dyDescent="0.4">
      <c r="B22" s="38" t="s">
        <v>31</v>
      </c>
      <c r="C22" s="78">
        <v>0</v>
      </c>
      <c r="E22" s="40" t="s">
        <v>32</v>
      </c>
      <c r="F22" s="41"/>
      <c r="G22" s="42"/>
      <c r="H22" s="43"/>
      <c r="I22" s="42"/>
      <c r="J22" s="44"/>
    </row>
    <row r="23" spans="1:11" ht="18.75" x14ac:dyDescent="0.3">
      <c r="B23" s="45" t="s">
        <v>16</v>
      </c>
      <c r="C23" s="79">
        <f>SUM(C20:C22)</f>
        <v>11029</v>
      </c>
      <c r="G23" s="36"/>
      <c r="H23" s="37"/>
      <c r="I23" s="36"/>
      <c r="J23" s="36"/>
    </row>
  </sheetData>
  <mergeCells count="6">
    <mergeCell ref="G20:H20"/>
    <mergeCell ref="A1:K1"/>
    <mergeCell ref="A2:K2"/>
    <mergeCell ref="A3:K3"/>
    <mergeCell ref="A8:K8"/>
    <mergeCell ref="A15:K15"/>
  </mergeCells>
  <pageMargins left="0.59055118110236215" right="0.15748031496062992" top="0.47244094488188976" bottom="0.23622047244094488" header="0.31496062992125984" footer="0.31496062992125984"/>
  <pageSetup scale="84" orientation="landscape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CDC1C-2CED-4793-98B7-6FCCCDDC05E2}">
  <sheetPr>
    <pageSetUpPr fitToPage="1"/>
  </sheetPr>
  <dimension ref="A1:K33"/>
  <sheetViews>
    <sheetView topLeftCell="A5" workbookViewId="0">
      <selection activeCell="M16" sqref="M16"/>
    </sheetView>
  </sheetViews>
  <sheetFormatPr defaultRowHeight="15" x14ac:dyDescent="0.25"/>
  <cols>
    <col min="1" max="1" width="4.42578125" bestFit="1" customWidth="1"/>
    <col min="2" max="2" width="23.42578125" bestFit="1" customWidth="1"/>
    <col min="3" max="3" width="12.710937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9.28515625" customWidth="1"/>
  </cols>
  <sheetData>
    <row r="1" spans="1:11" ht="48.75" x14ac:dyDescent="0.25">
      <c r="A1" s="128" t="s">
        <v>458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628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46211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46210</v>
      </c>
      <c r="K5" s="8" t="s">
        <v>33</v>
      </c>
    </row>
    <row r="6" spans="1:11" ht="15.75" x14ac:dyDescent="0.25">
      <c r="A6" s="3">
        <v>2</v>
      </c>
      <c r="B6" s="3" t="s">
        <v>445</v>
      </c>
      <c r="C6" s="80">
        <v>2050</v>
      </c>
      <c r="D6" s="5">
        <v>46211</v>
      </c>
      <c r="E6" s="6">
        <v>0</v>
      </c>
      <c r="F6" s="3" t="s">
        <v>14</v>
      </c>
      <c r="G6" s="49">
        <v>5293</v>
      </c>
      <c r="H6" s="7">
        <v>0</v>
      </c>
      <c r="I6" s="3" t="s">
        <v>15</v>
      </c>
      <c r="J6" s="5">
        <f>+D6-1</f>
        <v>46210</v>
      </c>
      <c r="K6" s="8" t="s">
        <v>115</v>
      </c>
    </row>
    <row r="7" spans="1:11" ht="18.75" x14ac:dyDescent="0.3">
      <c r="A7" s="9"/>
      <c r="B7" s="10" t="s">
        <v>16</v>
      </c>
      <c r="C7" s="81">
        <f>SUM(C5:C6)</f>
        <v>2050</v>
      </c>
      <c r="D7" s="3"/>
      <c r="E7" s="12"/>
      <c r="F7" s="9"/>
      <c r="G7" s="13"/>
      <c r="H7" s="11">
        <f>SUM(H5:H5)</f>
        <v>0</v>
      </c>
      <c r="I7" s="9"/>
      <c r="J7" s="9"/>
      <c r="K7" s="9"/>
    </row>
    <row r="9" spans="1:11" ht="24" x14ac:dyDescent="0.4">
      <c r="A9" s="122" t="s">
        <v>17</v>
      </c>
      <c r="B9" s="123"/>
      <c r="C9" s="123"/>
      <c r="D9" s="123"/>
      <c r="E9" s="123"/>
      <c r="F9" s="123"/>
      <c r="G9" s="123"/>
      <c r="H9" s="123"/>
      <c r="I9" s="123"/>
      <c r="J9" s="123"/>
      <c r="K9" s="124"/>
    </row>
    <row r="10" spans="1:11" ht="15.75" x14ac:dyDescent="0.25">
      <c r="A10" s="3">
        <v>1</v>
      </c>
      <c r="B10" s="3" t="s">
        <v>618</v>
      </c>
      <c r="C10" s="80">
        <v>740</v>
      </c>
      <c r="D10" s="5">
        <v>46211</v>
      </c>
      <c r="E10" s="14">
        <v>0</v>
      </c>
      <c r="F10" s="13" t="s">
        <v>18</v>
      </c>
      <c r="G10" s="55">
        <v>9518</v>
      </c>
      <c r="H10" s="16">
        <v>0</v>
      </c>
      <c r="I10" s="3" t="s">
        <v>19</v>
      </c>
      <c r="J10" s="5">
        <f t="shared" ref="J10:J23" si="0">+D10+1</f>
        <v>46212</v>
      </c>
      <c r="K10" s="13" t="s">
        <v>115</v>
      </c>
    </row>
    <row r="11" spans="1:11" ht="15.75" x14ac:dyDescent="0.25">
      <c r="A11" s="3">
        <v>2</v>
      </c>
      <c r="B11" s="3" t="s">
        <v>619</v>
      </c>
      <c r="C11" s="80">
        <v>1340</v>
      </c>
      <c r="D11" s="5">
        <f t="shared" ref="D11:D23" si="1">+D10</f>
        <v>46211</v>
      </c>
      <c r="E11" s="14">
        <v>0</v>
      </c>
      <c r="F11" s="13" t="s">
        <v>18</v>
      </c>
      <c r="G11" s="55">
        <v>2526</v>
      </c>
      <c r="H11" s="16">
        <v>0</v>
      </c>
      <c r="I11" s="3" t="s">
        <v>15</v>
      </c>
      <c r="J11" s="5">
        <f t="shared" si="0"/>
        <v>46212</v>
      </c>
      <c r="K11" s="13" t="s">
        <v>115</v>
      </c>
    </row>
    <row r="12" spans="1:11" ht="15.75" x14ac:dyDescent="0.25">
      <c r="A12" s="3">
        <v>3</v>
      </c>
      <c r="B12" s="3" t="s">
        <v>469</v>
      </c>
      <c r="C12" s="80">
        <v>975</v>
      </c>
      <c r="D12" s="5">
        <f t="shared" si="1"/>
        <v>46211</v>
      </c>
      <c r="E12" s="14">
        <v>0</v>
      </c>
      <c r="F12" s="13" t="s">
        <v>18</v>
      </c>
      <c r="G12" s="55">
        <v>3490</v>
      </c>
      <c r="H12" s="16">
        <v>0</v>
      </c>
      <c r="I12" s="3" t="s">
        <v>15</v>
      </c>
      <c r="J12" s="5">
        <f t="shared" si="0"/>
        <v>46212</v>
      </c>
      <c r="K12" s="13" t="s">
        <v>115</v>
      </c>
    </row>
    <row r="13" spans="1:11" ht="15.75" x14ac:dyDescent="0.25">
      <c r="A13" s="3">
        <v>4</v>
      </c>
      <c r="B13" s="3" t="s">
        <v>573</v>
      </c>
      <c r="C13" s="80">
        <v>1450</v>
      </c>
      <c r="D13" s="5">
        <f t="shared" si="1"/>
        <v>46211</v>
      </c>
      <c r="E13" s="14">
        <v>0</v>
      </c>
      <c r="F13" s="13" t="s">
        <v>18</v>
      </c>
      <c r="G13" s="55">
        <v>4127</v>
      </c>
      <c r="H13" s="16">
        <v>0</v>
      </c>
      <c r="I13" s="3" t="s">
        <v>15</v>
      </c>
      <c r="J13" s="5">
        <f t="shared" si="0"/>
        <v>46212</v>
      </c>
      <c r="K13" s="13" t="s">
        <v>115</v>
      </c>
    </row>
    <row r="14" spans="1:11" ht="15.75" x14ac:dyDescent="0.25">
      <c r="A14" s="3">
        <v>5</v>
      </c>
      <c r="B14" s="3" t="s">
        <v>620</v>
      </c>
      <c r="C14" s="80">
        <v>2450</v>
      </c>
      <c r="D14" s="5">
        <f t="shared" si="1"/>
        <v>46211</v>
      </c>
      <c r="E14" s="14">
        <v>0</v>
      </c>
      <c r="F14" s="13" t="s">
        <v>18</v>
      </c>
      <c r="G14" s="55">
        <v>5284</v>
      </c>
      <c r="H14" s="16">
        <v>0</v>
      </c>
      <c r="I14" s="3" t="s">
        <v>15</v>
      </c>
      <c r="J14" s="5">
        <f t="shared" si="0"/>
        <v>46212</v>
      </c>
      <c r="K14" s="13" t="s">
        <v>203</v>
      </c>
    </row>
    <row r="15" spans="1:11" ht="15.75" x14ac:dyDescent="0.25">
      <c r="A15" s="3">
        <v>6</v>
      </c>
      <c r="B15" s="3" t="s">
        <v>621</v>
      </c>
      <c r="C15" s="80">
        <v>1450</v>
      </c>
      <c r="D15" s="5">
        <f t="shared" si="1"/>
        <v>46211</v>
      </c>
      <c r="E15" s="14">
        <v>0</v>
      </c>
      <c r="F15" s="13" t="s">
        <v>18</v>
      </c>
      <c r="G15" s="55">
        <v>612</v>
      </c>
      <c r="H15" s="16">
        <v>0</v>
      </c>
      <c r="I15" s="3" t="s">
        <v>15</v>
      </c>
      <c r="J15" s="5">
        <f t="shared" si="0"/>
        <v>46212</v>
      </c>
      <c r="K15" s="13" t="s">
        <v>115</v>
      </c>
    </row>
    <row r="16" spans="1:11" ht="15.75" x14ac:dyDescent="0.25">
      <c r="A16" s="3">
        <v>7</v>
      </c>
      <c r="B16" s="3" t="s">
        <v>245</v>
      </c>
      <c r="C16" s="80">
        <v>3830</v>
      </c>
      <c r="D16" s="5">
        <f t="shared" si="1"/>
        <v>46211</v>
      </c>
      <c r="E16" s="14">
        <v>0</v>
      </c>
      <c r="F16" s="13" t="s">
        <v>18</v>
      </c>
      <c r="G16" s="55">
        <v>2795</v>
      </c>
      <c r="H16" s="16">
        <v>0</v>
      </c>
      <c r="I16" s="3" t="s">
        <v>15</v>
      </c>
      <c r="J16" s="5">
        <f t="shared" si="0"/>
        <v>46212</v>
      </c>
      <c r="K16" s="13" t="s">
        <v>629</v>
      </c>
    </row>
    <row r="17" spans="1:11" ht="15.75" x14ac:dyDescent="0.25">
      <c r="A17" s="3">
        <v>8</v>
      </c>
      <c r="B17" s="3" t="s">
        <v>622</v>
      </c>
      <c r="C17" s="80">
        <v>2680</v>
      </c>
      <c r="D17" s="5">
        <f t="shared" si="1"/>
        <v>46211</v>
      </c>
      <c r="E17" s="14">
        <v>0</v>
      </c>
      <c r="F17" s="13" t="s">
        <v>18</v>
      </c>
      <c r="G17" s="55">
        <v>6208</v>
      </c>
      <c r="H17" s="16">
        <v>0</v>
      </c>
      <c r="I17" s="3" t="s">
        <v>15</v>
      </c>
      <c r="J17" s="5">
        <f t="shared" si="0"/>
        <v>46212</v>
      </c>
      <c r="K17" s="13" t="s">
        <v>115</v>
      </c>
    </row>
    <row r="18" spans="1:11" ht="15.75" x14ac:dyDescent="0.25">
      <c r="A18" s="3">
        <v>9</v>
      </c>
      <c r="B18" s="3" t="s">
        <v>623</v>
      </c>
      <c r="C18" s="80">
        <v>2900</v>
      </c>
      <c r="D18" s="5">
        <f t="shared" si="1"/>
        <v>46211</v>
      </c>
      <c r="E18" s="14">
        <v>0</v>
      </c>
      <c r="F18" s="13" t="s">
        <v>18</v>
      </c>
      <c r="G18" s="55">
        <v>2942</v>
      </c>
      <c r="H18" s="16">
        <v>0</v>
      </c>
      <c r="I18" s="3" t="s">
        <v>15</v>
      </c>
      <c r="J18" s="5">
        <f t="shared" si="0"/>
        <v>46212</v>
      </c>
      <c r="K18" s="13" t="s">
        <v>115</v>
      </c>
    </row>
    <row r="19" spans="1:11" ht="15.75" x14ac:dyDescent="0.25">
      <c r="A19" s="3">
        <v>10</v>
      </c>
      <c r="B19" s="3" t="s">
        <v>624</v>
      </c>
      <c r="C19" s="80">
        <v>30</v>
      </c>
      <c r="D19" s="5">
        <f t="shared" si="1"/>
        <v>46211</v>
      </c>
      <c r="E19" s="14">
        <v>0</v>
      </c>
      <c r="F19" s="13" t="s">
        <v>18</v>
      </c>
      <c r="G19" s="55">
        <v>9639</v>
      </c>
      <c r="H19" s="16">
        <v>0</v>
      </c>
      <c r="I19" s="3" t="s">
        <v>15</v>
      </c>
      <c r="J19" s="5">
        <f t="shared" si="0"/>
        <v>46212</v>
      </c>
      <c r="K19" s="13" t="s">
        <v>115</v>
      </c>
    </row>
    <row r="20" spans="1:11" ht="15.75" x14ac:dyDescent="0.25">
      <c r="A20" s="3">
        <v>11</v>
      </c>
      <c r="B20" s="3" t="s">
        <v>625</v>
      </c>
      <c r="C20" s="80">
        <v>390</v>
      </c>
      <c r="D20" s="5">
        <f t="shared" si="1"/>
        <v>46211</v>
      </c>
      <c r="E20" s="14">
        <v>0</v>
      </c>
      <c r="F20" s="13" t="s">
        <v>18</v>
      </c>
      <c r="G20" s="55">
        <v>5143</v>
      </c>
      <c r="H20" s="16">
        <v>0</v>
      </c>
      <c r="I20" s="3" t="s">
        <v>15</v>
      </c>
      <c r="J20" s="5">
        <f t="shared" si="0"/>
        <v>46212</v>
      </c>
      <c r="K20" s="13" t="s">
        <v>115</v>
      </c>
    </row>
    <row r="21" spans="1:11" ht="15.75" x14ac:dyDescent="0.25">
      <c r="A21" s="3">
        <v>12</v>
      </c>
      <c r="B21" s="3" t="s">
        <v>485</v>
      </c>
      <c r="C21" s="80">
        <v>2105</v>
      </c>
      <c r="D21" s="5">
        <f t="shared" si="1"/>
        <v>46211</v>
      </c>
      <c r="E21" s="14">
        <v>0</v>
      </c>
      <c r="F21" s="13" t="s">
        <v>18</v>
      </c>
      <c r="G21" s="55">
        <v>5190</v>
      </c>
      <c r="H21" s="16">
        <v>0</v>
      </c>
      <c r="I21" s="3" t="s">
        <v>15</v>
      </c>
      <c r="J21" s="5">
        <f t="shared" si="0"/>
        <v>46212</v>
      </c>
      <c r="K21" s="13" t="s">
        <v>115</v>
      </c>
    </row>
    <row r="22" spans="1:11" ht="15.75" x14ac:dyDescent="0.25">
      <c r="A22" s="3">
        <v>13</v>
      </c>
      <c r="B22" s="3" t="s">
        <v>626</v>
      </c>
      <c r="C22" s="80">
        <v>1350</v>
      </c>
      <c r="D22" s="5">
        <f t="shared" si="1"/>
        <v>46211</v>
      </c>
      <c r="E22" s="14">
        <v>0</v>
      </c>
      <c r="F22" s="13" t="s">
        <v>18</v>
      </c>
      <c r="G22" s="55">
        <v>8938</v>
      </c>
      <c r="H22" s="16">
        <v>0</v>
      </c>
      <c r="I22" s="3" t="s">
        <v>15</v>
      </c>
      <c r="J22" s="5">
        <f t="shared" si="0"/>
        <v>46212</v>
      </c>
      <c r="K22" s="13" t="s">
        <v>115</v>
      </c>
    </row>
    <row r="23" spans="1:11" ht="15.75" x14ac:dyDescent="0.25">
      <c r="A23" s="3">
        <v>14</v>
      </c>
      <c r="B23" s="3" t="s">
        <v>627</v>
      </c>
      <c r="C23" s="80">
        <v>1400</v>
      </c>
      <c r="D23" s="5">
        <f t="shared" si="1"/>
        <v>46211</v>
      </c>
      <c r="E23" s="14">
        <v>0</v>
      </c>
      <c r="F23" s="13" t="s">
        <v>18</v>
      </c>
      <c r="G23" s="55">
        <v>5748</v>
      </c>
      <c r="H23" s="16">
        <v>0</v>
      </c>
      <c r="I23" s="3" t="s">
        <v>15</v>
      </c>
      <c r="J23" s="5">
        <f t="shared" si="0"/>
        <v>46212</v>
      </c>
      <c r="K23" s="13" t="s">
        <v>115</v>
      </c>
    </row>
    <row r="24" spans="1:11" ht="18.75" x14ac:dyDescent="0.3">
      <c r="A24" s="3"/>
      <c r="B24" s="17" t="s">
        <v>16</v>
      </c>
      <c r="C24" s="82">
        <f>SUM(C10:C23)</f>
        <v>23090</v>
      </c>
      <c r="D24" s="3"/>
      <c r="E24" s="3"/>
      <c r="F24" s="13"/>
      <c r="G24" s="13"/>
      <c r="H24" s="11"/>
      <c r="I24" s="3"/>
      <c r="J24" s="3"/>
      <c r="K24" s="3"/>
    </row>
    <row r="25" spans="1:11" ht="24.75" x14ac:dyDescent="0.5">
      <c r="A25" s="125" t="s">
        <v>20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7"/>
    </row>
    <row r="26" spans="1:11" ht="18.75" x14ac:dyDescent="0.3">
      <c r="A26" s="19" t="s">
        <v>3</v>
      </c>
      <c r="B26" s="19" t="s">
        <v>21</v>
      </c>
      <c r="C26" s="50" t="s">
        <v>5</v>
      </c>
      <c r="D26" s="1" t="s">
        <v>22</v>
      </c>
      <c r="E26" s="19" t="s">
        <v>7</v>
      </c>
      <c r="F26" s="19" t="s">
        <v>8</v>
      </c>
      <c r="G26" s="19" t="s">
        <v>23</v>
      </c>
      <c r="H26" s="20" t="s">
        <v>24</v>
      </c>
      <c r="I26" s="19" t="s">
        <v>11</v>
      </c>
      <c r="J26" s="19" t="s">
        <v>25</v>
      </c>
      <c r="K26" s="21" t="s">
        <v>26</v>
      </c>
    </row>
    <row r="27" spans="1:11" ht="15.75" x14ac:dyDescent="0.25">
      <c r="A27" s="8">
        <v>1</v>
      </c>
      <c r="B27" s="8"/>
      <c r="C27" s="75">
        <v>0</v>
      </c>
      <c r="D27" s="5">
        <v>46211</v>
      </c>
      <c r="E27" s="8"/>
      <c r="F27" s="8"/>
      <c r="G27" s="22"/>
      <c r="H27" s="23"/>
      <c r="I27" s="24"/>
      <c r="J27" s="5">
        <v>46211</v>
      </c>
      <c r="K27" s="13"/>
    </row>
    <row r="28" spans="1:11" ht="18.75" x14ac:dyDescent="0.25">
      <c r="A28" s="8"/>
      <c r="B28" s="25" t="s">
        <v>27</v>
      </c>
      <c r="C28" s="83">
        <f>SUM(C27:C27)</f>
        <v>0</v>
      </c>
      <c r="D28" s="3"/>
      <c r="E28" s="8"/>
      <c r="F28" s="8"/>
      <c r="G28" s="8"/>
      <c r="H28" s="27">
        <v>0</v>
      </c>
      <c r="I28" s="24"/>
      <c r="J28" s="3"/>
      <c r="K28" s="28"/>
    </row>
    <row r="29" spans="1:11" x14ac:dyDescent="0.25">
      <c r="C29" s="29"/>
      <c r="H29" s="29"/>
    </row>
    <row r="30" spans="1:11" ht="16.5" x14ac:dyDescent="0.3">
      <c r="B30" s="30" t="s">
        <v>28</v>
      </c>
      <c r="C30" s="76">
        <f>SUM(C14,C16)</f>
        <v>6280</v>
      </c>
      <c r="E30" s="32"/>
      <c r="F30" s="32"/>
      <c r="G30" s="116"/>
      <c r="H30" s="116"/>
    </row>
    <row r="31" spans="1:11" ht="16.5" x14ac:dyDescent="0.3">
      <c r="B31" s="33" t="s">
        <v>29</v>
      </c>
      <c r="C31" s="77">
        <f>SUM(C10,C11,C12,C13,C15,C17,C18,C19,C20,C22,C21,C23)</f>
        <v>16810</v>
      </c>
      <c r="E31" s="35"/>
      <c r="F31" s="35"/>
      <c r="G31" s="36" t="s">
        <v>30</v>
      </c>
      <c r="H31" s="37"/>
    </row>
    <row r="32" spans="1:11" ht="24" x14ac:dyDescent="0.4">
      <c r="B32" s="38" t="s">
        <v>31</v>
      </c>
      <c r="C32" s="78">
        <v>0</v>
      </c>
      <c r="E32" s="40" t="s">
        <v>32</v>
      </c>
      <c r="F32" s="41"/>
      <c r="G32" s="42"/>
      <c r="H32" s="43"/>
      <c r="I32" s="42"/>
      <c r="J32" s="44"/>
    </row>
    <row r="33" spans="2:10" ht="18.75" x14ac:dyDescent="0.3">
      <c r="B33" s="45" t="s">
        <v>16</v>
      </c>
      <c r="C33" s="79">
        <f>SUM(C30:C32)</f>
        <v>23090</v>
      </c>
      <c r="G33" s="36"/>
      <c r="H33" s="37"/>
      <c r="I33" s="36"/>
      <c r="J33" s="36"/>
    </row>
  </sheetData>
  <mergeCells count="6">
    <mergeCell ref="G30:H30"/>
    <mergeCell ref="A1:K1"/>
    <mergeCell ref="A2:K2"/>
    <mergeCell ref="A3:K3"/>
    <mergeCell ref="A9:K9"/>
    <mergeCell ref="A25:K25"/>
  </mergeCells>
  <pageMargins left="0.59055118110236215" right="0.15748031496062992" top="0.47244094488188976" bottom="0.23622047244094488" header="0.31496062992125984" footer="0.31496062992125984"/>
  <pageSetup scale="85" orientation="landscape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9944B-4AE9-45EB-83B2-BA68DA820BA9}">
  <sheetPr>
    <pageSetUpPr fitToPage="1"/>
  </sheetPr>
  <dimension ref="A1:K27"/>
  <sheetViews>
    <sheetView topLeftCell="A7" workbookViewId="0">
      <selection activeCell="F17" sqref="F17"/>
    </sheetView>
  </sheetViews>
  <sheetFormatPr defaultRowHeight="15" x14ac:dyDescent="0.25"/>
  <cols>
    <col min="1" max="1" width="4.42578125" bestFit="1" customWidth="1"/>
    <col min="2" max="2" width="20.28515625" bestFit="1" customWidth="1"/>
    <col min="3" max="3" width="12.710937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30.7109375" customWidth="1"/>
  </cols>
  <sheetData>
    <row r="1" spans="1:11" ht="48.75" x14ac:dyDescent="0.25">
      <c r="A1" s="128" t="s">
        <v>458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630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45</v>
      </c>
      <c r="C5" s="80">
        <v>51500</v>
      </c>
      <c r="D5" s="5">
        <v>46212</v>
      </c>
      <c r="E5" s="6">
        <v>0</v>
      </c>
      <c r="F5" s="3" t="s">
        <v>14</v>
      </c>
      <c r="G5" s="49">
        <v>4745</v>
      </c>
      <c r="H5" s="7">
        <v>0</v>
      </c>
      <c r="I5" s="3" t="s">
        <v>15</v>
      </c>
      <c r="J5" s="5">
        <f>+D5-1</f>
        <v>46211</v>
      </c>
      <c r="K5" s="8" t="s">
        <v>46</v>
      </c>
    </row>
    <row r="6" spans="1:11" ht="18.75" x14ac:dyDescent="0.3">
      <c r="A6" s="9"/>
      <c r="B6" s="10" t="s">
        <v>16</v>
      </c>
      <c r="C6" s="81">
        <f>SUM(C5:C5)</f>
        <v>51500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4" x14ac:dyDescent="0.4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75" x14ac:dyDescent="0.25">
      <c r="A9" s="3">
        <v>1</v>
      </c>
      <c r="B9" s="3" t="s">
        <v>631</v>
      </c>
      <c r="C9" s="80">
        <v>5635</v>
      </c>
      <c r="D9" s="5">
        <v>46212</v>
      </c>
      <c r="E9" s="14">
        <v>0</v>
      </c>
      <c r="F9" s="13" t="s">
        <v>18</v>
      </c>
      <c r="G9" s="55">
        <v>1368</v>
      </c>
      <c r="H9" s="16">
        <v>0</v>
      </c>
      <c r="I9" s="3" t="s">
        <v>19</v>
      </c>
      <c r="J9" s="5">
        <f t="shared" ref="J9:J16" si="0">+D9+1</f>
        <v>46213</v>
      </c>
      <c r="K9" s="13" t="s">
        <v>115</v>
      </c>
    </row>
    <row r="10" spans="1:11" ht="15.75" x14ac:dyDescent="0.25">
      <c r="A10" s="3">
        <v>2</v>
      </c>
      <c r="B10" s="3" t="s">
        <v>632</v>
      </c>
      <c r="C10" s="80">
        <v>1825</v>
      </c>
      <c r="D10" s="5">
        <f t="shared" ref="D10:D16" si="1">+D9</f>
        <v>46212</v>
      </c>
      <c r="E10" s="14">
        <v>0</v>
      </c>
      <c r="F10" s="13" t="s">
        <v>18</v>
      </c>
      <c r="G10" s="55">
        <v>4404</v>
      </c>
      <c r="H10" s="16">
        <v>0</v>
      </c>
      <c r="I10" s="3" t="s">
        <v>15</v>
      </c>
      <c r="J10" s="5">
        <f t="shared" si="0"/>
        <v>46213</v>
      </c>
      <c r="K10" s="13" t="s">
        <v>115</v>
      </c>
    </row>
    <row r="11" spans="1:11" ht="15.75" x14ac:dyDescent="0.25">
      <c r="A11" s="3">
        <v>3</v>
      </c>
      <c r="B11" s="3" t="s">
        <v>632</v>
      </c>
      <c r="C11" s="80">
        <v>2000</v>
      </c>
      <c r="D11" s="5">
        <f t="shared" si="1"/>
        <v>46212</v>
      </c>
      <c r="E11" s="14">
        <v>0</v>
      </c>
      <c r="F11" s="13" t="s">
        <v>18</v>
      </c>
      <c r="G11" s="55">
        <v>2554</v>
      </c>
      <c r="H11" s="16">
        <v>0</v>
      </c>
      <c r="I11" s="3" t="s">
        <v>15</v>
      </c>
      <c r="J11" s="5">
        <f t="shared" si="0"/>
        <v>46213</v>
      </c>
      <c r="K11" s="13" t="s">
        <v>115</v>
      </c>
    </row>
    <row r="12" spans="1:11" ht="15.75" x14ac:dyDescent="0.25">
      <c r="A12" s="3">
        <v>4</v>
      </c>
      <c r="B12" s="3" t="s">
        <v>633</v>
      </c>
      <c r="C12" s="80">
        <v>620</v>
      </c>
      <c r="D12" s="5">
        <f t="shared" si="1"/>
        <v>46212</v>
      </c>
      <c r="E12" s="14">
        <v>0</v>
      </c>
      <c r="F12" s="13" t="s">
        <v>18</v>
      </c>
      <c r="G12" s="55">
        <v>1253</v>
      </c>
      <c r="H12" s="16">
        <v>0</v>
      </c>
      <c r="I12" s="3" t="s">
        <v>15</v>
      </c>
      <c r="J12" s="5">
        <f t="shared" si="0"/>
        <v>46213</v>
      </c>
      <c r="K12" s="13" t="s">
        <v>204</v>
      </c>
    </row>
    <row r="13" spans="1:11" ht="15.75" x14ac:dyDescent="0.25">
      <c r="A13" s="3">
        <v>5</v>
      </c>
      <c r="B13" s="3" t="s">
        <v>634</v>
      </c>
      <c r="C13" s="80">
        <v>1005</v>
      </c>
      <c r="D13" s="5">
        <f t="shared" si="1"/>
        <v>46212</v>
      </c>
      <c r="E13" s="14">
        <v>0</v>
      </c>
      <c r="F13" s="13" t="s">
        <v>18</v>
      </c>
      <c r="G13" s="55">
        <v>2554</v>
      </c>
      <c r="H13" s="16">
        <v>0</v>
      </c>
      <c r="I13" s="3" t="s">
        <v>15</v>
      </c>
      <c r="J13" s="5">
        <f t="shared" si="0"/>
        <v>46213</v>
      </c>
      <c r="K13" s="13" t="s">
        <v>115</v>
      </c>
    </row>
    <row r="14" spans="1:11" ht="15.75" x14ac:dyDescent="0.25">
      <c r="A14" s="3">
        <v>6</v>
      </c>
      <c r="B14" s="3" t="s">
        <v>635</v>
      </c>
      <c r="C14" s="80">
        <v>15900</v>
      </c>
      <c r="D14" s="5">
        <f t="shared" si="1"/>
        <v>46212</v>
      </c>
      <c r="E14" s="14">
        <v>0</v>
      </c>
      <c r="F14" s="13" t="s">
        <v>18</v>
      </c>
      <c r="G14" s="55">
        <v>3592</v>
      </c>
      <c r="H14" s="16">
        <v>0</v>
      </c>
      <c r="I14" s="3" t="s">
        <v>15</v>
      </c>
      <c r="J14" s="5">
        <f t="shared" si="0"/>
        <v>46213</v>
      </c>
      <c r="K14" s="13" t="s">
        <v>102</v>
      </c>
    </row>
    <row r="15" spans="1:11" ht="15.75" x14ac:dyDescent="0.25">
      <c r="A15" s="3">
        <v>7</v>
      </c>
      <c r="B15" s="3" t="s">
        <v>636</v>
      </c>
      <c r="C15" s="80">
        <v>800</v>
      </c>
      <c r="D15" s="5">
        <f t="shared" si="1"/>
        <v>46212</v>
      </c>
      <c r="E15" s="14">
        <v>0</v>
      </c>
      <c r="F15" s="13" t="s">
        <v>18</v>
      </c>
      <c r="G15" s="55">
        <v>485</v>
      </c>
      <c r="H15" s="16">
        <v>0</v>
      </c>
      <c r="I15" s="3" t="s">
        <v>15</v>
      </c>
      <c r="J15" s="5">
        <f t="shared" si="0"/>
        <v>46213</v>
      </c>
      <c r="K15" s="13" t="s">
        <v>204</v>
      </c>
    </row>
    <row r="16" spans="1:11" ht="15.75" x14ac:dyDescent="0.25">
      <c r="A16" s="3">
        <v>8</v>
      </c>
      <c r="B16" s="3" t="s">
        <v>636</v>
      </c>
      <c r="C16" s="80">
        <v>2000</v>
      </c>
      <c r="D16" s="5">
        <f t="shared" si="1"/>
        <v>46212</v>
      </c>
      <c r="E16" s="14">
        <v>0</v>
      </c>
      <c r="F16" s="13" t="s">
        <v>18</v>
      </c>
      <c r="G16" s="55">
        <v>2243</v>
      </c>
      <c r="H16" s="16">
        <v>0</v>
      </c>
      <c r="I16" s="3" t="s">
        <v>15</v>
      </c>
      <c r="J16" s="5">
        <f t="shared" si="0"/>
        <v>46213</v>
      </c>
      <c r="K16" s="13" t="s">
        <v>204</v>
      </c>
    </row>
    <row r="17" spans="1:11" ht="18.75" x14ac:dyDescent="0.3">
      <c r="A17" s="3"/>
      <c r="B17" s="17" t="s">
        <v>16</v>
      </c>
      <c r="C17" s="82">
        <f>SUM(C9:C16)</f>
        <v>29785</v>
      </c>
      <c r="D17" s="3"/>
      <c r="E17" s="3"/>
      <c r="F17" s="13"/>
      <c r="G17" s="13"/>
      <c r="H17" s="11"/>
      <c r="I17" s="3"/>
      <c r="J17" s="3"/>
      <c r="K17" s="3"/>
    </row>
    <row r="18" spans="1:11" ht="24.75" x14ac:dyDescent="0.5">
      <c r="A18" s="125" t="s">
        <v>20</v>
      </c>
      <c r="B18" s="126"/>
      <c r="C18" s="126"/>
      <c r="D18" s="126"/>
      <c r="E18" s="126"/>
      <c r="F18" s="126"/>
      <c r="G18" s="126"/>
      <c r="H18" s="126"/>
      <c r="I18" s="126"/>
      <c r="J18" s="126"/>
      <c r="K18" s="127"/>
    </row>
    <row r="19" spans="1:11" ht="18.75" x14ac:dyDescent="0.3">
      <c r="A19" s="19" t="s">
        <v>3</v>
      </c>
      <c r="B19" s="19" t="s">
        <v>21</v>
      </c>
      <c r="C19" s="50" t="s">
        <v>5</v>
      </c>
      <c r="D19" s="1" t="s">
        <v>22</v>
      </c>
      <c r="E19" s="19" t="s">
        <v>7</v>
      </c>
      <c r="F19" s="19" t="s">
        <v>8</v>
      </c>
      <c r="G19" s="19" t="s">
        <v>23</v>
      </c>
      <c r="H19" s="20" t="s">
        <v>24</v>
      </c>
      <c r="I19" s="19" t="s">
        <v>11</v>
      </c>
      <c r="J19" s="19" t="s">
        <v>25</v>
      </c>
      <c r="K19" s="21" t="s">
        <v>26</v>
      </c>
    </row>
    <row r="20" spans="1:11" ht="15.75" x14ac:dyDescent="0.25">
      <c r="A20" s="8">
        <v>1</v>
      </c>
      <c r="B20" s="8" t="s">
        <v>476</v>
      </c>
      <c r="C20" s="75">
        <v>1000</v>
      </c>
      <c r="D20" s="5">
        <v>46212</v>
      </c>
      <c r="E20" s="8"/>
      <c r="F20" s="8"/>
      <c r="G20" s="22">
        <v>9559</v>
      </c>
      <c r="H20" s="23"/>
      <c r="I20" s="24"/>
      <c r="J20" s="5">
        <v>46212</v>
      </c>
      <c r="K20" s="13" t="s">
        <v>646</v>
      </c>
    </row>
    <row r="21" spans="1:11" ht="15.75" x14ac:dyDescent="0.25">
      <c r="A21" s="8">
        <v>2</v>
      </c>
      <c r="B21" s="8" t="s">
        <v>642</v>
      </c>
      <c r="C21" s="75">
        <v>50000</v>
      </c>
      <c r="D21" s="5">
        <v>46212</v>
      </c>
      <c r="E21" s="8"/>
      <c r="F21" s="8"/>
      <c r="G21" s="22">
        <v>9183</v>
      </c>
      <c r="H21" s="23"/>
      <c r="I21" s="24"/>
      <c r="J21" s="5">
        <v>46212</v>
      </c>
      <c r="K21" s="13" t="s">
        <v>430</v>
      </c>
    </row>
    <row r="22" spans="1:11" ht="18.75" x14ac:dyDescent="0.25">
      <c r="A22" s="8"/>
      <c r="B22" s="25" t="s">
        <v>27</v>
      </c>
      <c r="C22" s="83">
        <f>SUM(C20:C21)</f>
        <v>51000</v>
      </c>
      <c r="D22" s="3"/>
      <c r="E22" s="8"/>
      <c r="F22" s="8"/>
      <c r="G22" s="8"/>
      <c r="H22" s="27">
        <v>0</v>
      </c>
      <c r="I22" s="24"/>
      <c r="J22" s="3"/>
      <c r="K22" s="28"/>
    </row>
    <row r="23" spans="1:11" x14ac:dyDescent="0.25">
      <c r="C23" s="29"/>
      <c r="H23" s="29"/>
    </row>
    <row r="24" spans="1:11" ht="16.5" x14ac:dyDescent="0.3">
      <c r="B24" s="30" t="s">
        <v>28</v>
      </c>
      <c r="C24" s="76">
        <f>SUM(C12,C15,C16,C14)</f>
        <v>19320</v>
      </c>
      <c r="E24" s="32"/>
      <c r="F24" s="32"/>
      <c r="G24" s="116"/>
      <c r="H24" s="116"/>
    </row>
    <row r="25" spans="1:11" ht="16.5" x14ac:dyDescent="0.3">
      <c r="B25" s="33" t="s">
        <v>29</v>
      </c>
      <c r="C25" s="77">
        <f>SUM(C9,C10,C11,C13)</f>
        <v>10465</v>
      </c>
      <c r="E25" s="35"/>
      <c r="F25" s="35"/>
      <c r="G25" s="36" t="s">
        <v>30</v>
      </c>
      <c r="H25" s="37"/>
    </row>
    <row r="26" spans="1:11" ht="24" x14ac:dyDescent="0.4">
      <c r="B26" s="38" t="s">
        <v>31</v>
      </c>
      <c r="C26" s="78">
        <v>0</v>
      </c>
      <c r="E26" s="40" t="s">
        <v>32</v>
      </c>
      <c r="F26" s="41"/>
      <c r="G26" s="42"/>
      <c r="H26" s="43"/>
      <c r="I26" s="42"/>
      <c r="J26" s="44"/>
    </row>
    <row r="27" spans="1:11" ht="18.75" x14ac:dyDescent="0.3">
      <c r="B27" s="45" t="s">
        <v>16</v>
      </c>
      <c r="C27" s="79">
        <f>SUM(C24:C26)</f>
        <v>29785</v>
      </c>
      <c r="G27" s="36"/>
      <c r="H27" s="37"/>
      <c r="I27" s="36"/>
      <c r="J27" s="36"/>
    </row>
  </sheetData>
  <mergeCells count="6">
    <mergeCell ref="G24:H24"/>
    <mergeCell ref="A1:K1"/>
    <mergeCell ref="A2:K2"/>
    <mergeCell ref="A3:K3"/>
    <mergeCell ref="A8:K8"/>
    <mergeCell ref="A18:K18"/>
  </mergeCells>
  <pageMargins left="0.59055118110236215" right="0.15748031496062992" top="0.47244094488188976" bottom="0.23622047244094488" header="0.31496062992125984" footer="0.31496062992125984"/>
  <pageSetup scale="86" orientation="landscape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74D8C-5ACC-4FF4-9797-C8DC31ECC1BF}">
  <sheetPr>
    <pageSetUpPr fitToPage="1"/>
  </sheetPr>
  <dimension ref="A1:K27"/>
  <sheetViews>
    <sheetView topLeftCell="A5" workbookViewId="0">
      <selection activeCell="E18" sqref="E18"/>
    </sheetView>
  </sheetViews>
  <sheetFormatPr defaultRowHeight="15" x14ac:dyDescent="0.25"/>
  <cols>
    <col min="1" max="1" width="4.42578125" bestFit="1" customWidth="1"/>
    <col min="2" max="2" width="32.140625" bestFit="1" customWidth="1"/>
    <col min="3" max="3" width="12.710937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31" customWidth="1"/>
  </cols>
  <sheetData>
    <row r="1" spans="1:11" ht="48.75" x14ac:dyDescent="0.25">
      <c r="A1" s="128" t="s">
        <v>458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637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46213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46212</v>
      </c>
      <c r="K5" s="8" t="s">
        <v>33</v>
      </c>
    </row>
    <row r="6" spans="1:11" ht="15.75" x14ac:dyDescent="0.25">
      <c r="A6" s="3">
        <v>2</v>
      </c>
      <c r="B6" s="3" t="s">
        <v>45</v>
      </c>
      <c r="C6" s="80">
        <v>50000</v>
      </c>
      <c r="D6" s="5">
        <v>46213</v>
      </c>
      <c r="E6" s="6">
        <v>0</v>
      </c>
      <c r="F6" s="3" t="s">
        <v>14</v>
      </c>
      <c r="G6" s="49"/>
      <c r="H6" s="7">
        <v>0</v>
      </c>
      <c r="I6" s="3" t="s">
        <v>15</v>
      </c>
      <c r="J6" s="5">
        <f>+D6-1</f>
        <v>46212</v>
      </c>
      <c r="K6" s="13" t="s">
        <v>649</v>
      </c>
    </row>
    <row r="7" spans="1:11" ht="18.75" x14ac:dyDescent="0.3">
      <c r="A7" s="9"/>
      <c r="B7" s="10" t="s">
        <v>16</v>
      </c>
      <c r="C7" s="81">
        <f>SUM(C6)</f>
        <v>50000</v>
      </c>
      <c r="D7" s="3"/>
      <c r="E7" s="12"/>
      <c r="F7" s="9"/>
      <c r="G7" s="13"/>
      <c r="H7" s="11">
        <f>SUM(H5:H5)</f>
        <v>0</v>
      </c>
      <c r="I7" s="9"/>
      <c r="J7" s="9"/>
      <c r="K7" s="9"/>
    </row>
    <row r="9" spans="1:11" ht="24" x14ac:dyDescent="0.4">
      <c r="A9" s="122" t="s">
        <v>17</v>
      </c>
      <c r="B9" s="123"/>
      <c r="C9" s="123"/>
      <c r="D9" s="123"/>
      <c r="E9" s="123"/>
      <c r="F9" s="123"/>
      <c r="G9" s="123"/>
      <c r="H9" s="123"/>
      <c r="I9" s="123"/>
      <c r="J9" s="123"/>
      <c r="K9" s="124"/>
    </row>
    <row r="10" spans="1:11" ht="15.75" x14ac:dyDescent="0.25">
      <c r="A10" s="3">
        <v>1</v>
      </c>
      <c r="B10" s="3" t="s">
        <v>638</v>
      </c>
      <c r="C10" s="80">
        <v>90</v>
      </c>
      <c r="D10" s="5">
        <v>46213</v>
      </c>
      <c r="E10" s="14">
        <v>0</v>
      </c>
      <c r="F10" s="13" t="s">
        <v>18</v>
      </c>
      <c r="G10" s="55">
        <v>5574</v>
      </c>
      <c r="H10" s="16">
        <v>0</v>
      </c>
      <c r="I10" s="3" t="s">
        <v>19</v>
      </c>
      <c r="J10" s="5">
        <f t="shared" ref="J10:J14" si="0">+D10+1</f>
        <v>46214</v>
      </c>
      <c r="K10" s="13" t="s">
        <v>115</v>
      </c>
    </row>
    <row r="11" spans="1:11" ht="15.75" x14ac:dyDescent="0.25">
      <c r="A11" s="3">
        <v>2</v>
      </c>
      <c r="B11" s="3" t="s">
        <v>639</v>
      </c>
      <c r="C11" s="80">
        <v>9500</v>
      </c>
      <c r="D11" s="5">
        <f t="shared" ref="D11:D14" si="1">+D10</f>
        <v>46213</v>
      </c>
      <c r="E11" s="14">
        <v>0</v>
      </c>
      <c r="F11" s="13" t="s">
        <v>18</v>
      </c>
      <c r="G11" s="55">
        <v>2290</v>
      </c>
      <c r="H11" s="16">
        <v>0</v>
      </c>
      <c r="I11" s="3" t="s">
        <v>15</v>
      </c>
      <c r="J11" s="5">
        <f t="shared" si="0"/>
        <v>46214</v>
      </c>
      <c r="K11" s="13" t="s">
        <v>115</v>
      </c>
    </row>
    <row r="12" spans="1:11" ht="15.75" x14ac:dyDescent="0.25">
      <c r="A12" s="3">
        <v>3</v>
      </c>
      <c r="B12" s="3" t="s">
        <v>640</v>
      </c>
      <c r="C12" s="80">
        <v>42000</v>
      </c>
      <c r="D12" s="5">
        <f t="shared" si="1"/>
        <v>46213</v>
      </c>
      <c r="E12" s="14">
        <v>0</v>
      </c>
      <c r="F12" s="13" t="s">
        <v>18</v>
      </c>
      <c r="G12" s="55">
        <v>1053</v>
      </c>
      <c r="H12" s="16">
        <v>0</v>
      </c>
      <c r="I12" s="3" t="s">
        <v>15</v>
      </c>
      <c r="J12" s="5">
        <f t="shared" si="0"/>
        <v>46214</v>
      </c>
      <c r="K12" s="13" t="s">
        <v>102</v>
      </c>
    </row>
    <row r="13" spans="1:11" ht="15.75" x14ac:dyDescent="0.25">
      <c r="A13" s="3">
        <v>4</v>
      </c>
      <c r="B13" s="3" t="s">
        <v>641</v>
      </c>
      <c r="C13" s="80">
        <v>400</v>
      </c>
      <c r="D13" s="5">
        <f t="shared" si="1"/>
        <v>46213</v>
      </c>
      <c r="E13" s="14">
        <v>0</v>
      </c>
      <c r="F13" s="13" t="s">
        <v>18</v>
      </c>
      <c r="G13" s="55">
        <v>789</v>
      </c>
      <c r="H13" s="16">
        <v>0</v>
      </c>
      <c r="I13" s="3" t="s">
        <v>15</v>
      </c>
      <c r="J13" s="5">
        <f t="shared" si="0"/>
        <v>46214</v>
      </c>
      <c r="K13" s="13" t="s">
        <v>204</v>
      </c>
    </row>
    <row r="14" spans="1:11" ht="15.75" x14ac:dyDescent="0.25">
      <c r="A14" s="3">
        <v>5</v>
      </c>
      <c r="B14" s="3" t="s">
        <v>650</v>
      </c>
      <c r="C14" s="80">
        <v>19000</v>
      </c>
      <c r="D14" s="5">
        <f t="shared" si="1"/>
        <v>46213</v>
      </c>
      <c r="E14" s="14">
        <v>0</v>
      </c>
      <c r="F14" s="13" t="s">
        <v>18</v>
      </c>
      <c r="G14" s="55">
        <v>6750</v>
      </c>
      <c r="H14" s="16">
        <v>0</v>
      </c>
      <c r="I14" s="3" t="s">
        <v>15</v>
      </c>
      <c r="J14" s="5">
        <f t="shared" si="0"/>
        <v>46214</v>
      </c>
      <c r="K14" s="13" t="s">
        <v>651</v>
      </c>
    </row>
    <row r="15" spans="1:11" ht="18.75" x14ac:dyDescent="0.3">
      <c r="A15" s="3"/>
      <c r="B15" s="17" t="s">
        <v>16</v>
      </c>
      <c r="C15" s="82">
        <f>SUM(C10:C14)</f>
        <v>70990</v>
      </c>
      <c r="D15" s="3"/>
      <c r="E15" s="3"/>
      <c r="F15" s="13"/>
      <c r="G15" s="13"/>
      <c r="H15" s="11"/>
      <c r="I15" s="3"/>
      <c r="J15" s="3"/>
      <c r="K15" s="3"/>
    </row>
    <row r="16" spans="1:11" ht="24.75" x14ac:dyDescent="0.5">
      <c r="A16" s="125" t="s">
        <v>20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7"/>
    </row>
    <row r="17" spans="1:11" ht="18.75" x14ac:dyDescent="0.3">
      <c r="A17" s="19" t="s">
        <v>3</v>
      </c>
      <c r="B17" s="19" t="s">
        <v>21</v>
      </c>
      <c r="C17" s="50" t="s">
        <v>5</v>
      </c>
      <c r="D17" s="1" t="s">
        <v>22</v>
      </c>
      <c r="E17" s="19" t="s">
        <v>7</v>
      </c>
      <c r="F17" s="19" t="s">
        <v>8</v>
      </c>
      <c r="G17" s="19" t="s">
        <v>23</v>
      </c>
      <c r="H17" s="20" t="s">
        <v>24</v>
      </c>
      <c r="I17" s="19" t="s">
        <v>11</v>
      </c>
      <c r="J17" s="19" t="s">
        <v>25</v>
      </c>
      <c r="K17" s="21" t="s">
        <v>26</v>
      </c>
    </row>
    <row r="18" spans="1:11" ht="15.75" x14ac:dyDescent="0.25">
      <c r="A18" s="8">
        <v>1</v>
      </c>
      <c r="B18" s="8" t="s">
        <v>643</v>
      </c>
      <c r="C18" s="75">
        <v>116.82</v>
      </c>
      <c r="D18" s="5">
        <v>46213</v>
      </c>
      <c r="E18" s="8"/>
      <c r="F18" s="8"/>
      <c r="G18" s="22">
        <v>0</v>
      </c>
      <c r="H18" s="23"/>
      <c r="I18" s="24"/>
      <c r="J18" s="5">
        <v>46213</v>
      </c>
      <c r="K18" s="13" t="s">
        <v>647</v>
      </c>
    </row>
    <row r="19" spans="1:11" ht="15.75" x14ac:dyDescent="0.25">
      <c r="A19" s="8">
        <v>2</v>
      </c>
      <c r="B19" s="8" t="s">
        <v>41</v>
      </c>
      <c r="C19" s="75">
        <v>28767</v>
      </c>
      <c r="D19" s="5">
        <v>46213</v>
      </c>
      <c r="E19" s="8"/>
      <c r="F19" s="8"/>
      <c r="G19" s="22">
        <v>132</v>
      </c>
      <c r="H19" s="23"/>
      <c r="I19" s="24"/>
      <c r="J19" s="5">
        <v>46213</v>
      </c>
      <c r="K19" s="13" t="s">
        <v>115</v>
      </c>
    </row>
    <row r="20" spans="1:11" ht="15.75" x14ac:dyDescent="0.25">
      <c r="A20" s="8">
        <v>3</v>
      </c>
      <c r="B20" s="8" t="s">
        <v>644</v>
      </c>
      <c r="C20" s="75">
        <v>699</v>
      </c>
      <c r="D20" s="5">
        <v>46213</v>
      </c>
      <c r="E20" s="8"/>
      <c r="F20" s="8"/>
      <c r="G20" s="22">
        <v>8862</v>
      </c>
      <c r="H20" s="23"/>
      <c r="I20" s="24"/>
      <c r="J20" s="5">
        <v>46213</v>
      </c>
      <c r="K20" s="13" t="s">
        <v>648</v>
      </c>
    </row>
    <row r="21" spans="1:11" ht="15.75" x14ac:dyDescent="0.25">
      <c r="A21" s="8">
        <v>4</v>
      </c>
      <c r="B21" s="8" t="s">
        <v>645</v>
      </c>
      <c r="C21" s="75">
        <v>49400</v>
      </c>
      <c r="D21" s="5">
        <v>46213</v>
      </c>
      <c r="E21" s="8"/>
      <c r="F21" s="8"/>
      <c r="G21" s="22">
        <v>11</v>
      </c>
      <c r="H21" s="23"/>
      <c r="I21" s="24"/>
      <c r="J21" s="5">
        <v>46213</v>
      </c>
      <c r="K21" s="13" t="s">
        <v>649</v>
      </c>
    </row>
    <row r="22" spans="1:11" ht="18.75" x14ac:dyDescent="0.25">
      <c r="A22" s="8"/>
      <c r="B22" s="25" t="s">
        <v>27</v>
      </c>
      <c r="C22" s="83">
        <f>SUM(C18:C21)</f>
        <v>78982.820000000007</v>
      </c>
      <c r="D22" s="3"/>
      <c r="E22" s="8"/>
      <c r="F22" s="8"/>
      <c r="G22" s="8"/>
      <c r="H22" s="27">
        <v>0</v>
      </c>
      <c r="I22" s="24"/>
      <c r="J22" s="3"/>
      <c r="K22" s="28"/>
    </row>
    <row r="23" spans="1:11" x14ac:dyDescent="0.25">
      <c r="C23" s="29"/>
      <c r="H23" s="29"/>
    </row>
    <row r="24" spans="1:11" ht="16.5" x14ac:dyDescent="0.3">
      <c r="B24" s="30" t="s">
        <v>28</v>
      </c>
      <c r="C24" s="76">
        <f>SUM(C13,C12)</f>
        <v>42400</v>
      </c>
      <c r="E24" s="32"/>
      <c r="F24" s="32"/>
      <c r="G24" s="116"/>
      <c r="H24" s="116"/>
    </row>
    <row r="25" spans="1:11" ht="16.5" x14ac:dyDescent="0.3">
      <c r="B25" s="33" t="s">
        <v>29</v>
      </c>
      <c r="C25" s="77">
        <f>SUM(C10,C11)</f>
        <v>9590</v>
      </c>
      <c r="E25" s="35"/>
      <c r="F25" s="35"/>
      <c r="G25" s="36" t="s">
        <v>30</v>
      </c>
      <c r="H25" s="37"/>
    </row>
    <row r="26" spans="1:11" ht="24" x14ac:dyDescent="0.4">
      <c r="B26" s="38" t="s">
        <v>652</v>
      </c>
      <c r="C26" s="78">
        <f>SUM(C14)</f>
        <v>19000</v>
      </c>
      <c r="E26" s="40" t="s">
        <v>32</v>
      </c>
      <c r="F26" s="41"/>
      <c r="G26" s="42"/>
      <c r="H26" s="43"/>
      <c r="I26" s="42"/>
      <c r="J26" s="44"/>
    </row>
    <row r="27" spans="1:11" ht="18.75" x14ac:dyDescent="0.3">
      <c r="B27" s="45" t="s">
        <v>16</v>
      </c>
      <c r="C27" s="79">
        <f>SUM(C24:C26)</f>
        <v>70990</v>
      </c>
      <c r="G27" s="36"/>
      <c r="H27" s="37"/>
      <c r="I27" s="36"/>
      <c r="J27" s="36"/>
    </row>
  </sheetData>
  <mergeCells count="6">
    <mergeCell ref="G24:H24"/>
    <mergeCell ref="A1:K1"/>
    <mergeCell ref="A2:K2"/>
    <mergeCell ref="A3:K3"/>
    <mergeCell ref="A9:K9"/>
    <mergeCell ref="A16:K16"/>
  </mergeCells>
  <pageMargins left="0.59055118110236215" right="0.15748031496062992" top="0.47244094488188976" bottom="0.23622047244094488" header="0.31496062992125984" footer="0.31496062992125984"/>
  <pageSetup scale="80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4E08E-0493-495B-AFC6-80956F0A399D}">
  <sheetPr>
    <pageSetUpPr fitToPage="1"/>
  </sheetPr>
  <dimension ref="A1:M23"/>
  <sheetViews>
    <sheetView topLeftCell="A4" workbookViewId="0">
      <selection sqref="A1:K23"/>
    </sheetView>
  </sheetViews>
  <sheetFormatPr defaultRowHeight="15" x14ac:dyDescent="0.25"/>
  <cols>
    <col min="1" max="1" width="4.42578125" bestFit="1" customWidth="1"/>
    <col min="2" max="2" width="30.28515625" customWidth="1"/>
    <col min="3" max="3" width="12.710937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6" customWidth="1"/>
  </cols>
  <sheetData>
    <row r="1" spans="1:13" ht="24.75" x14ac:dyDescent="0.25">
      <c r="A1" s="117" t="s">
        <v>654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M1" t="s">
        <v>30</v>
      </c>
    </row>
    <row r="2" spans="1:13" ht="21" x14ac:dyDescent="0.35">
      <c r="A2" s="118" t="s">
        <v>658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3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3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3" ht="15.75" x14ac:dyDescent="0.25">
      <c r="A5" s="3">
        <v>1</v>
      </c>
      <c r="B5" s="3" t="s">
        <v>51</v>
      </c>
      <c r="C5" s="80">
        <v>0</v>
      </c>
      <c r="D5" s="5">
        <v>46214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46213</v>
      </c>
      <c r="K5" s="8" t="s">
        <v>33</v>
      </c>
    </row>
    <row r="6" spans="1:13" ht="18.75" x14ac:dyDescent="0.3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3" ht="24" x14ac:dyDescent="0.4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3" ht="15.75" x14ac:dyDescent="0.25">
      <c r="A9" s="3">
        <v>1</v>
      </c>
      <c r="B9" s="3" t="s">
        <v>653</v>
      </c>
      <c r="C9" s="80">
        <v>1245</v>
      </c>
      <c r="D9" s="5">
        <v>46214</v>
      </c>
      <c r="E9" s="14">
        <v>0</v>
      </c>
      <c r="F9" s="13" t="s">
        <v>18</v>
      </c>
      <c r="G9" s="55">
        <v>692</v>
      </c>
      <c r="H9" s="16">
        <v>0</v>
      </c>
      <c r="I9" s="3" t="s">
        <v>19</v>
      </c>
      <c r="J9" s="5">
        <f t="shared" ref="J9:J12" si="0">+D9+1</f>
        <v>46215</v>
      </c>
      <c r="K9" s="13" t="s">
        <v>115</v>
      </c>
    </row>
    <row r="10" spans="1:13" ht="15.75" x14ac:dyDescent="0.25">
      <c r="A10" s="3">
        <v>2</v>
      </c>
      <c r="B10" s="3" t="s">
        <v>655</v>
      </c>
      <c r="C10" s="80">
        <v>460</v>
      </c>
      <c r="D10" s="5">
        <f t="shared" ref="D10:D12" si="1">+D9</f>
        <v>46214</v>
      </c>
      <c r="E10" s="14">
        <v>0</v>
      </c>
      <c r="F10" s="13" t="s">
        <v>18</v>
      </c>
      <c r="G10" s="55">
        <v>6974</v>
      </c>
      <c r="H10" s="16">
        <v>0</v>
      </c>
      <c r="I10" s="3" t="s">
        <v>15</v>
      </c>
      <c r="J10" s="5">
        <f t="shared" si="0"/>
        <v>46215</v>
      </c>
      <c r="K10" s="13" t="s">
        <v>115</v>
      </c>
    </row>
    <row r="11" spans="1:13" ht="15.75" x14ac:dyDescent="0.25">
      <c r="A11" s="3">
        <v>3</v>
      </c>
      <c r="B11" s="3" t="s">
        <v>656</v>
      </c>
      <c r="C11" s="80">
        <v>8280</v>
      </c>
      <c r="D11" s="5">
        <f t="shared" si="1"/>
        <v>46214</v>
      </c>
      <c r="E11" s="14">
        <v>0</v>
      </c>
      <c r="F11" s="13" t="s">
        <v>18</v>
      </c>
      <c r="G11" s="55">
        <v>6829</v>
      </c>
      <c r="H11" s="16">
        <v>0</v>
      </c>
      <c r="I11" s="3" t="s">
        <v>15</v>
      </c>
      <c r="J11" s="5">
        <f t="shared" si="0"/>
        <v>46215</v>
      </c>
      <c r="K11" s="13" t="s">
        <v>115</v>
      </c>
    </row>
    <row r="12" spans="1:13" ht="15.75" x14ac:dyDescent="0.25">
      <c r="A12" s="3">
        <v>4</v>
      </c>
      <c r="B12" s="3">
        <v>9044159363</v>
      </c>
      <c r="C12" s="80">
        <v>2000</v>
      </c>
      <c r="D12" s="5">
        <f t="shared" si="1"/>
        <v>46214</v>
      </c>
      <c r="E12" s="14">
        <v>0</v>
      </c>
      <c r="F12" s="13" t="s">
        <v>18</v>
      </c>
      <c r="G12" s="55">
        <v>9774</v>
      </c>
      <c r="H12" s="16">
        <v>0</v>
      </c>
      <c r="I12" s="3" t="s">
        <v>15</v>
      </c>
      <c r="J12" s="5">
        <f t="shared" si="0"/>
        <v>46215</v>
      </c>
      <c r="K12" s="13" t="s">
        <v>279</v>
      </c>
    </row>
    <row r="13" spans="1:13" ht="18.75" x14ac:dyDescent="0.3">
      <c r="A13" s="3"/>
      <c r="B13" s="17" t="s">
        <v>16</v>
      </c>
      <c r="C13" s="82">
        <f>SUM(C9:C12)</f>
        <v>11985</v>
      </c>
      <c r="D13" s="3"/>
      <c r="E13" s="3"/>
      <c r="F13" s="13"/>
      <c r="G13" s="13"/>
      <c r="H13" s="11"/>
      <c r="I13" s="3"/>
      <c r="J13" s="3"/>
      <c r="K13" s="3"/>
    </row>
    <row r="14" spans="1:13" ht="24.75" x14ac:dyDescent="0.5">
      <c r="A14" s="125" t="s">
        <v>20</v>
      </c>
      <c r="B14" s="126"/>
      <c r="C14" s="126"/>
      <c r="D14" s="126"/>
      <c r="E14" s="126"/>
      <c r="F14" s="126"/>
      <c r="G14" s="126"/>
      <c r="H14" s="126"/>
      <c r="I14" s="126"/>
      <c r="J14" s="126"/>
      <c r="K14" s="127"/>
    </row>
    <row r="15" spans="1:13" ht="18.75" x14ac:dyDescent="0.3">
      <c r="A15" s="19" t="s">
        <v>3</v>
      </c>
      <c r="B15" s="19" t="s">
        <v>21</v>
      </c>
      <c r="C15" s="50" t="s">
        <v>5</v>
      </c>
      <c r="D15" s="1" t="s">
        <v>22</v>
      </c>
      <c r="E15" s="19" t="s">
        <v>7</v>
      </c>
      <c r="F15" s="19" t="s">
        <v>8</v>
      </c>
      <c r="G15" s="19" t="s">
        <v>23</v>
      </c>
      <c r="H15" s="20" t="s">
        <v>24</v>
      </c>
      <c r="I15" s="19" t="s">
        <v>11</v>
      </c>
      <c r="J15" s="19" t="s">
        <v>25</v>
      </c>
      <c r="K15" s="21" t="s">
        <v>26</v>
      </c>
    </row>
    <row r="16" spans="1:13" ht="15.75" x14ac:dyDescent="0.25">
      <c r="A16" s="8">
        <v>1</v>
      </c>
      <c r="B16" s="8" t="s">
        <v>657</v>
      </c>
      <c r="C16" s="75">
        <v>2000</v>
      </c>
      <c r="D16" s="5">
        <v>46214</v>
      </c>
      <c r="E16" s="8"/>
      <c r="F16" s="8"/>
      <c r="G16" s="22">
        <v>2455</v>
      </c>
      <c r="H16" s="23"/>
      <c r="I16" s="24"/>
      <c r="J16" s="5">
        <v>46214</v>
      </c>
      <c r="K16" s="13" t="s">
        <v>659</v>
      </c>
    </row>
    <row r="17" spans="1:11" ht="15.75" x14ac:dyDescent="0.25">
      <c r="A17" s="8">
        <v>2</v>
      </c>
      <c r="B17" s="8" t="s">
        <v>41</v>
      </c>
      <c r="C17" s="75">
        <v>21406</v>
      </c>
      <c r="D17" s="5">
        <v>46214</v>
      </c>
      <c r="E17" s="8"/>
      <c r="F17" s="8"/>
      <c r="G17" s="22">
        <v>147</v>
      </c>
      <c r="H17" s="23"/>
      <c r="I17" s="24"/>
      <c r="J17" s="5">
        <v>46214</v>
      </c>
      <c r="K17" s="13" t="s">
        <v>202</v>
      </c>
    </row>
    <row r="18" spans="1:11" ht="18.75" x14ac:dyDescent="0.25">
      <c r="A18" s="8"/>
      <c r="B18" s="25" t="s">
        <v>27</v>
      </c>
      <c r="C18" s="83">
        <f>SUM(C16:C17)</f>
        <v>23406</v>
      </c>
      <c r="D18" s="3"/>
      <c r="E18" s="8"/>
      <c r="F18" s="8"/>
      <c r="G18" s="8"/>
      <c r="H18" s="27">
        <v>0</v>
      </c>
      <c r="I18" s="24"/>
      <c r="J18" s="3"/>
      <c r="K18" s="28"/>
    </row>
    <row r="19" spans="1:11" x14ac:dyDescent="0.25">
      <c r="C19" s="29"/>
      <c r="H19" s="29"/>
    </row>
    <row r="20" spans="1:11" ht="16.5" x14ac:dyDescent="0.3">
      <c r="B20" s="30" t="s">
        <v>28</v>
      </c>
      <c r="C20" s="76">
        <v>0</v>
      </c>
      <c r="E20" s="32"/>
      <c r="F20" s="32"/>
      <c r="G20" s="116"/>
      <c r="H20" s="116"/>
    </row>
    <row r="21" spans="1:11" ht="16.5" x14ac:dyDescent="0.3">
      <c r="B21" s="33" t="s">
        <v>29</v>
      </c>
      <c r="C21" s="77">
        <f>SUM(C9,C10,C11)</f>
        <v>9985</v>
      </c>
      <c r="E21" s="35"/>
      <c r="F21" s="35"/>
      <c r="G21" s="36" t="s">
        <v>30</v>
      </c>
      <c r="H21" s="37"/>
    </row>
    <row r="22" spans="1:11" ht="24" x14ac:dyDescent="0.4">
      <c r="B22" s="38" t="s">
        <v>613</v>
      </c>
      <c r="C22" s="78">
        <f>SUM(C12)</f>
        <v>2000</v>
      </c>
      <c r="E22" s="40" t="s">
        <v>32</v>
      </c>
      <c r="F22" s="41"/>
      <c r="G22" s="42"/>
      <c r="H22" s="43"/>
      <c r="I22" s="42"/>
      <c r="J22" s="44"/>
    </row>
    <row r="23" spans="1:11" ht="18.75" x14ac:dyDescent="0.3">
      <c r="B23" s="45" t="s">
        <v>16</v>
      </c>
      <c r="C23" s="79">
        <f>SUM(C20:C22)</f>
        <v>11985</v>
      </c>
      <c r="G23" s="36"/>
      <c r="H23" s="37"/>
      <c r="I23" s="36"/>
      <c r="J23" s="36"/>
    </row>
  </sheetData>
  <mergeCells count="6">
    <mergeCell ref="G20:H20"/>
    <mergeCell ref="A1:K1"/>
    <mergeCell ref="A2:K2"/>
    <mergeCell ref="A3:K3"/>
    <mergeCell ref="A8:K8"/>
    <mergeCell ref="A14:K14"/>
  </mergeCells>
  <pageMargins left="0.59055118110236215" right="0.15748031496062992" top="0.47244094488188976" bottom="0.23622047244094488" header="0.31496062992125984" footer="0.31496062992125984"/>
  <pageSetup scale="7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23C1D-11FE-4AD0-9F01-384C0B3F67D4}">
  <sheetPr>
    <pageSetUpPr fitToPage="1"/>
  </sheetPr>
  <dimension ref="A1:K25"/>
  <sheetViews>
    <sheetView workbookViewId="0">
      <selection activeCell="A2" sqref="A2:K2"/>
    </sheetView>
  </sheetViews>
  <sheetFormatPr defaultRowHeight="15" x14ac:dyDescent="0.25"/>
  <cols>
    <col min="1" max="1" width="4.42578125" bestFit="1" customWidth="1"/>
    <col min="2" max="2" width="25" bestFit="1" customWidth="1"/>
    <col min="3" max="3" width="12.710937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5.5703125" customWidth="1"/>
  </cols>
  <sheetData>
    <row r="1" spans="1:11" ht="24.75" x14ac:dyDescent="0.25">
      <c r="A1" s="117" t="s">
        <v>654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666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46215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46214</v>
      </c>
      <c r="K5" s="8" t="s">
        <v>33</v>
      </c>
    </row>
    <row r="6" spans="1:11" ht="18.75" x14ac:dyDescent="0.3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4" x14ac:dyDescent="0.4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75" x14ac:dyDescent="0.25">
      <c r="A9" s="3">
        <v>1</v>
      </c>
      <c r="B9" s="3" t="s">
        <v>661</v>
      </c>
      <c r="C9" s="80">
        <v>7326</v>
      </c>
      <c r="D9" s="5">
        <v>46215</v>
      </c>
      <c r="E9" s="14">
        <v>0</v>
      </c>
      <c r="F9" s="13" t="s">
        <v>18</v>
      </c>
      <c r="G9" s="55">
        <v>3049</v>
      </c>
      <c r="H9" s="16">
        <v>0</v>
      </c>
      <c r="I9" s="3" t="s">
        <v>19</v>
      </c>
      <c r="J9" s="5">
        <f t="shared" ref="J9:J14" si="0">+D9+1</f>
        <v>46216</v>
      </c>
      <c r="K9" s="13" t="s">
        <v>667</v>
      </c>
    </row>
    <row r="10" spans="1:11" ht="15.75" x14ac:dyDescent="0.25">
      <c r="A10" s="3">
        <v>2</v>
      </c>
      <c r="B10" s="3" t="s">
        <v>662</v>
      </c>
      <c r="C10" s="80">
        <v>1850</v>
      </c>
      <c r="D10" s="5">
        <f t="shared" ref="D10:D14" si="1">+D9</f>
        <v>46215</v>
      </c>
      <c r="E10" s="14">
        <v>0</v>
      </c>
      <c r="F10" s="13" t="s">
        <v>18</v>
      </c>
      <c r="G10" s="55">
        <v>1500</v>
      </c>
      <c r="H10" s="16">
        <v>0</v>
      </c>
      <c r="I10" s="3" t="s">
        <v>15</v>
      </c>
      <c r="J10" s="5">
        <f t="shared" si="0"/>
        <v>46216</v>
      </c>
      <c r="K10" s="13" t="s">
        <v>115</v>
      </c>
    </row>
    <row r="11" spans="1:11" ht="15.75" x14ac:dyDescent="0.25">
      <c r="A11" s="3">
        <v>3</v>
      </c>
      <c r="B11" s="3" t="s">
        <v>662</v>
      </c>
      <c r="C11" s="80">
        <v>2000</v>
      </c>
      <c r="D11" s="5">
        <f t="shared" si="1"/>
        <v>46215</v>
      </c>
      <c r="E11" s="14">
        <v>0</v>
      </c>
      <c r="F11" s="13" t="s">
        <v>18</v>
      </c>
      <c r="G11" s="55">
        <v>7848</v>
      </c>
      <c r="H11" s="16">
        <v>0</v>
      </c>
      <c r="I11" s="3" t="s">
        <v>15</v>
      </c>
      <c r="J11" s="5">
        <f t="shared" si="0"/>
        <v>46216</v>
      </c>
      <c r="K11" s="13" t="s">
        <v>115</v>
      </c>
    </row>
    <row r="12" spans="1:11" ht="15.75" x14ac:dyDescent="0.25">
      <c r="A12" s="3">
        <v>4</v>
      </c>
      <c r="B12" s="3" t="s">
        <v>663</v>
      </c>
      <c r="C12" s="80">
        <v>2530</v>
      </c>
      <c r="D12" s="5">
        <f t="shared" si="1"/>
        <v>46215</v>
      </c>
      <c r="E12" s="14">
        <v>0</v>
      </c>
      <c r="F12" s="13" t="s">
        <v>18</v>
      </c>
      <c r="G12" s="55">
        <v>4828</v>
      </c>
      <c r="H12" s="16">
        <v>0</v>
      </c>
      <c r="I12" s="3" t="s">
        <v>15</v>
      </c>
      <c r="J12" s="5">
        <f t="shared" si="0"/>
        <v>46216</v>
      </c>
      <c r="K12" s="13" t="s">
        <v>115</v>
      </c>
    </row>
    <row r="13" spans="1:11" ht="15.75" x14ac:dyDescent="0.25">
      <c r="A13" s="3">
        <v>5</v>
      </c>
      <c r="B13" s="3" t="s">
        <v>664</v>
      </c>
      <c r="C13" s="80">
        <v>660</v>
      </c>
      <c r="D13" s="5">
        <f t="shared" si="1"/>
        <v>46215</v>
      </c>
      <c r="E13" s="14">
        <v>0</v>
      </c>
      <c r="F13" s="13" t="s">
        <v>18</v>
      </c>
      <c r="G13" s="55">
        <v>7179</v>
      </c>
      <c r="H13" s="16">
        <v>0</v>
      </c>
      <c r="I13" s="3" t="s">
        <v>15</v>
      </c>
      <c r="J13" s="5">
        <f t="shared" si="0"/>
        <v>46216</v>
      </c>
      <c r="K13" s="13" t="s">
        <v>115</v>
      </c>
    </row>
    <row r="14" spans="1:11" ht="15.75" x14ac:dyDescent="0.25">
      <c r="A14" s="3">
        <v>6</v>
      </c>
      <c r="B14" s="3" t="s">
        <v>665</v>
      </c>
      <c r="C14" s="80">
        <v>500</v>
      </c>
      <c r="D14" s="5">
        <f t="shared" si="1"/>
        <v>46215</v>
      </c>
      <c r="E14" s="14">
        <v>0</v>
      </c>
      <c r="F14" s="13" t="s">
        <v>18</v>
      </c>
      <c r="G14" s="55">
        <v>4487</v>
      </c>
      <c r="H14" s="16">
        <v>0</v>
      </c>
      <c r="I14" s="3" t="s">
        <v>15</v>
      </c>
      <c r="J14" s="5">
        <f t="shared" si="0"/>
        <v>46216</v>
      </c>
      <c r="K14" s="13" t="s">
        <v>115</v>
      </c>
    </row>
    <row r="15" spans="1:11" ht="18.75" x14ac:dyDescent="0.3">
      <c r="A15" s="3"/>
      <c r="B15" s="17" t="s">
        <v>16</v>
      </c>
      <c r="C15" s="82">
        <f>SUM(C9:C14)</f>
        <v>14866</v>
      </c>
      <c r="D15" s="3"/>
      <c r="E15" s="3"/>
      <c r="F15" s="13"/>
      <c r="G15" s="13"/>
      <c r="H15" s="11"/>
      <c r="I15" s="3"/>
      <c r="J15" s="3"/>
      <c r="K15" s="3"/>
    </row>
    <row r="16" spans="1:11" ht="24.75" x14ac:dyDescent="0.5">
      <c r="A16" s="125" t="s">
        <v>20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7"/>
    </row>
    <row r="17" spans="1:11" ht="18.75" x14ac:dyDescent="0.3">
      <c r="A17" s="19" t="s">
        <v>3</v>
      </c>
      <c r="B17" s="19" t="s">
        <v>21</v>
      </c>
      <c r="C17" s="50" t="s">
        <v>5</v>
      </c>
      <c r="D17" s="1" t="s">
        <v>22</v>
      </c>
      <c r="E17" s="19" t="s">
        <v>7</v>
      </c>
      <c r="F17" s="19" t="s">
        <v>8</v>
      </c>
      <c r="G17" s="19" t="s">
        <v>23</v>
      </c>
      <c r="H17" s="20" t="s">
        <v>24</v>
      </c>
      <c r="I17" s="19" t="s">
        <v>11</v>
      </c>
      <c r="J17" s="19" t="s">
        <v>25</v>
      </c>
      <c r="K17" s="21" t="s">
        <v>26</v>
      </c>
    </row>
    <row r="18" spans="1:11" ht="15.75" x14ac:dyDescent="0.25">
      <c r="A18" s="8">
        <v>1</v>
      </c>
      <c r="B18" s="8" t="s">
        <v>660</v>
      </c>
      <c r="C18" s="75">
        <v>15000</v>
      </c>
      <c r="D18" s="5">
        <v>46215</v>
      </c>
      <c r="E18" s="8"/>
      <c r="F18" s="8"/>
      <c r="G18" s="22">
        <v>7416</v>
      </c>
      <c r="H18" s="23"/>
      <c r="I18" s="24"/>
      <c r="J18" s="5">
        <v>46215</v>
      </c>
      <c r="K18" s="13" t="s">
        <v>669</v>
      </c>
    </row>
    <row r="19" spans="1:11" ht="15.75" x14ac:dyDescent="0.25">
      <c r="A19" s="8">
        <v>2</v>
      </c>
      <c r="B19" s="8" t="s">
        <v>273</v>
      </c>
      <c r="C19" s="75">
        <v>25000</v>
      </c>
      <c r="D19" s="5">
        <v>46215</v>
      </c>
      <c r="E19" s="8"/>
      <c r="F19" s="8"/>
      <c r="G19" s="22">
        <v>7447</v>
      </c>
      <c r="H19" s="23"/>
      <c r="I19" s="24"/>
      <c r="J19" s="5">
        <v>46215</v>
      </c>
      <c r="K19" s="13" t="s">
        <v>668</v>
      </c>
    </row>
    <row r="20" spans="1:11" ht="18.75" x14ac:dyDescent="0.25">
      <c r="A20" s="8"/>
      <c r="B20" s="25" t="s">
        <v>27</v>
      </c>
      <c r="C20" s="83">
        <f>SUM(C18:C19)</f>
        <v>40000</v>
      </c>
      <c r="D20" s="3"/>
      <c r="E20" s="8"/>
      <c r="F20" s="8"/>
      <c r="G20" s="8"/>
      <c r="H20" s="27">
        <v>0</v>
      </c>
      <c r="I20" s="24"/>
      <c r="J20" s="3"/>
      <c r="K20" s="28"/>
    </row>
    <row r="21" spans="1:11" x14ac:dyDescent="0.25">
      <c r="C21" s="29"/>
      <c r="H21" s="29"/>
    </row>
    <row r="22" spans="1:11" ht="16.5" x14ac:dyDescent="0.3">
      <c r="B22" s="30" t="s">
        <v>28</v>
      </c>
      <c r="C22" s="76">
        <f>SUM(C9)</f>
        <v>7326</v>
      </c>
      <c r="E22" s="32"/>
      <c r="F22" s="32"/>
      <c r="G22" s="116"/>
      <c r="H22" s="116"/>
    </row>
    <row r="23" spans="1:11" ht="16.5" x14ac:dyDescent="0.3">
      <c r="B23" s="33" t="s">
        <v>29</v>
      </c>
      <c r="C23" s="77">
        <f>SUM(C10,C11,C12,C14,C13)</f>
        <v>7540</v>
      </c>
      <c r="E23" s="35"/>
      <c r="F23" s="35"/>
      <c r="G23" s="36" t="s">
        <v>30</v>
      </c>
      <c r="H23" s="37"/>
    </row>
    <row r="24" spans="1:11" ht="24" x14ac:dyDescent="0.4">
      <c r="B24" s="38" t="s">
        <v>31</v>
      </c>
      <c r="C24" s="78"/>
      <c r="E24" s="40" t="s">
        <v>32</v>
      </c>
      <c r="F24" s="41"/>
      <c r="G24" s="42"/>
      <c r="H24" s="43"/>
      <c r="I24" s="42"/>
      <c r="J24" s="44"/>
    </row>
    <row r="25" spans="1:11" ht="18.75" x14ac:dyDescent="0.3">
      <c r="B25" s="45" t="s">
        <v>16</v>
      </c>
      <c r="C25" s="79">
        <f>SUM(C22:C24)</f>
        <v>14866</v>
      </c>
      <c r="G25" s="36"/>
      <c r="H25" s="37"/>
      <c r="I25" s="36"/>
      <c r="J25" s="36"/>
    </row>
  </sheetData>
  <mergeCells count="6">
    <mergeCell ref="G22:H22"/>
    <mergeCell ref="A1:K1"/>
    <mergeCell ref="A2:K2"/>
    <mergeCell ref="A3:K3"/>
    <mergeCell ref="A8:K8"/>
    <mergeCell ref="A16:K16"/>
  </mergeCells>
  <pageMargins left="0.59055118110236215" right="0.15748031496062992" top="0.47244094488188976" bottom="0.23622047244094488" header="0.31496062992125984" footer="0.31496062992125984"/>
  <pageSetup scale="87" orientation="landscape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70A36-90FE-4F10-B4E2-9464CA43D665}">
  <dimension ref="A1:K26"/>
  <sheetViews>
    <sheetView workbookViewId="0">
      <selection activeCell="A2" sqref="A2:K2"/>
    </sheetView>
  </sheetViews>
  <sheetFormatPr defaultRowHeight="15" x14ac:dyDescent="0.25"/>
  <cols>
    <col min="1" max="1" width="4.42578125" bestFit="1" customWidth="1"/>
    <col min="2" max="2" width="23.140625" bestFit="1" customWidth="1"/>
    <col min="3" max="3" width="12.710937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8.42578125" customWidth="1"/>
  </cols>
  <sheetData>
    <row r="1" spans="1:11" ht="24.75" x14ac:dyDescent="0.25">
      <c r="A1" s="117" t="s">
        <v>654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670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46216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46215</v>
      </c>
      <c r="K5" s="8" t="s">
        <v>33</v>
      </c>
    </row>
    <row r="6" spans="1:11" ht="15.75" x14ac:dyDescent="0.25">
      <c r="A6" s="3">
        <v>2</v>
      </c>
      <c r="B6" s="3"/>
      <c r="C6" s="80">
        <v>0</v>
      </c>
      <c r="D6" s="5">
        <v>46216</v>
      </c>
      <c r="E6" s="6">
        <v>0</v>
      </c>
      <c r="F6" s="3" t="s">
        <v>14</v>
      </c>
      <c r="G6" s="49"/>
      <c r="H6" s="7">
        <v>0</v>
      </c>
      <c r="I6" s="3" t="s">
        <v>15</v>
      </c>
      <c r="J6" s="5">
        <f>+D6-1</f>
        <v>46215</v>
      </c>
      <c r="K6" s="8"/>
    </row>
    <row r="7" spans="1:11" ht="18.75" x14ac:dyDescent="0.3">
      <c r="A7" s="9"/>
      <c r="B7" s="10" t="s">
        <v>16</v>
      </c>
      <c r="C7" s="81">
        <f>SUM(C5:C6)</f>
        <v>0</v>
      </c>
      <c r="D7" s="3"/>
      <c r="E7" s="12"/>
      <c r="F7" s="9"/>
      <c r="G7" s="13"/>
      <c r="H7" s="11">
        <f>SUM(H5:H5)</f>
        <v>0</v>
      </c>
      <c r="I7" s="9"/>
      <c r="J7" s="9"/>
      <c r="K7" s="9"/>
    </row>
    <row r="9" spans="1:11" ht="24" x14ac:dyDescent="0.4">
      <c r="A9" s="122" t="s">
        <v>17</v>
      </c>
      <c r="B9" s="123"/>
      <c r="C9" s="123"/>
      <c r="D9" s="123"/>
      <c r="E9" s="123"/>
      <c r="F9" s="123"/>
      <c r="G9" s="123"/>
      <c r="H9" s="123"/>
      <c r="I9" s="123"/>
      <c r="J9" s="123"/>
      <c r="K9" s="124"/>
    </row>
    <row r="10" spans="1:11" ht="15.75" x14ac:dyDescent="0.25">
      <c r="A10" s="3">
        <v>1</v>
      </c>
      <c r="B10" s="3" t="s">
        <v>671</v>
      </c>
      <c r="C10" s="80">
        <v>21000</v>
      </c>
      <c r="D10" s="5">
        <v>46216</v>
      </c>
      <c r="E10" s="14">
        <v>0</v>
      </c>
      <c r="F10" s="13" t="s">
        <v>18</v>
      </c>
      <c r="G10" s="55">
        <v>183</v>
      </c>
      <c r="H10" s="16">
        <v>0</v>
      </c>
      <c r="I10" s="3" t="s">
        <v>19</v>
      </c>
      <c r="J10" s="5">
        <f t="shared" ref="J10:J13" si="0">+D10+1</f>
        <v>46217</v>
      </c>
      <c r="K10" s="13" t="s">
        <v>677</v>
      </c>
    </row>
    <row r="11" spans="1:11" ht="15.75" x14ac:dyDescent="0.25">
      <c r="A11" s="3">
        <v>2</v>
      </c>
      <c r="B11" s="3" t="s">
        <v>672</v>
      </c>
      <c r="C11" s="80">
        <v>14500</v>
      </c>
      <c r="D11" s="5">
        <f t="shared" ref="D11:D13" si="1">+D10</f>
        <v>46216</v>
      </c>
      <c r="E11" s="14">
        <v>0</v>
      </c>
      <c r="F11" s="13" t="s">
        <v>18</v>
      </c>
      <c r="G11" s="55">
        <v>3692</v>
      </c>
      <c r="H11" s="16">
        <v>0</v>
      </c>
      <c r="I11" s="3" t="s">
        <v>15</v>
      </c>
      <c r="J11" s="5">
        <f t="shared" si="0"/>
        <v>46217</v>
      </c>
      <c r="K11" s="13" t="s">
        <v>676</v>
      </c>
    </row>
    <row r="12" spans="1:11" ht="15.75" x14ac:dyDescent="0.25">
      <c r="A12" s="3">
        <v>3</v>
      </c>
      <c r="B12" s="3" t="s">
        <v>673</v>
      </c>
      <c r="C12" s="80">
        <v>2600</v>
      </c>
      <c r="D12" s="5">
        <f t="shared" si="1"/>
        <v>46216</v>
      </c>
      <c r="E12" s="14">
        <v>0</v>
      </c>
      <c r="F12" s="13" t="s">
        <v>18</v>
      </c>
      <c r="G12" s="55">
        <v>5438</v>
      </c>
      <c r="H12" s="16">
        <v>0</v>
      </c>
      <c r="I12" s="3" t="s">
        <v>15</v>
      </c>
      <c r="J12" s="5">
        <f t="shared" si="0"/>
        <v>46217</v>
      </c>
      <c r="K12" s="13" t="s">
        <v>676</v>
      </c>
    </row>
    <row r="13" spans="1:11" ht="15.75" x14ac:dyDescent="0.25">
      <c r="A13" s="3">
        <v>4</v>
      </c>
      <c r="B13" s="3" t="s">
        <v>135</v>
      </c>
      <c r="C13" s="80">
        <v>3200</v>
      </c>
      <c r="D13" s="5">
        <f t="shared" si="1"/>
        <v>46216</v>
      </c>
      <c r="E13" s="14">
        <v>0</v>
      </c>
      <c r="F13" s="13" t="s">
        <v>18</v>
      </c>
      <c r="G13" s="55">
        <v>6415</v>
      </c>
      <c r="H13" s="16">
        <v>0</v>
      </c>
      <c r="I13" s="3" t="s">
        <v>15</v>
      </c>
      <c r="J13" s="5">
        <f t="shared" si="0"/>
        <v>46217</v>
      </c>
      <c r="K13" s="13" t="s">
        <v>115</v>
      </c>
    </row>
    <row r="14" spans="1:11" ht="18.75" x14ac:dyDescent="0.3">
      <c r="A14" s="3"/>
      <c r="B14" s="17" t="s">
        <v>16</v>
      </c>
      <c r="C14" s="82">
        <f>SUM(C10:C13)</f>
        <v>41300</v>
      </c>
      <c r="D14" s="3"/>
      <c r="E14" s="3"/>
      <c r="F14" s="13"/>
      <c r="G14" s="13"/>
      <c r="H14" s="11"/>
      <c r="I14" s="3"/>
      <c r="J14" s="3"/>
      <c r="K14" s="3"/>
    </row>
    <row r="15" spans="1:11" ht="24.75" x14ac:dyDescent="0.5">
      <c r="A15" s="125" t="s">
        <v>20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7"/>
    </row>
    <row r="16" spans="1:11" ht="18.75" x14ac:dyDescent="0.3">
      <c r="A16" s="19" t="s">
        <v>3</v>
      </c>
      <c r="B16" s="19" t="s">
        <v>21</v>
      </c>
      <c r="C16" s="50" t="s">
        <v>5</v>
      </c>
      <c r="D16" s="1" t="s">
        <v>22</v>
      </c>
      <c r="E16" s="19" t="s">
        <v>7</v>
      </c>
      <c r="F16" s="19" t="s">
        <v>8</v>
      </c>
      <c r="G16" s="19" t="s">
        <v>23</v>
      </c>
      <c r="H16" s="20" t="s">
        <v>24</v>
      </c>
      <c r="I16" s="19" t="s">
        <v>11</v>
      </c>
      <c r="J16" s="19" t="s">
        <v>25</v>
      </c>
      <c r="K16" s="21" t="s">
        <v>26</v>
      </c>
    </row>
    <row r="17" spans="1:11" ht="15.75" x14ac:dyDescent="0.25">
      <c r="A17" s="8">
        <v>1</v>
      </c>
      <c r="B17" s="8" t="s">
        <v>18</v>
      </c>
      <c r="C17" s="75">
        <v>6500</v>
      </c>
      <c r="D17" s="5">
        <v>46216</v>
      </c>
      <c r="E17" s="8"/>
      <c r="F17" s="8"/>
      <c r="G17" s="22">
        <v>8603</v>
      </c>
      <c r="H17" s="23"/>
      <c r="I17" s="24"/>
      <c r="J17" s="5">
        <v>46216</v>
      </c>
      <c r="K17" s="13" t="s">
        <v>321</v>
      </c>
    </row>
    <row r="18" spans="1:11" ht="15.75" x14ac:dyDescent="0.25">
      <c r="A18" s="8">
        <v>2</v>
      </c>
      <c r="B18" s="8" t="s">
        <v>44</v>
      </c>
      <c r="C18" s="75">
        <v>50000</v>
      </c>
      <c r="D18" s="5">
        <v>46216</v>
      </c>
      <c r="E18" s="8"/>
      <c r="F18" s="8"/>
      <c r="G18" s="22">
        <v>1992</v>
      </c>
      <c r="H18" s="23"/>
      <c r="I18" s="24"/>
      <c r="J18" s="5">
        <v>46216</v>
      </c>
      <c r="K18" s="13" t="s">
        <v>678</v>
      </c>
    </row>
    <row r="19" spans="1:11" ht="15.75" x14ac:dyDescent="0.25">
      <c r="A19" s="8">
        <v>3</v>
      </c>
      <c r="B19" s="8" t="s">
        <v>674</v>
      </c>
      <c r="C19" s="75">
        <v>16400</v>
      </c>
      <c r="D19" s="5">
        <v>46216</v>
      </c>
      <c r="E19" s="8"/>
      <c r="F19" s="8"/>
      <c r="G19" s="22">
        <v>7822</v>
      </c>
      <c r="H19" s="23"/>
      <c r="I19" s="24"/>
      <c r="J19" s="5">
        <v>46216</v>
      </c>
      <c r="K19" s="13" t="s">
        <v>675</v>
      </c>
    </row>
    <row r="20" spans="1:11" ht="15.75" x14ac:dyDescent="0.25">
      <c r="A20" s="8">
        <v>4</v>
      </c>
      <c r="B20" s="8"/>
      <c r="C20" s="75">
        <v>0</v>
      </c>
      <c r="D20" s="5">
        <v>46216</v>
      </c>
      <c r="E20" s="8"/>
      <c r="F20" s="8"/>
      <c r="G20" s="22"/>
      <c r="H20" s="23"/>
      <c r="I20" s="24"/>
      <c r="J20" s="5">
        <v>46216</v>
      </c>
      <c r="K20" s="13"/>
    </row>
    <row r="21" spans="1:11" ht="18.75" x14ac:dyDescent="0.25">
      <c r="A21" s="8"/>
      <c r="B21" s="25" t="s">
        <v>27</v>
      </c>
      <c r="C21" s="83">
        <f>SUM(C17:C20)</f>
        <v>72900</v>
      </c>
      <c r="D21" s="3"/>
      <c r="E21" s="8"/>
      <c r="F21" s="8"/>
      <c r="G21" s="8"/>
      <c r="H21" s="27">
        <v>0</v>
      </c>
      <c r="I21" s="24"/>
      <c r="J21" s="3"/>
      <c r="K21" s="28"/>
    </row>
    <row r="22" spans="1:11" x14ac:dyDescent="0.25">
      <c r="C22" s="29"/>
      <c r="H22" s="29"/>
    </row>
    <row r="23" spans="1:11" ht="16.5" x14ac:dyDescent="0.3">
      <c r="B23" s="30" t="s">
        <v>28</v>
      </c>
      <c r="C23" s="76">
        <f>SUM(C11,C12)</f>
        <v>17100</v>
      </c>
      <c r="E23" s="32"/>
      <c r="F23" s="32"/>
      <c r="G23" s="116"/>
      <c r="H23" s="116"/>
    </row>
    <row r="24" spans="1:11" ht="16.5" x14ac:dyDescent="0.3">
      <c r="B24" s="33" t="s">
        <v>29</v>
      </c>
      <c r="C24" s="77">
        <f>SUM(C13)</f>
        <v>3200</v>
      </c>
      <c r="E24" s="35"/>
      <c r="F24" s="35"/>
      <c r="G24" s="36" t="s">
        <v>30</v>
      </c>
      <c r="H24" s="37"/>
    </row>
    <row r="25" spans="1:11" ht="24" x14ac:dyDescent="0.4">
      <c r="B25" s="38" t="s">
        <v>679</v>
      </c>
      <c r="C25" s="78">
        <f>SUM(C10)</f>
        <v>21000</v>
      </c>
      <c r="E25" s="40" t="s">
        <v>32</v>
      </c>
      <c r="F25" s="41"/>
      <c r="G25" s="42"/>
      <c r="H25" s="43"/>
      <c r="I25" s="42"/>
      <c r="J25" s="44"/>
    </row>
    <row r="26" spans="1:11" ht="18.75" x14ac:dyDescent="0.3">
      <c r="B26" s="45" t="s">
        <v>16</v>
      </c>
      <c r="C26" s="79">
        <f>SUM(C23:C25)</f>
        <v>41300</v>
      </c>
      <c r="G26" s="36"/>
      <c r="H26" s="37"/>
      <c r="I26" s="36"/>
      <c r="J26" s="36"/>
    </row>
  </sheetData>
  <mergeCells count="6">
    <mergeCell ref="G23:H23"/>
    <mergeCell ref="A1:K1"/>
    <mergeCell ref="A2:K2"/>
    <mergeCell ref="A3:K3"/>
    <mergeCell ref="A9:K9"/>
    <mergeCell ref="A15:K15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06817-A43F-4717-9F2C-7DD63F458220}">
  <sheetPr>
    <pageSetUpPr fitToPage="1"/>
  </sheetPr>
  <dimension ref="A1:K28"/>
  <sheetViews>
    <sheetView topLeftCell="A7" workbookViewId="0">
      <selection activeCell="A17" sqref="A17:K17"/>
    </sheetView>
  </sheetViews>
  <sheetFormatPr defaultRowHeight="15" x14ac:dyDescent="0.25"/>
  <cols>
    <col min="1" max="1" width="4.42578125" bestFit="1" customWidth="1"/>
    <col min="2" max="2" width="20.7109375" bestFit="1" customWidth="1"/>
    <col min="3" max="3" width="12.710937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31.140625" customWidth="1"/>
  </cols>
  <sheetData>
    <row r="1" spans="1:11" ht="24.75" x14ac:dyDescent="0.25">
      <c r="A1" s="117" t="s">
        <v>654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680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46217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46216</v>
      </c>
      <c r="K5" s="8" t="s">
        <v>33</v>
      </c>
    </row>
    <row r="6" spans="1:11" ht="18.75" x14ac:dyDescent="0.3">
      <c r="A6" s="9"/>
      <c r="B6" s="10" t="s">
        <v>16</v>
      </c>
      <c r="C6" s="81">
        <f>SUM(C5:C5)</f>
        <v>0</v>
      </c>
      <c r="D6" s="3"/>
      <c r="E6" s="6"/>
      <c r="F6" s="9"/>
      <c r="G6" s="13"/>
      <c r="H6" s="11">
        <f>SUM(H5:H5)</f>
        <v>0</v>
      </c>
      <c r="I6" s="9"/>
      <c r="J6" s="9"/>
      <c r="K6" s="9"/>
    </row>
    <row r="8" spans="1:11" ht="24" x14ac:dyDescent="0.4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75" x14ac:dyDescent="0.25">
      <c r="A9" s="3">
        <v>1</v>
      </c>
      <c r="B9" s="3" t="s">
        <v>255</v>
      </c>
      <c r="C9" s="80">
        <v>6750</v>
      </c>
      <c r="D9" s="5">
        <v>46217</v>
      </c>
      <c r="E9" s="14">
        <v>0</v>
      </c>
      <c r="F9" s="13" t="s">
        <v>18</v>
      </c>
      <c r="G9" s="55">
        <v>6880</v>
      </c>
      <c r="H9" s="16">
        <v>0</v>
      </c>
      <c r="I9" s="3" t="s">
        <v>19</v>
      </c>
      <c r="J9" s="5">
        <f t="shared" ref="J9:J15" si="0">+D9+1</f>
        <v>46218</v>
      </c>
      <c r="K9" s="13" t="s">
        <v>686</v>
      </c>
    </row>
    <row r="10" spans="1:11" ht="15.75" x14ac:dyDescent="0.25">
      <c r="A10" s="3">
        <v>2</v>
      </c>
      <c r="B10" s="3" t="s">
        <v>681</v>
      </c>
      <c r="C10" s="80">
        <v>2600</v>
      </c>
      <c r="D10" s="5">
        <f t="shared" ref="D10:D15" si="1">+D9</f>
        <v>46217</v>
      </c>
      <c r="E10" s="14">
        <v>0</v>
      </c>
      <c r="F10" s="13" t="s">
        <v>18</v>
      </c>
      <c r="G10" s="55">
        <v>2031</v>
      </c>
      <c r="H10" s="16">
        <v>0</v>
      </c>
      <c r="I10" s="3" t="s">
        <v>15</v>
      </c>
      <c r="J10" s="5">
        <f t="shared" si="0"/>
        <v>46218</v>
      </c>
      <c r="K10" s="13" t="s">
        <v>115</v>
      </c>
    </row>
    <row r="11" spans="1:11" ht="15.75" x14ac:dyDescent="0.25">
      <c r="A11" s="3">
        <v>3</v>
      </c>
      <c r="B11" s="3" t="s">
        <v>379</v>
      </c>
      <c r="C11" s="80">
        <v>725</v>
      </c>
      <c r="D11" s="5">
        <f t="shared" si="1"/>
        <v>46217</v>
      </c>
      <c r="E11" s="14">
        <v>0</v>
      </c>
      <c r="F11" s="13" t="s">
        <v>18</v>
      </c>
      <c r="G11" s="55">
        <v>8559</v>
      </c>
      <c r="H11" s="16">
        <v>0</v>
      </c>
      <c r="I11" s="3" t="s">
        <v>15</v>
      </c>
      <c r="J11" s="5">
        <f t="shared" si="0"/>
        <v>46218</v>
      </c>
      <c r="K11" s="13" t="s">
        <v>115</v>
      </c>
    </row>
    <row r="12" spans="1:11" ht="15.75" x14ac:dyDescent="0.25">
      <c r="A12" s="3">
        <v>4</v>
      </c>
      <c r="B12" s="3" t="s">
        <v>682</v>
      </c>
      <c r="C12" s="80">
        <v>2050</v>
      </c>
      <c r="D12" s="5">
        <f t="shared" si="1"/>
        <v>46217</v>
      </c>
      <c r="E12" s="14">
        <v>0</v>
      </c>
      <c r="F12" s="13" t="s">
        <v>18</v>
      </c>
      <c r="G12" s="55">
        <v>1365</v>
      </c>
      <c r="H12" s="16">
        <v>0</v>
      </c>
      <c r="I12" s="3" t="s">
        <v>15</v>
      </c>
      <c r="J12" s="5">
        <f t="shared" si="0"/>
        <v>46218</v>
      </c>
      <c r="K12" s="13" t="s">
        <v>115</v>
      </c>
    </row>
    <row r="13" spans="1:11" ht="15.75" x14ac:dyDescent="0.25">
      <c r="A13" s="3">
        <v>5</v>
      </c>
      <c r="B13" s="3" t="s">
        <v>362</v>
      </c>
      <c r="C13" s="80">
        <v>2540</v>
      </c>
      <c r="D13" s="5">
        <f t="shared" si="1"/>
        <v>46217</v>
      </c>
      <c r="E13" s="14">
        <v>0</v>
      </c>
      <c r="F13" s="13" t="s">
        <v>18</v>
      </c>
      <c r="G13" s="55">
        <v>9713</v>
      </c>
      <c r="H13" s="16">
        <v>0</v>
      </c>
      <c r="I13" s="3" t="s">
        <v>15</v>
      </c>
      <c r="J13" s="5">
        <f t="shared" si="0"/>
        <v>46218</v>
      </c>
      <c r="K13" s="13" t="s">
        <v>115</v>
      </c>
    </row>
    <row r="14" spans="1:11" ht="15.75" x14ac:dyDescent="0.25">
      <c r="A14" s="3">
        <v>6</v>
      </c>
      <c r="B14" s="3" t="s">
        <v>416</v>
      </c>
      <c r="C14" s="80">
        <v>2180</v>
      </c>
      <c r="D14" s="5">
        <f t="shared" si="1"/>
        <v>46217</v>
      </c>
      <c r="E14" s="14">
        <v>0</v>
      </c>
      <c r="F14" s="13" t="s">
        <v>18</v>
      </c>
      <c r="G14" s="55">
        <v>9040</v>
      </c>
      <c r="H14" s="16">
        <v>0</v>
      </c>
      <c r="I14" s="3" t="s">
        <v>15</v>
      </c>
      <c r="J14" s="5">
        <f t="shared" si="0"/>
        <v>46218</v>
      </c>
      <c r="K14" s="13" t="s">
        <v>115</v>
      </c>
    </row>
    <row r="15" spans="1:11" ht="15.75" x14ac:dyDescent="0.25">
      <c r="A15" s="3">
        <v>7</v>
      </c>
      <c r="B15" s="3" t="s">
        <v>683</v>
      </c>
      <c r="C15" s="80">
        <v>1430</v>
      </c>
      <c r="D15" s="5">
        <f t="shared" si="1"/>
        <v>46217</v>
      </c>
      <c r="E15" s="14">
        <v>0</v>
      </c>
      <c r="F15" s="13" t="s">
        <v>18</v>
      </c>
      <c r="G15" s="55">
        <v>6476</v>
      </c>
      <c r="H15" s="16">
        <v>0</v>
      </c>
      <c r="I15" s="3" t="s">
        <v>15</v>
      </c>
      <c r="J15" s="5">
        <f t="shared" si="0"/>
        <v>46218</v>
      </c>
      <c r="K15" s="13" t="s">
        <v>115</v>
      </c>
    </row>
    <row r="16" spans="1:11" ht="18.75" x14ac:dyDescent="0.3">
      <c r="A16" s="3"/>
      <c r="B16" s="17" t="s">
        <v>16</v>
      </c>
      <c r="C16" s="82">
        <f>SUM(C9:C15)</f>
        <v>18275</v>
      </c>
      <c r="D16" s="3"/>
      <c r="E16" s="3"/>
      <c r="F16" s="13"/>
      <c r="G16" s="13"/>
      <c r="H16" s="11"/>
      <c r="I16" s="3"/>
      <c r="J16" s="3"/>
      <c r="K16" s="3"/>
    </row>
    <row r="17" spans="1:11" ht="21" x14ac:dyDescent="0.35">
      <c r="A17" s="135" t="s">
        <v>20</v>
      </c>
      <c r="B17" s="136"/>
      <c r="C17" s="136"/>
      <c r="D17" s="136"/>
      <c r="E17" s="136"/>
      <c r="F17" s="136"/>
      <c r="G17" s="136"/>
      <c r="H17" s="136"/>
      <c r="I17" s="136"/>
      <c r="J17" s="136"/>
      <c r="K17" s="137"/>
    </row>
    <row r="18" spans="1:11" ht="18.75" x14ac:dyDescent="0.3">
      <c r="A18" s="19" t="s">
        <v>3</v>
      </c>
      <c r="B18" s="19" t="s">
        <v>21</v>
      </c>
      <c r="C18" s="50" t="s">
        <v>5</v>
      </c>
      <c r="D18" s="1" t="s">
        <v>22</v>
      </c>
      <c r="E18" s="19" t="s">
        <v>7</v>
      </c>
      <c r="F18" s="19" t="s">
        <v>8</v>
      </c>
      <c r="G18" s="19" t="s">
        <v>23</v>
      </c>
      <c r="H18" s="20" t="s">
        <v>24</v>
      </c>
      <c r="I18" s="19" t="s">
        <v>11</v>
      </c>
      <c r="J18" s="19" t="s">
        <v>25</v>
      </c>
      <c r="K18" s="21" t="s">
        <v>26</v>
      </c>
    </row>
    <row r="19" spans="1:11" ht="15.75" x14ac:dyDescent="0.25">
      <c r="A19" s="8">
        <v>1</v>
      </c>
      <c r="B19" s="8" t="s">
        <v>313</v>
      </c>
      <c r="C19" s="75">
        <v>10000</v>
      </c>
      <c r="D19" s="5">
        <v>46217</v>
      </c>
      <c r="E19" s="8"/>
      <c r="F19" s="8"/>
      <c r="G19" s="22">
        <v>1047</v>
      </c>
      <c r="H19" s="23"/>
      <c r="I19" s="24"/>
      <c r="J19" s="5">
        <v>46217</v>
      </c>
      <c r="K19" s="13" t="s">
        <v>668</v>
      </c>
    </row>
    <row r="20" spans="1:11" ht="15.75" x14ac:dyDescent="0.25">
      <c r="A20" s="8">
        <v>2</v>
      </c>
      <c r="B20" s="8" t="s">
        <v>684</v>
      </c>
      <c r="C20" s="75">
        <v>999</v>
      </c>
      <c r="D20" s="5">
        <v>46217</v>
      </c>
      <c r="E20" s="8"/>
      <c r="F20" s="8"/>
      <c r="G20" s="22">
        <v>2452</v>
      </c>
      <c r="H20" s="23"/>
      <c r="I20" s="24"/>
      <c r="J20" s="5">
        <v>46217</v>
      </c>
      <c r="K20" s="13" t="s">
        <v>687</v>
      </c>
    </row>
    <row r="21" spans="1:11" ht="15.75" x14ac:dyDescent="0.25">
      <c r="A21" s="8">
        <v>3</v>
      </c>
      <c r="B21" s="8" t="s">
        <v>18</v>
      </c>
      <c r="C21" s="75">
        <v>23650</v>
      </c>
      <c r="D21" s="5">
        <v>46217</v>
      </c>
      <c r="E21" s="8"/>
      <c r="F21" s="8"/>
      <c r="G21" s="22">
        <v>4878</v>
      </c>
      <c r="H21" s="23"/>
      <c r="I21" s="24"/>
      <c r="J21" s="5">
        <v>46217</v>
      </c>
      <c r="K21" s="13" t="s">
        <v>649</v>
      </c>
    </row>
    <row r="22" spans="1:11" ht="15.75" x14ac:dyDescent="0.25">
      <c r="A22" s="8">
        <v>4</v>
      </c>
      <c r="B22" s="8" t="s">
        <v>685</v>
      </c>
      <c r="C22" s="75">
        <v>325</v>
      </c>
      <c r="D22" s="5">
        <v>46217</v>
      </c>
      <c r="E22" s="8"/>
      <c r="F22" s="8"/>
      <c r="G22" s="22">
        <v>5793</v>
      </c>
      <c r="H22" s="23"/>
      <c r="I22" s="24"/>
      <c r="J22" s="5">
        <v>46217</v>
      </c>
      <c r="K22" s="13" t="s">
        <v>688</v>
      </c>
    </row>
    <row r="23" spans="1:11" ht="18.75" x14ac:dyDescent="0.25">
      <c r="A23" s="8"/>
      <c r="B23" s="25" t="s">
        <v>27</v>
      </c>
      <c r="C23" s="83">
        <f>SUM(C19:C22)</f>
        <v>34974</v>
      </c>
      <c r="D23" s="3"/>
      <c r="E23" s="8"/>
      <c r="F23" s="8"/>
      <c r="G23" s="8"/>
      <c r="H23" s="27">
        <v>0</v>
      </c>
      <c r="I23" s="24"/>
      <c r="J23" s="3"/>
      <c r="K23" s="28"/>
    </row>
    <row r="24" spans="1:11" x14ac:dyDescent="0.25">
      <c r="C24" s="29"/>
      <c r="H24" s="29"/>
    </row>
    <row r="25" spans="1:11" ht="16.5" x14ac:dyDescent="0.3">
      <c r="B25" s="30" t="s">
        <v>28</v>
      </c>
      <c r="C25" s="76">
        <f>SUM(C9)</f>
        <v>6750</v>
      </c>
      <c r="E25" s="32"/>
      <c r="F25" s="32"/>
      <c r="G25" s="116"/>
      <c r="H25" s="116"/>
    </row>
    <row r="26" spans="1:11" ht="16.5" x14ac:dyDescent="0.3">
      <c r="B26" s="33" t="s">
        <v>29</v>
      </c>
      <c r="C26" s="77">
        <f>SUM(C10,C11,C12,C13,C14,C15)</f>
        <v>11525</v>
      </c>
      <c r="E26" s="35"/>
      <c r="F26" s="35"/>
      <c r="G26" s="36" t="s">
        <v>30</v>
      </c>
      <c r="H26" s="37"/>
    </row>
    <row r="27" spans="1:11" ht="24" x14ac:dyDescent="0.4">
      <c r="B27" s="38" t="s">
        <v>31</v>
      </c>
      <c r="C27" s="78">
        <v>0</v>
      </c>
      <c r="E27" s="40" t="s">
        <v>32</v>
      </c>
      <c r="F27" s="41"/>
      <c r="G27" s="42"/>
      <c r="H27" s="43"/>
      <c r="I27" s="42"/>
      <c r="J27" s="44"/>
    </row>
    <row r="28" spans="1:11" ht="18.75" x14ac:dyDescent="0.3">
      <c r="B28" s="45" t="s">
        <v>16</v>
      </c>
      <c r="C28" s="79">
        <f>SUM(C25:C27)</f>
        <v>18275</v>
      </c>
      <c r="G28" s="36"/>
      <c r="H28" s="37"/>
      <c r="I28" s="36"/>
      <c r="J28" s="36"/>
    </row>
  </sheetData>
  <mergeCells count="6">
    <mergeCell ref="G25:H25"/>
    <mergeCell ref="A1:K1"/>
    <mergeCell ref="A2:K2"/>
    <mergeCell ref="A3:K3"/>
    <mergeCell ref="A8:K8"/>
    <mergeCell ref="A17:K17"/>
  </mergeCells>
  <pageMargins left="0.59055118110236215" right="0.15748031496062992" top="0.47244094488188976" bottom="0.23622047244094488" header="0.31496062992125984" footer="0.31496062992125984"/>
  <pageSetup scale="86" orientation="landscape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91A81-07EA-47E2-9028-A9B427CE3CE1}">
  <sheetPr>
    <pageSetUpPr fitToPage="1"/>
  </sheetPr>
  <dimension ref="A1:K35"/>
  <sheetViews>
    <sheetView workbookViewId="0">
      <selection activeCell="L11" sqref="L11"/>
    </sheetView>
  </sheetViews>
  <sheetFormatPr defaultRowHeight="15" x14ac:dyDescent="0.25"/>
  <cols>
    <col min="1" max="1" width="4.42578125" bestFit="1" customWidth="1"/>
    <col min="2" max="2" width="27.28515625" customWidth="1"/>
    <col min="3" max="3" width="14.4257812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2.5703125" bestFit="1" customWidth="1"/>
    <col min="9" max="9" width="10" bestFit="1" customWidth="1"/>
    <col min="10" max="10" width="16.85546875" bestFit="1" customWidth="1"/>
    <col min="11" max="11" width="34" customWidth="1"/>
  </cols>
  <sheetData>
    <row r="1" spans="1:11" ht="24.75" x14ac:dyDescent="0.25">
      <c r="A1" s="117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694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46218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 t="shared" ref="J5:J11" si="0">+D5-1</f>
        <v>46217</v>
      </c>
      <c r="K5" s="8" t="s">
        <v>33</v>
      </c>
    </row>
    <row r="6" spans="1:11" ht="15.75" x14ac:dyDescent="0.25">
      <c r="A6" s="3">
        <v>2</v>
      </c>
      <c r="B6" s="3" t="s">
        <v>547</v>
      </c>
      <c r="C6" s="80">
        <v>99000</v>
      </c>
      <c r="D6" s="5">
        <v>46218</v>
      </c>
      <c r="E6" s="6">
        <v>0</v>
      </c>
      <c r="F6" s="3" t="s">
        <v>14</v>
      </c>
      <c r="G6" s="49">
        <v>5387</v>
      </c>
      <c r="H6" s="7">
        <v>0</v>
      </c>
      <c r="I6" s="3" t="s">
        <v>15</v>
      </c>
      <c r="J6" s="5">
        <f t="shared" si="0"/>
        <v>46217</v>
      </c>
      <c r="K6" s="8" t="s">
        <v>261</v>
      </c>
    </row>
    <row r="7" spans="1:11" ht="15.75" x14ac:dyDescent="0.25">
      <c r="A7" s="3">
        <v>3</v>
      </c>
      <c r="B7" s="3" t="s">
        <v>547</v>
      </c>
      <c r="C7" s="80">
        <v>99000</v>
      </c>
      <c r="D7" s="5">
        <v>46218</v>
      </c>
      <c r="E7" s="6">
        <v>0</v>
      </c>
      <c r="F7" s="3" t="s">
        <v>14</v>
      </c>
      <c r="G7" s="49">
        <v>5390</v>
      </c>
      <c r="H7" s="7">
        <v>0</v>
      </c>
      <c r="I7" s="3" t="s">
        <v>15</v>
      </c>
      <c r="J7" s="5">
        <f t="shared" si="0"/>
        <v>46217</v>
      </c>
      <c r="K7" s="8" t="s">
        <v>261</v>
      </c>
    </row>
    <row r="8" spans="1:11" ht="15.75" x14ac:dyDescent="0.25">
      <c r="A8" s="3">
        <v>4</v>
      </c>
      <c r="B8" s="3" t="s">
        <v>547</v>
      </c>
      <c r="C8" s="80">
        <v>99000</v>
      </c>
      <c r="D8" s="5">
        <v>46218</v>
      </c>
      <c r="E8" s="6">
        <v>0</v>
      </c>
      <c r="F8" s="3" t="s">
        <v>14</v>
      </c>
      <c r="G8" s="49">
        <v>5393</v>
      </c>
      <c r="H8" s="7">
        <v>0</v>
      </c>
      <c r="I8" s="3" t="s">
        <v>15</v>
      </c>
      <c r="J8" s="5">
        <f t="shared" si="0"/>
        <v>46217</v>
      </c>
      <c r="K8" s="8" t="s">
        <v>261</v>
      </c>
    </row>
    <row r="9" spans="1:11" ht="15.75" x14ac:dyDescent="0.25">
      <c r="A9" s="3">
        <v>5</v>
      </c>
      <c r="B9" s="86" t="s">
        <v>547</v>
      </c>
      <c r="C9" s="85">
        <v>1500</v>
      </c>
      <c r="D9" s="5">
        <v>46218</v>
      </c>
      <c r="E9" s="6">
        <v>0</v>
      </c>
      <c r="F9" s="3" t="s">
        <v>14</v>
      </c>
      <c r="G9" s="49">
        <v>5396</v>
      </c>
      <c r="H9" s="7">
        <v>0</v>
      </c>
      <c r="I9" s="3" t="s">
        <v>15</v>
      </c>
      <c r="J9" s="5">
        <f t="shared" si="0"/>
        <v>46217</v>
      </c>
      <c r="K9" s="87" t="s">
        <v>730</v>
      </c>
    </row>
    <row r="10" spans="1:11" ht="15.75" x14ac:dyDescent="0.25">
      <c r="A10" s="3">
        <v>6</v>
      </c>
      <c r="B10" s="86" t="s">
        <v>547</v>
      </c>
      <c r="C10" s="85">
        <v>-1500</v>
      </c>
      <c r="D10" s="5">
        <v>46218</v>
      </c>
      <c r="E10" s="6">
        <v>0</v>
      </c>
      <c r="F10" s="3" t="s">
        <v>14</v>
      </c>
      <c r="G10" s="49">
        <v>5396</v>
      </c>
      <c r="H10" s="7">
        <v>0</v>
      </c>
      <c r="I10" s="3" t="s">
        <v>15</v>
      </c>
      <c r="J10" s="5">
        <f t="shared" si="0"/>
        <v>46217</v>
      </c>
      <c r="K10" s="87" t="s">
        <v>731</v>
      </c>
    </row>
    <row r="11" spans="1:11" ht="15.75" x14ac:dyDescent="0.25">
      <c r="A11" s="3">
        <v>7</v>
      </c>
      <c r="B11" s="3" t="s">
        <v>695</v>
      </c>
      <c r="C11" s="80">
        <v>99</v>
      </c>
      <c r="D11" s="5">
        <v>46218</v>
      </c>
      <c r="E11" s="6">
        <v>0</v>
      </c>
      <c r="F11" s="3" t="s">
        <v>14</v>
      </c>
      <c r="G11" s="49">
        <v>0</v>
      </c>
      <c r="H11" s="7">
        <v>0</v>
      </c>
      <c r="I11" s="3" t="s">
        <v>15</v>
      </c>
      <c r="J11" s="5">
        <f t="shared" si="0"/>
        <v>46217</v>
      </c>
      <c r="K11" s="8" t="s">
        <v>713</v>
      </c>
    </row>
    <row r="12" spans="1:11" ht="18.75" x14ac:dyDescent="0.3">
      <c r="A12" s="9"/>
      <c r="B12" s="10" t="s">
        <v>16</v>
      </c>
      <c r="C12" s="81">
        <f>SUM(C5:C11)</f>
        <v>297099</v>
      </c>
      <c r="D12" s="3"/>
      <c r="E12" s="6">
        <v>0</v>
      </c>
      <c r="F12" s="9"/>
      <c r="G12" s="13"/>
      <c r="H12" s="11">
        <f>SUM(H5:H5)</f>
        <v>0</v>
      </c>
      <c r="I12" s="9"/>
      <c r="J12" s="9"/>
      <c r="K12" s="9"/>
    </row>
    <row r="13" spans="1:11" ht="24" x14ac:dyDescent="0.4">
      <c r="A13" s="122" t="s">
        <v>17</v>
      </c>
      <c r="B13" s="123"/>
      <c r="C13" s="123"/>
      <c r="D13" s="123"/>
      <c r="E13" s="123"/>
      <c r="F13" s="123"/>
      <c r="G13" s="123"/>
      <c r="H13" s="123"/>
      <c r="I13" s="123"/>
      <c r="J13" s="123"/>
      <c r="K13" s="124"/>
    </row>
    <row r="15" spans="1:11" ht="15.75" x14ac:dyDescent="0.25">
      <c r="A15" s="3">
        <v>1</v>
      </c>
      <c r="B15" s="3" t="s">
        <v>689</v>
      </c>
      <c r="C15" s="80">
        <v>10000</v>
      </c>
      <c r="D15" s="5">
        <v>46218</v>
      </c>
      <c r="E15" s="14">
        <v>0</v>
      </c>
      <c r="F15" s="13" t="s">
        <v>18</v>
      </c>
      <c r="G15" s="55">
        <v>4907</v>
      </c>
      <c r="H15" s="16">
        <v>0</v>
      </c>
      <c r="I15" s="3" t="s">
        <v>19</v>
      </c>
      <c r="J15" s="5">
        <f t="shared" ref="J15:J22" si="1">+D15+1</f>
        <v>46219</v>
      </c>
      <c r="K15" s="13" t="s">
        <v>262</v>
      </c>
    </row>
    <row r="16" spans="1:11" ht="15.75" x14ac:dyDescent="0.25">
      <c r="A16" s="3">
        <v>2</v>
      </c>
      <c r="B16" s="3" t="s">
        <v>690</v>
      </c>
      <c r="C16" s="80">
        <v>950</v>
      </c>
      <c r="D16" s="5">
        <f t="shared" ref="D16:D22" si="2">+D15</f>
        <v>46218</v>
      </c>
      <c r="E16" s="14">
        <v>0</v>
      </c>
      <c r="F16" s="13" t="s">
        <v>18</v>
      </c>
      <c r="G16" s="55">
        <v>8673</v>
      </c>
      <c r="H16" s="16">
        <v>0</v>
      </c>
      <c r="I16" s="3" t="s">
        <v>15</v>
      </c>
      <c r="J16" s="5">
        <f t="shared" si="1"/>
        <v>46219</v>
      </c>
      <c r="K16" s="13" t="s">
        <v>701</v>
      </c>
    </row>
    <row r="17" spans="1:11" ht="15.75" x14ac:dyDescent="0.25">
      <c r="A17" s="3">
        <v>3</v>
      </c>
      <c r="B17" s="3" t="s">
        <v>691</v>
      </c>
      <c r="C17" s="80">
        <v>10860</v>
      </c>
      <c r="D17" s="5">
        <f t="shared" si="2"/>
        <v>46218</v>
      </c>
      <c r="E17" s="14">
        <v>0</v>
      </c>
      <c r="F17" s="13" t="s">
        <v>18</v>
      </c>
      <c r="G17" s="55">
        <v>7203</v>
      </c>
      <c r="H17" s="16">
        <v>0</v>
      </c>
      <c r="I17" s="3" t="s">
        <v>15</v>
      </c>
      <c r="J17" s="5">
        <f t="shared" si="1"/>
        <v>46219</v>
      </c>
      <c r="K17" s="13" t="s">
        <v>702</v>
      </c>
    </row>
    <row r="18" spans="1:11" ht="15.75" x14ac:dyDescent="0.25">
      <c r="A18" s="3">
        <v>4</v>
      </c>
      <c r="B18" s="3" t="s">
        <v>692</v>
      </c>
      <c r="C18" s="80">
        <v>1480</v>
      </c>
      <c r="D18" s="5">
        <f t="shared" si="2"/>
        <v>46218</v>
      </c>
      <c r="E18" s="14">
        <v>0</v>
      </c>
      <c r="F18" s="13" t="s">
        <v>18</v>
      </c>
      <c r="G18" s="55">
        <v>8383</v>
      </c>
      <c r="H18" s="16">
        <v>0</v>
      </c>
      <c r="I18" s="3" t="s">
        <v>15</v>
      </c>
      <c r="J18" s="5">
        <f t="shared" si="1"/>
        <v>46219</v>
      </c>
      <c r="K18" s="13" t="s">
        <v>115</v>
      </c>
    </row>
    <row r="19" spans="1:11" ht="15.75" x14ac:dyDescent="0.25">
      <c r="A19" s="3">
        <v>5</v>
      </c>
      <c r="B19" s="3" t="s">
        <v>692</v>
      </c>
      <c r="C19" s="80">
        <v>2000</v>
      </c>
      <c r="D19" s="5">
        <f t="shared" si="2"/>
        <v>46218</v>
      </c>
      <c r="E19" s="14">
        <v>0</v>
      </c>
      <c r="F19" s="13" t="s">
        <v>18</v>
      </c>
      <c r="G19" s="55">
        <v>4120</v>
      </c>
      <c r="H19" s="16">
        <v>0</v>
      </c>
      <c r="I19" s="3" t="s">
        <v>15</v>
      </c>
      <c r="J19" s="5">
        <f t="shared" si="1"/>
        <v>46219</v>
      </c>
      <c r="K19" s="13" t="s">
        <v>115</v>
      </c>
    </row>
    <row r="20" spans="1:11" ht="15.75" x14ac:dyDescent="0.25">
      <c r="A20" s="3">
        <v>6</v>
      </c>
      <c r="B20" s="3" t="s">
        <v>693</v>
      </c>
      <c r="C20" s="80">
        <v>1075</v>
      </c>
      <c r="D20" s="5">
        <f t="shared" si="2"/>
        <v>46218</v>
      </c>
      <c r="E20" s="14">
        <v>0</v>
      </c>
      <c r="F20" s="13" t="s">
        <v>18</v>
      </c>
      <c r="G20" s="55">
        <v>134</v>
      </c>
      <c r="H20" s="16">
        <v>0</v>
      </c>
      <c r="I20" s="3" t="s">
        <v>15</v>
      </c>
      <c r="J20" s="5">
        <f t="shared" si="1"/>
        <v>46219</v>
      </c>
      <c r="K20" s="13" t="s">
        <v>697</v>
      </c>
    </row>
    <row r="21" spans="1:11" ht="15.75" x14ac:dyDescent="0.25">
      <c r="A21" s="3">
        <v>7</v>
      </c>
      <c r="B21" s="3" t="s">
        <v>250</v>
      </c>
      <c r="C21" s="80">
        <v>1700</v>
      </c>
      <c r="D21" s="5">
        <f t="shared" si="2"/>
        <v>46218</v>
      </c>
      <c r="E21" s="14">
        <v>0</v>
      </c>
      <c r="F21" s="13" t="s">
        <v>18</v>
      </c>
      <c r="G21" s="55">
        <v>4551</v>
      </c>
      <c r="H21" s="16">
        <v>0</v>
      </c>
      <c r="I21" s="3" t="s">
        <v>15</v>
      </c>
      <c r="J21" s="5">
        <f t="shared" si="1"/>
        <v>46219</v>
      </c>
      <c r="K21" s="13" t="s">
        <v>696</v>
      </c>
    </row>
    <row r="22" spans="1:11" ht="15.75" x14ac:dyDescent="0.25">
      <c r="A22" s="3">
        <v>8</v>
      </c>
      <c r="B22" s="3" t="s">
        <v>141</v>
      </c>
      <c r="C22" s="80">
        <v>6540</v>
      </c>
      <c r="D22" s="5">
        <f t="shared" si="2"/>
        <v>46218</v>
      </c>
      <c r="E22" s="14">
        <v>0</v>
      </c>
      <c r="F22" s="13" t="s">
        <v>18</v>
      </c>
      <c r="G22" s="55">
        <v>332</v>
      </c>
      <c r="H22" s="16">
        <v>0</v>
      </c>
      <c r="I22" s="3" t="s">
        <v>15</v>
      </c>
      <c r="J22" s="5">
        <f t="shared" si="1"/>
        <v>46219</v>
      </c>
      <c r="K22" s="13" t="s">
        <v>115</v>
      </c>
    </row>
    <row r="23" spans="1:11" ht="15.75" x14ac:dyDescent="0.25">
      <c r="A23" s="3"/>
      <c r="B23" s="3"/>
      <c r="C23" s="80"/>
      <c r="D23" s="5"/>
      <c r="E23" s="14"/>
      <c r="F23" s="13"/>
      <c r="G23" s="55"/>
      <c r="H23" s="16"/>
      <c r="I23" s="3"/>
      <c r="J23" s="5"/>
      <c r="K23" s="13"/>
    </row>
    <row r="24" spans="1:11" ht="18.75" x14ac:dyDescent="0.3">
      <c r="A24" s="3"/>
      <c r="B24" s="17" t="s">
        <v>16</v>
      </c>
      <c r="C24" s="82">
        <f>SUM(C15:C23)</f>
        <v>34605</v>
      </c>
      <c r="D24" s="3"/>
      <c r="E24" s="3"/>
      <c r="F24" s="13"/>
      <c r="G24" s="13"/>
      <c r="H24" s="11"/>
      <c r="I24" s="3"/>
      <c r="J24" s="3"/>
      <c r="K24" s="3"/>
    </row>
    <row r="25" spans="1:11" ht="21" x14ac:dyDescent="0.35">
      <c r="A25" s="135" t="s">
        <v>20</v>
      </c>
      <c r="B25" s="136"/>
      <c r="C25" s="136"/>
      <c r="D25" s="136"/>
      <c r="E25" s="136"/>
      <c r="F25" s="136"/>
      <c r="G25" s="136"/>
      <c r="H25" s="136"/>
      <c r="I25" s="136"/>
      <c r="J25" s="136"/>
      <c r="K25" s="137"/>
    </row>
    <row r="26" spans="1:11" ht="18.75" x14ac:dyDescent="0.3">
      <c r="A26" s="19" t="s">
        <v>3</v>
      </c>
      <c r="B26" s="19" t="s">
        <v>21</v>
      </c>
      <c r="C26" s="50" t="s">
        <v>5</v>
      </c>
      <c r="D26" s="1" t="s">
        <v>22</v>
      </c>
      <c r="E26" s="19" t="s">
        <v>7</v>
      </c>
      <c r="F26" s="19" t="s">
        <v>8</v>
      </c>
      <c r="G26" s="19" t="s">
        <v>23</v>
      </c>
      <c r="H26" s="20" t="s">
        <v>24</v>
      </c>
      <c r="I26" s="19" t="s">
        <v>11</v>
      </c>
      <c r="J26" s="19" t="s">
        <v>25</v>
      </c>
      <c r="K26" s="21" t="s">
        <v>26</v>
      </c>
    </row>
    <row r="27" spans="1:11" ht="15.75" x14ac:dyDescent="0.25">
      <c r="A27" s="8">
        <v>1</v>
      </c>
      <c r="B27" s="8" t="s">
        <v>41</v>
      </c>
      <c r="C27" s="75">
        <v>25531</v>
      </c>
      <c r="D27" s="5">
        <v>46218</v>
      </c>
      <c r="E27" s="8"/>
      <c r="F27" s="8"/>
      <c r="G27" s="22">
        <v>41</v>
      </c>
      <c r="H27" s="23"/>
      <c r="I27" s="24"/>
      <c r="J27" s="5">
        <v>46218</v>
      </c>
      <c r="K27" s="13" t="s">
        <v>267</v>
      </c>
    </row>
    <row r="28" spans="1:11" ht="15.75" x14ac:dyDescent="0.25">
      <c r="A28" s="8">
        <v>2</v>
      </c>
      <c r="B28" s="8" t="s">
        <v>412</v>
      </c>
      <c r="C28" s="75">
        <v>1000</v>
      </c>
      <c r="D28" s="5">
        <v>46218</v>
      </c>
      <c r="E28" s="8"/>
      <c r="F28" s="8"/>
      <c r="G28" s="22">
        <v>1939</v>
      </c>
      <c r="H28" s="23"/>
      <c r="I28" s="24"/>
      <c r="J28" s="5">
        <v>46218</v>
      </c>
      <c r="K28" s="13" t="s">
        <v>699</v>
      </c>
    </row>
    <row r="29" spans="1:11" ht="15.75" x14ac:dyDescent="0.25">
      <c r="A29" s="8">
        <v>3</v>
      </c>
      <c r="B29" s="8" t="s">
        <v>52</v>
      </c>
      <c r="C29" s="75">
        <v>333333</v>
      </c>
      <c r="D29" s="5">
        <v>46218</v>
      </c>
      <c r="E29" s="8"/>
      <c r="F29" s="8"/>
      <c r="G29" s="22">
        <v>2089</v>
      </c>
      <c r="H29" s="23"/>
      <c r="I29" s="24"/>
      <c r="J29" s="5">
        <v>46218</v>
      </c>
      <c r="K29" s="13" t="s">
        <v>698</v>
      </c>
    </row>
    <row r="30" spans="1:11" ht="18.75" x14ac:dyDescent="0.25">
      <c r="A30" s="8"/>
      <c r="B30" s="25" t="s">
        <v>27</v>
      </c>
      <c r="C30" s="83">
        <f>SUM(C27:C29)</f>
        <v>359864</v>
      </c>
      <c r="D30" s="3"/>
      <c r="E30" s="8"/>
      <c r="F30" s="8"/>
      <c r="G30" s="8"/>
      <c r="H30" s="27">
        <v>0</v>
      </c>
      <c r="I30" s="24"/>
      <c r="J30" s="3"/>
      <c r="K30" s="28"/>
    </row>
    <row r="31" spans="1:11" x14ac:dyDescent="0.25">
      <c r="C31" s="29"/>
      <c r="H31" s="29"/>
    </row>
    <row r="32" spans="1:11" ht="16.5" x14ac:dyDescent="0.3">
      <c r="B32" s="30" t="s">
        <v>28</v>
      </c>
      <c r="C32" s="76">
        <f>SUM(C20,C16)</f>
        <v>2025</v>
      </c>
      <c r="E32" s="32"/>
      <c r="F32" s="32"/>
      <c r="G32" s="138"/>
      <c r="H32" s="138"/>
      <c r="I32" s="91"/>
      <c r="J32" s="92"/>
      <c r="K32" s="28"/>
    </row>
    <row r="33" spans="2:11" ht="16.5" x14ac:dyDescent="0.3">
      <c r="B33" s="33" t="s">
        <v>29</v>
      </c>
      <c r="C33" s="77">
        <f>SUM(C18,C19,C22)</f>
        <v>10020</v>
      </c>
      <c r="E33" s="35"/>
      <c r="F33" s="35"/>
      <c r="G33" s="93" t="s">
        <v>703</v>
      </c>
      <c r="H33" s="94">
        <f>SUM(C17)</f>
        <v>10860</v>
      </c>
      <c r="I33" s="91"/>
      <c r="J33" s="28"/>
      <c r="K33" s="28"/>
    </row>
    <row r="34" spans="2:11" ht="24" x14ac:dyDescent="0.4">
      <c r="B34" s="38" t="s">
        <v>700</v>
      </c>
      <c r="C34" s="78">
        <f>SUM(C21)</f>
        <v>1700</v>
      </c>
      <c r="E34" s="40" t="s">
        <v>32</v>
      </c>
      <c r="F34" s="41"/>
      <c r="G34" s="95" t="s">
        <v>321</v>
      </c>
      <c r="H34" s="96">
        <f>SUM(C15)</f>
        <v>10000</v>
      </c>
      <c r="I34" s="89"/>
      <c r="J34" s="90"/>
      <c r="K34" s="28"/>
    </row>
    <row r="35" spans="2:11" ht="18.75" x14ac:dyDescent="0.3">
      <c r="B35" s="45" t="s">
        <v>16</v>
      </c>
      <c r="C35" s="79">
        <f>SUM(C32:C34)</f>
        <v>13745</v>
      </c>
      <c r="G35" s="97" t="s">
        <v>16</v>
      </c>
      <c r="H35" s="78">
        <f>SUM(H33:H34)</f>
        <v>20860</v>
      </c>
      <c r="I35" s="88"/>
      <c r="J35" s="88"/>
      <c r="K35" s="28"/>
    </row>
  </sheetData>
  <mergeCells count="6">
    <mergeCell ref="G32:H32"/>
    <mergeCell ref="A1:K1"/>
    <mergeCell ref="A2:K2"/>
    <mergeCell ref="A3:K3"/>
    <mergeCell ref="A13:K13"/>
    <mergeCell ref="A25:K25"/>
  </mergeCells>
  <pageMargins left="0.59055118110236215" right="0.15748031496062992" top="0.47244094488188976" bottom="0.23622047244094488" header="0.31496062992125984" footer="0.31496062992125984"/>
  <pageSetup scale="79" orientation="landscape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ECF68-2812-4AEE-A804-0D3C9DDED2C1}">
  <sheetPr>
    <pageSetUpPr fitToPage="1"/>
  </sheetPr>
  <dimension ref="A1:K35"/>
  <sheetViews>
    <sheetView topLeftCell="A2" zoomScaleNormal="100" workbookViewId="0">
      <selection activeCell="A23" sqref="A23:K23"/>
    </sheetView>
  </sheetViews>
  <sheetFormatPr defaultRowHeight="15" x14ac:dyDescent="0.25"/>
  <cols>
    <col min="1" max="1" width="4.42578125" bestFit="1" customWidth="1"/>
    <col min="2" max="2" width="23.7109375" bestFit="1" customWidth="1"/>
    <col min="3" max="3" width="14.4257812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36.140625" customWidth="1"/>
  </cols>
  <sheetData>
    <row r="1" spans="1:11" ht="24.75" x14ac:dyDescent="0.25">
      <c r="A1" s="117" t="s">
        <v>654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704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45</v>
      </c>
      <c r="C5" s="80">
        <v>99500</v>
      </c>
      <c r="D5" s="5">
        <v>46219</v>
      </c>
      <c r="E5" s="6">
        <v>0</v>
      </c>
      <c r="F5" s="3" t="s">
        <v>14</v>
      </c>
      <c r="G5" s="49">
        <v>5554</v>
      </c>
      <c r="H5" s="7">
        <v>0</v>
      </c>
      <c r="I5" s="3" t="s">
        <v>15</v>
      </c>
      <c r="J5" s="5">
        <f t="shared" ref="J5:J10" si="0">+D5-1</f>
        <v>46218</v>
      </c>
      <c r="K5" s="8" t="s">
        <v>33</v>
      </c>
    </row>
    <row r="6" spans="1:11" ht="15.75" x14ac:dyDescent="0.25">
      <c r="A6" s="3">
        <v>2</v>
      </c>
      <c r="B6" s="3" t="s">
        <v>45</v>
      </c>
      <c r="C6" s="80">
        <v>98500</v>
      </c>
      <c r="D6" s="5">
        <v>46219</v>
      </c>
      <c r="E6" s="6">
        <v>0</v>
      </c>
      <c r="F6" s="3" t="s">
        <v>14</v>
      </c>
      <c r="G6" s="49">
        <v>5557</v>
      </c>
      <c r="H6" s="7">
        <v>0</v>
      </c>
      <c r="I6" s="3" t="s">
        <v>15</v>
      </c>
      <c r="J6" s="5">
        <f t="shared" si="0"/>
        <v>46218</v>
      </c>
      <c r="K6" s="8" t="s">
        <v>46</v>
      </c>
    </row>
    <row r="7" spans="1:11" ht="15.75" x14ac:dyDescent="0.25">
      <c r="A7" s="3">
        <v>3</v>
      </c>
      <c r="B7" s="3" t="s">
        <v>45</v>
      </c>
      <c r="C7" s="80">
        <v>99000</v>
      </c>
      <c r="D7" s="5">
        <v>46219</v>
      </c>
      <c r="E7" s="6">
        <v>0</v>
      </c>
      <c r="F7" s="3" t="s">
        <v>14</v>
      </c>
      <c r="G7" s="49">
        <v>5560</v>
      </c>
      <c r="H7" s="7">
        <v>0</v>
      </c>
      <c r="I7" s="3" t="s">
        <v>15</v>
      </c>
      <c r="J7" s="5">
        <f t="shared" si="0"/>
        <v>46218</v>
      </c>
      <c r="K7" s="8" t="s">
        <v>46</v>
      </c>
    </row>
    <row r="8" spans="1:11" ht="15.75" x14ac:dyDescent="0.25">
      <c r="A8" s="3">
        <v>4</v>
      </c>
      <c r="B8" s="3" t="s">
        <v>45</v>
      </c>
      <c r="C8" s="80">
        <v>96500</v>
      </c>
      <c r="D8" s="5">
        <v>46219</v>
      </c>
      <c r="E8" s="6">
        <v>0</v>
      </c>
      <c r="F8" s="3" t="s">
        <v>14</v>
      </c>
      <c r="G8" s="49">
        <v>5563</v>
      </c>
      <c r="H8" s="7">
        <v>0</v>
      </c>
      <c r="I8" s="3" t="s">
        <v>15</v>
      </c>
      <c r="J8" s="5">
        <f t="shared" si="0"/>
        <v>46218</v>
      </c>
      <c r="K8" s="8" t="s">
        <v>46</v>
      </c>
    </row>
    <row r="9" spans="1:11" ht="15.75" x14ac:dyDescent="0.25">
      <c r="A9" s="3">
        <v>5</v>
      </c>
      <c r="B9" s="3" t="s">
        <v>45</v>
      </c>
      <c r="C9" s="80">
        <v>98000</v>
      </c>
      <c r="D9" s="5">
        <v>46219</v>
      </c>
      <c r="E9" s="6">
        <v>0</v>
      </c>
      <c r="F9" s="3" t="s">
        <v>14</v>
      </c>
      <c r="G9" s="49">
        <v>5566</v>
      </c>
      <c r="H9" s="7">
        <v>0</v>
      </c>
      <c r="I9" s="3" t="s">
        <v>15</v>
      </c>
      <c r="J9" s="5">
        <f t="shared" si="0"/>
        <v>46218</v>
      </c>
      <c r="K9" s="8" t="s">
        <v>46</v>
      </c>
    </row>
    <row r="10" spans="1:11" ht="15.75" x14ac:dyDescent="0.25">
      <c r="A10" s="3">
        <v>6</v>
      </c>
      <c r="B10" s="3" t="s">
        <v>45</v>
      </c>
      <c r="C10" s="80">
        <v>4500</v>
      </c>
      <c r="D10" s="5">
        <v>46219</v>
      </c>
      <c r="E10" s="6">
        <v>0</v>
      </c>
      <c r="F10" s="3" t="s">
        <v>14</v>
      </c>
      <c r="G10" s="49">
        <v>5572</v>
      </c>
      <c r="H10" s="7">
        <v>0</v>
      </c>
      <c r="I10" s="3" t="s">
        <v>15</v>
      </c>
      <c r="J10" s="5">
        <f t="shared" si="0"/>
        <v>46218</v>
      </c>
      <c r="K10" s="8" t="s">
        <v>46</v>
      </c>
    </row>
    <row r="11" spans="1:11" ht="18.75" x14ac:dyDescent="0.3">
      <c r="A11" s="9"/>
      <c r="B11" s="10" t="s">
        <v>16</v>
      </c>
      <c r="C11" s="81">
        <f>SUM(C5:C10)</f>
        <v>496000</v>
      </c>
      <c r="D11" s="3"/>
      <c r="E11" s="12"/>
      <c r="F11" s="9"/>
      <c r="G11" s="13"/>
      <c r="H11" s="11">
        <f>SUM(H5:H5)</f>
        <v>0</v>
      </c>
      <c r="I11" s="9"/>
      <c r="J11" s="9"/>
      <c r="K11" s="9"/>
    </row>
    <row r="13" spans="1:11" ht="24" x14ac:dyDescent="0.4">
      <c r="A13" s="122" t="s">
        <v>17</v>
      </c>
      <c r="B13" s="123"/>
      <c r="C13" s="123"/>
      <c r="D13" s="123"/>
      <c r="E13" s="123"/>
      <c r="F13" s="123"/>
      <c r="G13" s="123"/>
      <c r="H13" s="123"/>
      <c r="I13" s="123"/>
      <c r="J13" s="123"/>
      <c r="K13" s="124"/>
    </row>
    <row r="14" spans="1:11" ht="15.75" x14ac:dyDescent="0.25">
      <c r="A14" s="3">
        <v>1</v>
      </c>
      <c r="B14" s="3" t="s">
        <v>705</v>
      </c>
      <c r="C14" s="80">
        <v>660</v>
      </c>
      <c r="D14" s="5">
        <v>46219</v>
      </c>
      <c r="E14" s="14">
        <v>0</v>
      </c>
      <c r="F14" s="13" t="s">
        <v>18</v>
      </c>
      <c r="G14" s="55">
        <v>5267</v>
      </c>
      <c r="H14" s="16">
        <v>0</v>
      </c>
      <c r="I14" s="3" t="s">
        <v>19</v>
      </c>
      <c r="J14" s="5">
        <f t="shared" ref="J14:J21" si="1">+D14+1</f>
        <v>46220</v>
      </c>
      <c r="K14" s="13" t="s">
        <v>115</v>
      </c>
    </row>
    <row r="15" spans="1:11" ht="15.75" x14ac:dyDescent="0.25">
      <c r="A15" s="3">
        <v>2</v>
      </c>
      <c r="B15" s="3" t="s">
        <v>706</v>
      </c>
      <c r="C15" s="80">
        <v>28600</v>
      </c>
      <c r="D15" s="5">
        <f t="shared" ref="D15:D21" si="2">+D14</f>
        <v>46219</v>
      </c>
      <c r="E15" s="14">
        <v>0</v>
      </c>
      <c r="F15" s="13" t="s">
        <v>18</v>
      </c>
      <c r="G15" s="55">
        <v>7147</v>
      </c>
      <c r="H15" s="16">
        <v>0</v>
      </c>
      <c r="I15" s="3" t="s">
        <v>15</v>
      </c>
      <c r="J15" s="5">
        <f t="shared" si="1"/>
        <v>46220</v>
      </c>
      <c r="K15" s="13" t="s">
        <v>711</v>
      </c>
    </row>
    <row r="16" spans="1:11" ht="15.75" x14ac:dyDescent="0.25">
      <c r="A16" s="3">
        <v>3</v>
      </c>
      <c r="B16" s="3" t="s">
        <v>707</v>
      </c>
      <c r="C16" s="80">
        <v>5035</v>
      </c>
      <c r="D16" s="5">
        <f t="shared" si="2"/>
        <v>46219</v>
      </c>
      <c r="E16" s="14">
        <v>0</v>
      </c>
      <c r="F16" s="13" t="s">
        <v>18</v>
      </c>
      <c r="G16" s="55">
        <v>6076</v>
      </c>
      <c r="H16" s="16">
        <v>0</v>
      </c>
      <c r="I16" s="3" t="s">
        <v>15</v>
      </c>
      <c r="J16" s="5">
        <f t="shared" si="1"/>
        <v>46220</v>
      </c>
      <c r="K16" s="13" t="s">
        <v>711</v>
      </c>
    </row>
    <row r="17" spans="1:11" ht="15.75" x14ac:dyDescent="0.25">
      <c r="A17" s="3">
        <v>4</v>
      </c>
      <c r="B17" s="3" t="s">
        <v>708</v>
      </c>
      <c r="C17" s="80">
        <v>1275</v>
      </c>
      <c r="D17" s="5">
        <f t="shared" si="2"/>
        <v>46219</v>
      </c>
      <c r="E17" s="14">
        <v>0</v>
      </c>
      <c r="F17" s="13" t="s">
        <v>18</v>
      </c>
      <c r="G17" s="55">
        <v>4396</v>
      </c>
      <c r="H17" s="16">
        <v>0</v>
      </c>
      <c r="I17" s="3" t="s">
        <v>15</v>
      </c>
      <c r="J17" s="5">
        <f t="shared" si="1"/>
        <v>46220</v>
      </c>
      <c r="K17" s="13" t="s">
        <v>712</v>
      </c>
    </row>
    <row r="18" spans="1:11" ht="15.75" x14ac:dyDescent="0.25">
      <c r="A18" s="3">
        <v>5</v>
      </c>
      <c r="B18" s="3" t="s">
        <v>574</v>
      </c>
      <c r="C18" s="80">
        <v>40000</v>
      </c>
      <c r="D18" s="5">
        <f t="shared" si="2"/>
        <v>46219</v>
      </c>
      <c r="E18" s="14">
        <v>0</v>
      </c>
      <c r="F18" s="13" t="s">
        <v>18</v>
      </c>
      <c r="G18" s="55">
        <v>3728</v>
      </c>
      <c r="H18" s="16">
        <v>0</v>
      </c>
      <c r="I18" s="3" t="s">
        <v>15</v>
      </c>
      <c r="J18" s="5">
        <f t="shared" si="1"/>
        <v>46220</v>
      </c>
      <c r="K18" s="13" t="s">
        <v>715</v>
      </c>
    </row>
    <row r="19" spans="1:11" ht="15.75" x14ac:dyDescent="0.25">
      <c r="A19" s="3">
        <v>6</v>
      </c>
      <c r="B19" s="3" t="s">
        <v>709</v>
      </c>
      <c r="C19" s="80">
        <v>2300</v>
      </c>
      <c r="D19" s="5">
        <f t="shared" si="2"/>
        <v>46219</v>
      </c>
      <c r="E19" s="14">
        <v>0</v>
      </c>
      <c r="F19" s="13" t="s">
        <v>18</v>
      </c>
      <c r="G19" s="55">
        <v>1466</v>
      </c>
      <c r="H19" s="16">
        <v>0</v>
      </c>
      <c r="I19" s="3" t="s">
        <v>15</v>
      </c>
      <c r="J19" s="5">
        <f t="shared" si="1"/>
        <v>46220</v>
      </c>
      <c r="K19" s="13" t="s">
        <v>712</v>
      </c>
    </row>
    <row r="20" spans="1:11" ht="15.75" x14ac:dyDescent="0.25">
      <c r="A20" s="3">
        <v>7</v>
      </c>
      <c r="B20" s="3" t="s">
        <v>710</v>
      </c>
      <c r="C20" s="80">
        <v>400</v>
      </c>
      <c r="D20" s="5">
        <f t="shared" si="2"/>
        <v>46219</v>
      </c>
      <c r="E20" s="14">
        <v>0</v>
      </c>
      <c r="F20" s="13" t="s">
        <v>18</v>
      </c>
      <c r="G20" s="55">
        <v>4594</v>
      </c>
      <c r="H20" s="16">
        <v>0</v>
      </c>
      <c r="I20" s="3" t="s">
        <v>15</v>
      </c>
      <c r="J20" s="5">
        <f t="shared" si="1"/>
        <v>46220</v>
      </c>
      <c r="K20" s="13" t="s">
        <v>115</v>
      </c>
    </row>
    <row r="21" spans="1:11" ht="15.75" x14ac:dyDescent="0.25">
      <c r="A21" s="3">
        <v>8</v>
      </c>
      <c r="B21" s="3" t="s">
        <v>221</v>
      </c>
      <c r="C21" s="80">
        <v>375</v>
      </c>
      <c r="D21" s="5">
        <f t="shared" si="2"/>
        <v>46219</v>
      </c>
      <c r="E21" s="14">
        <v>0</v>
      </c>
      <c r="F21" s="13" t="s">
        <v>18</v>
      </c>
      <c r="G21" s="55">
        <v>725</v>
      </c>
      <c r="H21" s="16">
        <v>0</v>
      </c>
      <c r="I21" s="3" t="s">
        <v>15</v>
      </c>
      <c r="J21" s="5">
        <f t="shared" si="1"/>
        <v>46220</v>
      </c>
      <c r="K21" s="13" t="s">
        <v>115</v>
      </c>
    </row>
    <row r="22" spans="1:11" ht="18.75" x14ac:dyDescent="0.3">
      <c r="A22" s="3"/>
      <c r="B22" s="17" t="s">
        <v>16</v>
      </c>
      <c r="C22" s="82">
        <f>SUM(C14:C21)</f>
        <v>78645</v>
      </c>
      <c r="D22" s="3"/>
      <c r="E22" s="3"/>
      <c r="F22" s="13"/>
      <c r="G22" s="13"/>
      <c r="H22" s="11"/>
      <c r="I22" s="3"/>
      <c r="J22" s="3"/>
      <c r="K22" s="3"/>
    </row>
    <row r="23" spans="1:11" ht="21" x14ac:dyDescent="0.35">
      <c r="A23" s="135" t="s">
        <v>20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7"/>
    </row>
    <row r="24" spans="1:11" ht="18.75" x14ac:dyDescent="0.3">
      <c r="A24" s="19" t="s">
        <v>3</v>
      </c>
      <c r="B24" s="19" t="s">
        <v>21</v>
      </c>
      <c r="C24" s="5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75" x14ac:dyDescent="0.25">
      <c r="A25" s="8">
        <v>1</v>
      </c>
      <c r="B25" s="8" t="s">
        <v>313</v>
      </c>
      <c r="C25" s="75">
        <v>5000</v>
      </c>
      <c r="D25" s="5">
        <v>46219</v>
      </c>
      <c r="E25" s="8"/>
      <c r="F25" s="8"/>
      <c r="G25" s="22">
        <v>2543</v>
      </c>
      <c r="H25" s="23"/>
      <c r="I25" s="24"/>
      <c r="J25" s="5">
        <v>46219</v>
      </c>
      <c r="K25" s="13" t="s">
        <v>714</v>
      </c>
    </row>
    <row r="26" spans="1:11" ht="15.75" x14ac:dyDescent="0.25">
      <c r="A26" s="8">
        <v>2</v>
      </c>
      <c r="B26" s="8" t="s">
        <v>44</v>
      </c>
      <c r="C26" s="75">
        <v>1648.08</v>
      </c>
      <c r="D26" s="5">
        <v>46219</v>
      </c>
      <c r="E26" s="8"/>
      <c r="F26" s="8"/>
      <c r="G26" s="22">
        <v>2612</v>
      </c>
      <c r="H26" s="23"/>
      <c r="I26" s="24"/>
      <c r="J26" s="5">
        <v>46219</v>
      </c>
      <c r="K26" s="13" t="s">
        <v>714</v>
      </c>
    </row>
    <row r="27" spans="1:11" ht="15.75" x14ac:dyDescent="0.25">
      <c r="A27" s="8">
        <v>3</v>
      </c>
      <c r="B27" s="8" t="s">
        <v>44</v>
      </c>
      <c r="C27" s="75">
        <v>28000</v>
      </c>
      <c r="D27" s="5">
        <v>46219</v>
      </c>
      <c r="E27" s="8"/>
      <c r="F27" s="8"/>
      <c r="G27" s="22">
        <v>5896</v>
      </c>
      <c r="H27" s="23"/>
      <c r="I27" s="24"/>
      <c r="J27" s="5">
        <v>46219</v>
      </c>
      <c r="K27" s="13" t="s">
        <v>714</v>
      </c>
    </row>
    <row r="28" spans="1:11" ht="15.75" x14ac:dyDescent="0.25">
      <c r="A28" s="8">
        <v>4</v>
      </c>
      <c r="B28" s="8" t="s">
        <v>273</v>
      </c>
      <c r="C28" s="75">
        <v>130000</v>
      </c>
      <c r="D28" s="5">
        <v>46219</v>
      </c>
      <c r="E28" s="8"/>
      <c r="F28" s="8"/>
      <c r="G28" s="22">
        <v>2982</v>
      </c>
      <c r="H28" s="23"/>
      <c r="I28" s="24"/>
      <c r="J28" s="5">
        <v>46219</v>
      </c>
      <c r="K28" s="13" t="s">
        <v>716</v>
      </c>
    </row>
    <row r="29" spans="1:11" ht="18.75" x14ac:dyDescent="0.25">
      <c r="A29" s="8"/>
      <c r="B29" s="25" t="s">
        <v>27</v>
      </c>
      <c r="C29" s="83">
        <f>SUM(C25:C28)</f>
        <v>164648.08000000002</v>
      </c>
      <c r="D29" s="3"/>
      <c r="E29" s="8"/>
      <c r="F29" s="8"/>
      <c r="G29" s="8"/>
      <c r="H29" s="27">
        <v>0</v>
      </c>
      <c r="I29" s="24"/>
      <c r="J29" s="3"/>
      <c r="K29" s="28"/>
    </row>
    <row r="30" spans="1:11" x14ac:dyDescent="0.25">
      <c r="C30" s="29"/>
      <c r="H30" s="29"/>
    </row>
    <row r="31" spans="1:11" ht="16.5" x14ac:dyDescent="0.3">
      <c r="B31" s="30" t="s">
        <v>28</v>
      </c>
      <c r="C31" s="76">
        <f>SUM(C15,C16,C17,C19)</f>
        <v>37210</v>
      </c>
      <c r="E31" s="32"/>
      <c r="F31" s="32"/>
      <c r="G31" s="116"/>
      <c r="H31" s="116"/>
    </row>
    <row r="32" spans="1:11" ht="16.5" x14ac:dyDescent="0.3">
      <c r="B32" s="33" t="s">
        <v>29</v>
      </c>
      <c r="C32" s="77">
        <f>SUM(C14,C20,C21)</f>
        <v>1435</v>
      </c>
      <c r="E32" s="35"/>
      <c r="F32" s="35"/>
      <c r="G32" s="36" t="s">
        <v>30</v>
      </c>
      <c r="H32" s="37"/>
    </row>
    <row r="33" spans="2:10" ht="24" x14ac:dyDescent="0.4">
      <c r="B33" s="38" t="s">
        <v>679</v>
      </c>
      <c r="C33" s="78">
        <f>SUM(C18)</f>
        <v>40000</v>
      </c>
      <c r="E33" s="40" t="s">
        <v>32</v>
      </c>
      <c r="F33" s="41"/>
      <c r="G33" s="42"/>
      <c r="H33" s="43"/>
      <c r="I33" s="42"/>
      <c r="J33" s="44"/>
    </row>
    <row r="34" spans="2:10" ht="18.75" x14ac:dyDescent="0.3">
      <c r="B34" s="45" t="s">
        <v>16</v>
      </c>
      <c r="C34" s="79">
        <f>SUM(C31,C32,C33)</f>
        <v>78645</v>
      </c>
      <c r="G34" s="36"/>
      <c r="H34" s="37"/>
      <c r="I34" s="36"/>
      <c r="J34" s="36"/>
    </row>
    <row r="35" spans="2:10" x14ac:dyDescent="0.25">
      <c r="C35" s="98"/>
    </row>
  </sheetData>
  <mergeCells count="6">
    <mergeCell ref="G31:H31"/>
    <mergeCell ref="A1:K1"/>
    <mergeCell ref="A2:K2"/>
    <mergeCell ref="A3:K3"/>
    <mergeCell ref="A13:K13"/>
    <mergeCell ref="A23:K23"/>
  </mergeCells>
  <pageMargins left="0.59055118110236215" right="0.15748031496062992" top="0.47244094488188976" bottom="0.23622047244094488" header="0.31496062992125984" footer="0.31496062992125984"/>
  <pageSetup scale="81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7940D-2C07-4D61-9CB3-A53E6C312C07}">
  <sheetPr>
    <pageSetUpPr fitToPage="1"/>
  </sheetPr>
  <dimension ref="A1:N36"/>
  <sheetViews>
    <sheetView topLeftCell="A10" workbookViewId="0">
      <selection activeCell="A22" sqref="A22:K22"/>
    </sheetView>
  </sheetViews>
  <sheetFormatPr defaultRowHeight="15" x14ac:dyDescent="0.25"/>
  <cols>
    <col min="1" max="1" width="4.42578125" bestFit="1" customWidth="1"/>
    <col min="2" max="2" width="24.85546875" bestFit="1" customWidth="1"/>
    <col min="3" max="3" width="14.4257812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31.7109375" bestFit="1" customWidth="1"/>
    <col min="14" max="14" width="13.28515625" bestFit="1" customWidth="1"/>
  </cols>
  <sheetData>
    <row r="1" spans="1:14" ht="24.75" x14ac:dyDescent="0.25">
      <c r="A1" s="117" t="s">
        <v>654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4" ht="21" x14ac:dyDescent="0.35">
      <c r="A2" s="118" t="s">
        <v>717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4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4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4" ht="15.75" x14ac:dyDescent="0.25">
      <c r="A5" s="3">
        <v>1</v>
      </c>
      <c r="B5" s="3" t="s">
        <v>45</v>
      </c>
      <c r="C5" s="80">
        <v>42000</v>
      </c>
      <c r="D5" s="5">
        <v>42568</v>
      </c>
      <c r="E5" s="6">
        <v>0</v>
      </c>
      <c r="F5" s="3" t="s">
        <v>14</v>
      </c>
      <c r="G5" s="49">
        <v>5644</v>
      </c>
      <c r="H5" s="7">
        <v>0</v>
      </c>
      <c r="I5" s="3" t="s">
        <v>15</v>
      </c>
      <c r="J5" s="5">
        <f>+D5-1</f>
        <v>42567</v>
      </c>
      <c r="K5" s="8" t="s">
        <v>46</v>
      </c>
      <c r="N5" s="99">
        <v>0</v>
      </c>
    </row>
    <row r="6" spans="1:14" ht="15.75" x14ac:dyDescent="0.25">
      <c r="A6" s="3">
        <v>2</v>
      </c>
      <c r="B6" s="3" t="s">
        <v>45</v>
      </c>
      <c r="C6" s="80">
        <v>1500</v>
      </c>
      <c r="D6" s="5">
        <v>42568</v>
      </c>
      <c r="E6" s="6">
        <v>0</v>
      </c>
      <c r="F6" s="3" t="s">
        <v>14</v>
      </c>
      <c r="G6" s="49">
        <v>0</v>
      </c>
      <c r="H6" s="7">
        <v>0</v>
      </c>
      <c r="I6" s="3" t="s">
        <v>15</v>
      </c>
      <c r="J6" s="5">
        <f>+D6-1</f>
        <v>42567</v>
      </c>
      <c r="K6" s="8" t="s">
        <v>727</v>
      </c>
      <c r="N6" s="99">
        <v>1950</v>
      </c>
    </row>
    <row r="7" spans="1:14" ht="18.75" x14ac:dyDescent="0.3">
      <c r="A7" s="9"/>
      <c r="B7" s="10" t="s">
        <v>16</v>
      </c>
      <c r="C7" s="81">
        <f>SUM(C5:C6)</f>
        <v>43500</v>
      </c>
      <c r="D7" s="3"/>
      <c r="E7" s="12"/>
      <c r="F7" s="9"/>
      <c r="G7" s="13"/>
      <c r="H7" s="11">
        <f>SUM(H5:H5)</f>
        <v>0</v>
      </c>
      <c r="I7" s="9"/>
      <c r="J7" s="9"/>
      <c r="K7" s="9"/>
      <c r="N7" s="99">
        <v>0</v>
      </c>
    </row>
    <row r="8" spans="1:14" x14ac:dyDescent="0.25">
      <c r="N8" s="99">
        <v>166800</v>
      </c>
    </row>
    <row r="9" spans="1:14" ht="24" x14ac:dyDescent="0.4">
      <c r="A9" s="122" t="s">
        <v>17</v>
      </c>
      <c r="B9" s="123"/>
      <c r="C9" s="123"/>
      <c r="D9" s="123"/>
      <c r="E9" s="123"/>
      <c r="F9" s="123"/>
      <c r="G9" s="123"/>
      <c r="H9" s="123"/>
      <c r="I9" s="123"/>
      <c r="J9" s="123"/>
      <c r="K9" s="124"/>
      <c r="N9" s="99">
        <v>0</v>
      </c>
    </row>
    <row r="10" spans="1:14" ht="15.75" x14ac:dyDescent="0.25">
      <c r="A10" s="3">
        <v>1</v>
      </c>
      <c r="B10" s="3" t="s">
        <v>691</v>
      </c>
      <c r="C10" s="80">
        <v>6474</v>
      </c>
      <c r="D10" s="5">
        <v>46220</v>
      </c>
      <c r="E10" s="14">
        <v>0</v>
      </c>
      <c r="F10" s="13" t="s">
        <v>18</v>
      </c>
      <c r="G10" s="55">
        <v>7435</v>
      </c>
      <c r="H10" s="16">
        <v>0</v>
      </c>
      <c r="I10" s="3" t="s">
        <v>19</v>
      </c>
      <c r="J10" s="5">
        <f t="shared" ref="J10:J20" si="0">+D10+1</f>
        <v>46221</v>
      </c>
      <c r="K10" s="13" t="s">
        <v>157</v>
      </c>
      <c r="N10" s="99">
        <v>0</v>
      </c>
    </row>
    <row r="11" spans="1:14" ht="15.75" x14ac:dyDescent="0.25">
      <c r="A11" s="3">
        <v>2</v>
      </c>
      <c r="B11" s="3" t="s">
        <v>718</v>
      </c>
      <c r="C11" s="80">
        <v>6120</v>
      </c>
      <c r="D11" s="5">
        <f t="shared" ref="D11:D20" si="1">+D10</f>
        <v>46220</v>
      </c>
      <c r="E11" s="14">
        <v>0</v>
      </c>
      <c r="F11" s="13" t="s">
        <v>18</v>
      </c>
      <c r="G11" s="55">
        <v>54</v>
      </c>
      <c r="H11" s="16">
        <v>0</v>
      </c>
      <c r="I11" s="3" t="s">
        <v>15</v>
      </c>
      <c r="J11" s="5">
        <f t="shared" si="0"/>
        <v>46221</v>
      </c>
      <c r="K11" s="13" t="s">
        <v>115</v>
      </c>
      <c r="N11" s="99">
        <v>5100</v>
      </c>
    </row>
    <row r="12" spans="1:14" ht="15.75" x14ac:dyDescent="0.25">
      <c r="A12" s="3">
        <v>3</v>
      </c>
      <c r="B12" s="3" t="s">
        <v>719</v>
      </c>
      <c r="C12" s="80">
        <v>11070</v>
      </c>
      <c r="D12" s="5">
        <f t="shared" si="1"/>
        <v>46220</v>
      </c>
      <c r="E12" s="14">
        <v>0</v>
      </c>
      <c r="F12" s="13" t="s">
        <v>18</v>
      </c>
      <c r="G12" s="55">
        <v>303</v>
      </c>
      <c r="H12" s="16">
        <v>0</v>
      </c>
      <c r="I12" s="3" t="s">
        <v>15</v>
      </c>
      <c r="J12" s="5">
        <f t="shared" si="0"/>
        <v>46221</v>
      </c>
      <c r="K12" s="13" t="s">
        <v>115</v>
      </c>
      <c r="N12" s="99">
        <v>0</v>
      </c>
    </row>
    <row r="13" spans="1:14" ht="15.75" x14ac:dyDescent="0.25">
      <c r="A13" s="3">
        <v>4</v>
      </c>
      <c r="B13" s="3" t="s">
        <v>720</v>
      </c>
      <c r="C13" s="80">
        <v>600</v>
      </c>
      <c r="D13" s="5">
        <f t="shared" si="1"/>
        <v>46220</v>
      </c>
      <c r="E13" s="14">
        <v>0</v>
      </c>
      <c r="F13" s="13" t="s">
        <v>18</v>
      </c>
      <c r="G13" s="55">
        <v>53</v>
      </c>
      <c r="H13" s="16">
        <v>0</v>
      </c>
      <c r="I13" s="3" t="s">
        <v>15</v>
      </c>
      <c r="J13" s="5">
        <f t="shared" si="0"/>
        <v>46221</v>
      </c>
      <c r="K13" s="13" t="s">
        <v>204</v>
      </c>
      <c r="N13" s="99">
        <v>750</v>
      </c>
    </row>
    <row r="14" spans="1:14" ht="15.75" x14ac:dyDescent="0.25">
      <c r="A14" s="3">
        <v>5</v>
      </c>
      <c r="B14" s="3" t="s">
        <v>721</v>
      </c>
      <c r="C14" s="80">
        <v>2000</v>
      </c>
      <c r="D14" s="5">
        <f t="shared" si="1"/>
        <v>46220</v>
      </c>
      <c r="E14" s="14">
        <v>0</v>
      </c>
      <c r="F14" s="13" t="s">
        <v>18</v>
      </c>
      <c r="G14" s="55">
        <v>2316</v>
      </c>
      <c r="H14" s="16">
        <v>0</v>
      </c>
      <c r="I14" s="3" t="s">
        <v>15</v>
      </c>
      <c r="J14" s="5">
        <f t="shared" si="0"/>
        <v>46221</v>
      </c>
      <c r="K14" s="13" t="s">
        <v>203</v>
      </c>
      <c r="N14" s="99">
        <v>0</v>
      </c>
    </row>
    <row r="15" spans="1:14" ht="15.75" x14ac:dyDescent="0.25">
      <c r="A15" s="3">
        <v>6</v>
      </c>
      <c r="B15" s="3" t="s">
        <v>722</v>
      </c>
      <c r="C15" s="80">
        <v>3935</v>
      </c>
      <c r="D15" s="5">
        <f t="shared" si="1"/>
        <v>46220</v>
      </c>
      <c r="E15" s="14">
        <v>0</v>
      </c>
      <c r="F15" s="13" t="s">
        <v>18</v>
      </c>
      <c r="G15" s="55">
        <v>5251</v>
      </c>
      <c r="H15" s="16">
        <v>0</v>
      </c>
      <c r="I15" s="3" t="s">
        <v>15</v>
      </c>
      <c r="J15" s="5">
        <f t="shared" si="0"/>
        <v>46221</v>
      </c>
      <c r="K15" s="13" t="s">
        <v>203</v>
      </c>
      <c r="N15" s="99">
        <v>0</v>
      </c>
    </row>
    <row r="16" spans="1:14" ht="15.75" x14ac:dyDescent="0.25">
      <c r="A16" s="3">
        <v>7</v>
      </c>
      <c r="B16" s="3" t="s">
        <v>141</v>
      </c>
      <c r="C16" s="80">
        <v>635</v>
      </c>
      <c r="D16" s="5">
        <f t="shared" si="1"/>
        <v>46220</v>
      </c>
      <c r="E16" s="14">
        <v>0</v>
      </c>
      <c r="F16" s="13" t="s">
        <v>18</v>
      </c>
      <c r="G16" s="55">
        <v>4733</v>
      </c>
      <c r="H16" s="16">
        <v>0</v>
      </c>
      <c r="I16" s="3" t="s">
        <v>15</v>
      </c>
      <c r="J16" s="5">
        <f t="shared" si="0"/>
        <v>46221</v>
      </c>
      <c r="K16" s="13" t="s">
        <v>115</v>
      </c>
      <c r="N16" s="99">
        <v>0</v>
      </c>
    </row>
    <row r="17" spans="1:14" ht="15.75" x14ac:dyDescent="0.25">
      <c r="A17" s="3">
        <v>8</v>
      </c>
      <c r="B17" s="3" t="s">
        <v>723</v>
      </c>
      <c r="C17" s="80">
        <v>12800</v>
      </c>
      <c r="D17" s="5">
        <f t="shared" si="1"/>
        <v>46220</v>
      </c>
      <c r="E17" s="14">
        <v>0</v>
      </c>
      <c r="F17" s="13" t="s">
        <v>18</v>
      </c>
      <c r="G17" s="55">
        <v>6780</v>
      </c>
      <c r="H17" s="16">
        <v>0</v>
      </c>
      <c r="I17" s="3" t="s">
        <v>15</v>
      </c>
      <c r="J17" s="5">
        <f t="shared" si="0"/>
        <v>46221</v>
      </c>
      <c r="K17" s="13" t="s">
        <v>102</v>
      </c>
      <c r="N17" s="99">
        <v>0</v>
      </c>
    </row>
    <row r="18" spans="1:14" ht="15.75" x14ac:dyDescent="0.25">
      <c r="A18" s="3">
        <v>9</v>
      </c>
      <c r="B18" s="3" t="s">
        <v>724</v>
      </c>
      <c r="C18" s="80">
        <v>40</v>
      </c>
      <c r="D18" s="5">
        <f t="shared" si="1"/>
        <v>46220</v>
      </c>
      <c r="E18" s="14">
        <v>0</v>
      </c>
      <c r="F18" s="13" t="s">
        <v>18</v>
      </c>
      <c r="G18" s="55">
        <v>1830</v>
      </c>
      <c r="H18" s="16">
        <v>0</v>
      </c>
      <c r="I18" s="3" t="s">
        <v>15</v>
      </c>
      <c r="J18" s="5">
        <f t="shared" si="0"/>
        <v>46221</v>
      </c>
      <c r="K18" s="13" t="s">
        <v>115</v>
      </c>
      <c r="N18" s="99">
        <f>122200+1450+535+12000+531990+64610</f>
        <v>732785</v>
      </c>
    </row>
    <row r="19" spans="1:14" ht="15.75" x14ac:dyDescent="0.25">
      <c r="A19" s="3">
        <v>10</v>
      </c>
      <c r="B19" s="3" t="s">
        <v>725</v>
      </c>
      <c r="C19" s="80">
        <v>1135</v>
      </c>
      <c r="D19" s="5">
        <f t="shared" si="1"/>
        <v>46220</v>
      </c>
      <c r="E19" s="14">
        <v>0</v>
      </c>
      <c r="F19" s="13" t="s">
        <v>18</v>
      </c>
      <c r="G19" s="55">
        <v>1955</v>
      </c>
      <c r="H19" s="16">
        <v>0</v>
      </c>
      <c r="I19" s="3" t="s">
        <v>15</v>
      </c>
      <c r="J19" s="5">
        <f t="shared" si="0"/>
        <v>46221</v>
      </c>
      <c r="K19" s="13" t="s">
        <v>115</v>
      </c>
      <c r="N19" s="99">
        <f>950+156770</f>
        <v>157720</v>
      </c>
    </row>
    <row r="20" spans="1:14" ht="15.75" x14ac:dyDescent="0.25">
      <c r="A20" s="3">
        <v>11</v>
      </c>
      <c r="B20" s="3" t="s">
        <v>726</v>
      </c>
      <c r="C20" s="80">
        <v>1500</v>
      </c>
      <c r="D20" s="5">
        <f t="shared" si="1"/>
        <v>46220</v>
      </c>
      <c r="E20" s="14">
        <v>0</v>
      </c>
      <c r="F20" s="13" t="s">
        <v>18</v>
      </c>
      <c r="G20" s="55">
        <v>52</v>
      </c>
      <c r="H20" s="16">
        <v>0</v>
      </c>
      <c r="I20" s="3" t="s">
        <v>15</v>
      </c>
      <c r="J20" s="5">
        <f t="shared" si="0"/>
        <v>46221</v>
      </c>
      <c r="K20" s="13" t="s">
        <v>123</v>
      </c>
      <c r="N20" s="99">
        <f>75200+1070+11680+11600</f>
        <v>99550</v>
      </c>
    </row>
    <row r="21" spans="1:14" ht="18.75" x14ac:dyDescent="0.3">
      <c r="A21" s="3"/>
      <c r="B21" s="17" t="s">
        <v>16</v>
      </c>
      <c r="C21" s="82">
        <f>SUM(C10:C20)</f>
        <v>46309</v>
      </c>
      <c r="D21" s="3"/>
      <c r="E21" s="3"/>
      <c r="F21" s="13"/>
      <c r="G21" s="13"/>
      <c r="H21" s="11"/>
      <c r="I21" s="3"/>
      <c r="J21" s="3"/>
      <c r="K21" s="3"/>
      <c r="N21" s="99">
        <f>27335+110510</f>
        <v>137845</v>
      </c>
    </row>
    <row r="22" spans="1:14" ht="21" x14ac:dyDescent="0.35">
      <c r="A22" s="135" t="s">
        <v>20</v>
      </c>
      <c r="B22" s="136"/>
      <c r="C22" s="136"/>
      <c r="D22" s="136"/>
      <c r="E22" s="136"/>
      <c r="F22" s="136"/>
      <c r="G22" s="136"/>
      <c r="H22" s="136"/>
      <c r="I22" s="136"/>
      <c r="J22" s="136"/>
      <c r="K22" s="137"/>
      <c r="N22" s="99">
        <f>730700+1900</f>
        <v>732600</v>
      </c>
    </row>
    <row r="23" spans="1:14" ht="18.75" x14ac:dyDescent="0.3">
      <c r="A23" s="19" t="s">
        <v>3</v>
      </c>
      <c r="B23" s="19" t="s">
        <v>21</v>
      </c>
      <c r="C23" s="50" t="s">
        <v>5</v>
      </c>
      <c r="D23" s="1" t="s">
        <v>22</v>
      </c>
      <c r="E23" s="19" t="s">
        <v>7</v>
      </c>
      <c r="F23" s="19" t="s">
        <v>8</v>
      </c>
      <c r="G23" s="19" t="s">
        <v>23</v>
      </c>
      <c r="H23" s="20" t="s">
        <v>24</v>
      </c>
      <c r="I23" s="19" t="s">
        <v>11</v>
      </c>
      <c r="J23" s="19" t="s">
        <v>25</v>
      </c>
      <c r="K23" s="21" t="s">
        <v>26</v>
      </c>
      <c r="N23" s="99">
        <v>0</v>
      </c>
    </row>
    <row r="24" spans="1:14" ht="15.75" x14ac:dyDescent="0.25">
      <c r="A24" s="8">
        <v>1</v>
      </c>
      <c r="B24" s="8" t="s">
        <v>181</v>
      </c>
      <c r="C24" s="75">
        <v>300000</v>
      </c>
      <c r="D24" s="5">
        <v>46220</v>
      </c>
      <c r="E24" s="8"/>
      <c r="F24" s="8"/>
      <c r="G24" s="22">
        <v>1784</v>
      </c>
      <c r="H24" s="23"/>
      <c r="I24" s="24"/>
      <c r="J24" s="5">
        <v>46220</v>
      </c>
      <c r="K24" s="13" t="s">
        <v>734</v>
      </c>
      <c r="N24" s="99">
        <v>75000</v>
      </c>
    </row>
    <row r="25" spans="1:14" ht="15.75" x14ac:dyDescent="0.25">
      <c r="A25" s="8">
        <v>1</v>
      </c>
      <c r="B25" s="8" t="s">
        <v>470</v>
      </c>
      <c r="C25" s="75">
        <v>1000</v>
      </c>
      <c r="D25" s="5">
        <v>46220</v>
      </c>
      <c r="E25" s="8"/>
      <c r="F25" s="8"/>
      <c r="G25" s="22">
        <v>3794</v>
      </c>
      <c r="H25" s="23"/>
      <c r="I25" s="24"/>
      <c r="J25" s="5">
        <v>46220</v>
      </c>
      <c r="K25" s="13" t="s">
        <v>732</v>
      </c>
      <c r="N25" s="99">
        <v>0</v>
      </c>
    </row>
    <row r="26" spans="1:14" ht="15.75" x14ac:dyDescent="0.25">
      <c r="A26" s="8">
        <v>2</v>
      </c>
      <c r="B26" s="8" t="s">
        <v>728</v>
      </c>
      <c r="C26" s="75">
        <v>24006</v>
      </c>
      <c r="D26" s="5">
        <v>46220</v>
      </c>
      <c r="E26" s="8"/>
      <c r="F26" s="8"/>
      <c r="G26" s="22">
        <v>145</v>
      </c>
      <c r="H26" s="23"/>
      <c r="I26" s="24"/>
      <c r="J26" s="5">
        <v>46220</v>
      </c>
      <c r="K26" s="13" t="s">
        <v>115</v>
      </c>
      <c r="N26" s="99">
        <v>0</v>
      </c>
    </row>
    <row r="27" spans="1:14" ht="15.75" x14ac:dyDescent="0.25">
      <c r="A27" s="8">
        <v>3</v>
      </c>
      <c r="B27" s="8" t="s">
        <v>257</v>
      </c>
      <c r="C27" s="75">
        <v>613.6</v>
      </c>
      <c r="D27" s="5">
        <v>46220</v>
      </c>
      <c r="E27" s="8"/>
      <c r="F27" s="8"/>
      <c r="G27" s="22">
        <v>0</v>
      </c>
      <c r="H27" s="23"/>
      <c r="I27" s="24"/>
      <c r="J27" s="5">
        <v>46220</v>
      </c>
      <c r="K27" s="13" t="s">
        <v>733</v>
      </c>
      <c r="N27" s="99">
        <v>35950</v>
      </c>
    </row>
    <row r="28" spans="1:14" ht="15.75" x14ac:dyDescent="0.25">
      <c r="A28" s="8">
        <v>4</v>
      </c>
      <c r="B28" s="8" t="s">
        <v>729</v>
      </c>
      <c r="C28" s="75">
        <v>400</v>
      </c>
      <c r="D28" s="5">
        <v>46220</v>
      </c>
      <c r="E28" s="8"/>
      <c r="F28" s="8"/>
      <c r="G28" s="22">
        <v>5252</v>
      </c>
      <c r="H28" s="23"/>
      <c r="I28" s="24"/>
      <c r="J28" s="5">
        <v>46220</v>
      </c>
      <c r="K28" s="13" t="s">
        <v>447</v>
      </c>
      <c r="N28" s="99">
        <f>SUM(N5:N27)</f>
        <v>2146050</v>
      </c>
    </row>
    <row r="29" spans="1:14" ht="15.75" x14ac:dyDescent="0.25">
      <c r="A29" s="8">
        <v>5</v>
      </c>
      <c r="B29" s="8" t="s">
        <v>728</v>
      </c>
      <c r="C29" s="75">
        <v>25006</v>
      </c>
      <c r="D29" s="5">
        <v>46220</v>
      </c>
      <c r="E29" s="8"/>
      <c r="F29" s="8"/>
      <c r="G29" s="22">
        <v>182</v>
      </c>
      <c r="H29" s="23"/>
      <c r="I29" s="24"/>
      <c r="J29" s="5">
        <v>46220</v>
      </c>
      <c r="K29" s="13" t="s">
        <v>115</v>
      </c>
      <c r="N29" s="99"/>
    </row>
    <row r="30" spans="1:14" ht="15.75" x14ac:dyDescent="0.25">
      <c r="A30" s="8">
        <v>6</v>
      </c>
      <c r="B30" s="8" t="s">
        <v>728</v>
      </c>
      <c r="C30" s="75">
        <v>25006</v>
      </c>
      <c r="D30" s="5">
        <v>46220</v>
      </c>
      <c r="E30" s="8"/>
      <c r="F30" s="8"/>
      <c r="G30" s="22">
        <v>183</v>
      </c>
      <c r="H30" s="23"/>
      <c r="I30" s="24"/>
      <c r="J30" s="5">
        <v>46220</v>
      </c>
      <c r="K30" s="13" t="s">
        <v>115</v>
      </c>
      <c r="N30" s="99">
        <f>27750+77375</f>
        <v>105125</v>
      </c>
    </row>
    <row r="31" spans="1:14" ht="18.75" x14ac:dyDescent="0.25">
      <c r="A31" s="8"/>
      <c r="B31" s="25" t="s">
        <v>27</v>
      </c>
      <c r="C31" s="83">
        <f>SUM(C24:C30)</f>
        <v>376031.6</v>
      </c>
      <c r="D31" s="3"/>
      <c r="E31" s="8"/>
      <c r="F31" s="8"/>
      <c r="G31" s="8"/>
      <c r="H31" s="27">
        <v>0</v>
      </c>
      <c r="I31" s="24"/>
      <c r="J31" s="3"/>
      <c r="K31" s="28"/>
      <c r="N31" s="99">
        <v>375200</v>
      </c>
    </row>
    <row r="32" spans="1:14" x14ac:dyDescent="0.25">
      <c r="C32" s="29"/>
      <c r="H32" s="29"/>
      <c r="N32" s="99"/>
    </row>
    <row r="33" spans="2:14" ht="16.5" x14ac:dyDescent="0.3">
      <c r="B33" s="30" t="s">
        <v>28</v>
      </c>
      <c r="C33" s="76">
        <f>SUM(C10,C13,C14,C15,C17)</f>
        <v>25809</v>
      </c>
      <c r="E33" s="32"/>
      <c r="F33" s="32"/>
      <c r="G33" s="116"/>
      <c r="H33" s="116"/>
      <c r="N33" s="99">
        <v>681380</v>
      </c>
    </row>
    <row r="34" spans="2:14" ht="16.5" x14ac:dyDescent="0.3">
      <c r="B34" s="33" t="s">
        <v>29</v>
      </c>
      <c r="C34" s="77">
        <f>SUM(C11,C12,C16,C18,C19)</f>
        <v>19000</v>
      </c>
      <c r="E34" s="35"/>
      <c r="F34" s="35"/>
      <c r="G34" s="36" t="s">
        <v>30</v>
      </c>
      <c r="H34" s="37"/>
      <c r="N34" s="99"/>
    </row>
    <row r="35" spans="2:14" ht="24" x14ac:dyDescent="0.4">
      <c r="B35" s="38" t="s">
        <v>700</v>
      </c>
      <c r="C35" s="78">
        <f>SUM(C20)</f>
        <v>1500</v>
      </c>
      <c r="E35" s="40" t="s">
        <v>32</v>
      </c>
      <c r="F35" s="41"/>
      <c r="G35" s="42"/>
      <c r="H35" s="43"/>
      <c r="I35" s="42"/>
      <c r="J35" s="44"/>
    </row>
    <row r="36" spans="2:14" ht="18.75" x14ac:dyDescent="0.3">
      <c r="B36" s="45" t="s">
        <v>16</v>
      </c>
      <c r="C36" s="79">
        <f>SUM(C33:C35)</f>
        <v>46309</v>
      </c>
      <c r="G36" s="36"/>
      <c r="H36" s="37"/>
      <c r="I36" s="36"/>
      <c r="J36" s="36"/>
    </row>
  </sheetData>
  <mergeCells count="6">
    <mergeCell ref="G33:H33"/>
    <mergeCell ref="A1:K1"/>
    <mergeCell ref="A2:K2"/>
    <mergeCell ref="A3:K3"/>
    <mergeCell ref="A9:K9"/>
    <mergeCell ref="A22:K22"/>
  </mergeCells>
  <pageMargins left="0.59055118110236215" right="0.15748031496062992" top="0.47244094488188976" bottom="0.23622047244094488" header="0.31496062992125984" footer="0.31496062992125984"/>
  <pageSetup scale="69" orientation="landscape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C4F42-FC02-402B-A325-BDB50BCC2D55}">
  <sheetPr>
    <pageSetUpPr fitToPage="1"/>
  </sheetPr>
  <dimension ref="A1:K29"/>
  <sheetViews>
    <sheetView topLeftCell="A5" workbookViewId="0">
      <selection activeCell="A20" sqref="A20:K20"/>
    </sheetView>
  </sheetViews>
  <sheetFormatPr defaultRowHeight="15" x14ac:dyDescent="0.25"/>
  <cols>
    <col min="1" max="1" width="4.42578125" bestFit="1" customWidth="1"/>
    <col min="2" max="2" width="23.140625" bestFit="1" customWidth="1"/>
    <col min="3" max="3" width="14.42578125" bestFit="1" customWidth="1"/>
    <col min="4" max="4" width="13.85546875" bestFit="1" customWidth="1"/>
    <col min="5" max="5" width="11.42578125" bestFit="1" customWidth="1"/>
    <col min="6" max="6" width="9.5703125" customWidth="1"/>
    <col min="7" max="7" width="12.85546875" bestFit="1" customWidth="1"/>
    <col min="8" max="8" width="9.42578125" customWidth="1"/>
    <col min="9" max="9" width="10" bestFit="1" customWidth="1"/>
    <col min="10" max="10" width="16.85546875" bestFit="1" customWidth="1"/>
    <col min="11" max="11" width="27.28515625" customWidth="1"/>
  </cols>
  <sheetData>
    <row r="1" spans="1:11" ht="24.75" x14ac:dyDescent="0.25">
      <c r="A1" s="117" t="s">
        <v>735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743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45</v>
      </c>
      <c r="C5" s="80">
        <v>70000</v>
      </c>
      <c r="D5" s="5">
        <v>46221</v>
      </c>
      <c r="E5" s="6">
        <v>0</v>
      </c>
      <c r="F5" s="3" t="s">
        <v>14</v>
      </c>
      <c r="G5" s="49">
        <v>5702</v>
      </c>
      <c r="H5" s="7">
        <v>0</v>
      </c>
      <c r="I5" s="3" t="s">
        <v>15</v>
      </c>
      <c r="J5" s="5">
        <f>+D5-1</f>
        <v>46220</v>
      </c>
      <c r="K5" s="8" t="s">
        <v>261</v>
      </c>
    </row>
    <row r="6" spans="1:11" ht="15.75" x14ac:dyDescent="0.25">
      <c r="A6" s="3">
        <v>2</v>
      </c>
      <c r="B6" s="3" t="s">
        <v>45</v>
      </c>
      <c r="C6" s="80">
        <v>6300</v>
      </c>
      <c r="D6" s="5">
        <v>46221</v>
      </c>
      <c r="E6" s="6">
        <v>0</v>
      </c>
      <c r="F6" s="3" t="s">
        <v>14</v>
      </c>
      <c r="G6" s="49">
        <v>5705</v>
      </c>
      <c r="H6" s="7">
        <v>0</v>
      </c>
      <c r="I6" s="3" t="s">
        <v>15</v>
      </c>
      <c r="J6" s="5">
        <f>+D6-1</f>
        <v>46220</v>
      </c>
      <c r="K6" s="8" t="s">
        <v>261</v>
      </c>
    </row>
    <row r="7" spans="1:11" ht="15.75" x14ac:dyDescent="0.25">
      <c r="A7" s="3">
        <v>3</v>
      </c>
      <c r="B7" s="3" t="s">
        <v>742</v>
      </c>
      <c r="C7" s="80">
        <v>8176.35</v>
      </c>
      <c r="D7" s="5">
        <v>46221</v>
      </c>
      <c r="E7" s="6">
        <v>0</v>
      </c>
      <c r="F7" s="3" t="s">
        <v>14</v>
      </c>
      <c r="G7" s="49">
        <v>0</v>
      </c>
      <c r="H7" s="7">
        <v>0</v>
      </c>
      <c r="I7" s="3" t="s">
        <v>15</v>
      </c>
      <c r="J7" s="5">
        <f>+D7-1</f>
        <v>46220</v>
      </c>
      <c r="K7" s="8" t="s">
        <v>758</v>
      </c>
    </row>
    <row r="8" spans="1:11" ht="18.75" x14ac:dyDescent="0.3">
      <c r="A8" s="9"/>
      <c r="B8" s="10" t="s">
        <v>16</v>
      </c>
      <c r="C8" s="81">
        <f>SUM(C5:C7)</f>
        <v>84476.35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4" x14ac:dyDescent="0.4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75" x14ac:dyDescent="0.25">
      <c r="A11" s="3">
        <v>1</v>
      </c>
      <c r="B11" s="3" t="s">
        <v>736</v>
      </c>
      <c r="C11" s="80">
        <v>33400</v>
      </c>
      <c r="D11" s="5">
        <v>46221</v>
      </c>
      <c r="E11" s="14">
        <v>0</v>
      </c>
      <c r="F11" s="13" t="s">
        <v>18</v>
      </c>
      <c r="G11" s="55">
        <v>2983</v>
      </c>
      <c r="H11" s="16">
        <v>0</v>
      </c>
      <c r="I11" s="3" t="s">
        <v>19</v>
      </c>
      <c r="J11" s="5">
        <f t="shared" ref="J11:J18" si="0">+D11+1</f>
        <v>46222</v>
      </c>
      <c r="K11" s="13" t="s">
        <v>157</v>
      </c>
    </row>
    <row r="12" spans="1:11" ht="15.75" x14ac:dyDescent="0.25">
      <c r="A12" s="3">
        <v>2</v>
      </c>
      <c r="B12" s="3" t="s">
        <v>737</v>
      </c>
      <c r="C12" s="80">
        <v>950</v>
      </c>
      <c r="D12" s="5">
        <f t="shared" ref="D12:D18" si="1">+D11</f>
        <v>46221</v>
      </c>
      <c r="E12" s="14">
        <v>0</v>
      </c>
      <c r="F12" s="13" t="s">
        <v>18</v>
      </c>
      <c r="G12" s="55">
        <v>4262</v>
      </c>
      <c r="H12" s="16">
        <v>0</v>
      </c>
      <c r="I12" s="3" t="s">
        <v>15</v>
      </c>
      <c r="J12" s="5">
        <f t="shared" si="0"/>
        <v>46222</v>
      </c>
      <c r="K12" s="13" t="s">
        <v>115</v>
      </c>
    </row>
    <row r="13" spans="1:11" ht="15.75" x14ac:dyDescent="0.25">
      <c r="A13" s="3">
        <v>3</v>
      </c>
      <c r="B13" s="3" t="s">
        <v>738</v>
      </c>
      <c r="C13" s="80">
        <v>1900</v>
      </c>
      <c r="D13" s="5">
        <f t="shared" si="1"/>
        <v>46221</v>
      </c>
      <c r="E13" s="14">
        <v>0</v>
      </c>
      <c r="F13" s="13" t="s">
        <v>18</v>
      </c>
      <c r="G13" s="55">
        <v>183</v>
      </c>
      <c r="H13" s="16">
        <v>0</v>
      </c>
      <c r="I13" s="3" t="s">
        <v>15</v>
      </c>
      <c r="J13" s="5">
        <f t="shared" si="0"/>
        <v>46222</v>
      </c>
      <c r="K13" s="13" t="s">
        <v>745</v>
      </c>
    </row>
    <row r="14" spans="1:11" ht="15.75" x14ac:dyDescent="0.25">
      <c r="A14" s="3">
        <v>4</v>
      </c>
      <c r="B14" s="3" t="s">
        <v>739</v>
      </c>
      <c r="C14" s="80">
        <v>4000</v>
      </c>
      <c r="D14" s="5">
        <f t="shared" si="1"/>
        <v>46221</v>
      </c>
      <c r="E14" s="14">
        <v>0</v>
      </c>
      <c r="F14" s="13" t="s">
        <v>18</v>
      </c>
      <c r="G14" s="55">
        <v>8558</v>
      </c>
      <c r="H14" s="16">
        <v>0</v>
      </c>
      <c r="I14" s="3" t="s">
        <v>15</v>
      </c>
      <c r="J14" s="5">
        <f t="shared" si="0"/>
        <v>46222</v>
      </c>
      <c r="K14" s="100" t="s">
        <v>757</v>
      </c>
    </row>
    <row r="15" spans="1:11" ht="15.75" x14ac:dyDescent="0.25">
      <c r="A15" s="3">
        <v>5</v>
      </c>
      <c r="B15" s="3" t="s">
        <v>624</v>
      </c>
      <c r="C15" s="80">
        <v>15</v>
      </c>
      <c r="D15" s="5">
        <f t="shared" si="1"/>
        <v>46221</v>
      </c>
      <c r="E15" s="14">
        <v>0</v>
      </c>
      <c r="F15" s="13" t="s">
        <v>18</v>
      </c>
      <c r="G15" s="55">
        <v>2521</v>
      </c>
      <c r="H15" s="16">
        <v>0</v>
      </c>
      <c r="I15" s="3" t="s">
        <v>15</v>
      </c>
      <c r="J15" s="5">
        <f t="shared" si="0"/>
        <v>46222</v>
      </c>
      <c r="K15" s="13" t="s">
        <v>115</v>
      </c>
    </row>
    <row r="16" spans="1:11" ht="15.75" x14ac:dyDescent="0.25">
      <c r="A16" s="3">
        <v>6</v>
      </c>
      <c r="B16" s="3" t="s">
        <v>740</v>
      </c>
      <c r="C16" s="80">
        <v>840</v>
      </c>
      <c r="D16" s="5">
        <f t="shared" si="1"/>
        <v>46221</v>
      </c>
      <c r="E16" s="14">
        <v>0</v>
      </c>
      <c r="F16" s="13" t="s">
        <v>18</v>
      </c>
      <c r="G16" s="55">
        <v>5793</v>
      </c>
      <c r="H16" s="16">
        <v>0</v>
      </c>
      <c r="I16" s="3" t="s">
        <v>15</v>
      </c>
      <c r="J16" s="5">
        <f t="shared" si="0"/>
        <v>46222</v>
      </c>
      <c r="K16" s="13" t="s">
        <v>115</v>
      </c>
    </row>
    <row r="17" spans="1:11" ht="15.75" x14ac:dyDescent="0.25">
      <c r="A17" s="3">
        <v>7</v>
      </c>
      <c r="B17" s="3" t="s">
        <v>741</v>
      </c>
      <c r="C17" s="80">
        <v>2000</v>
      </c>
      <c r="D17" s="5">
        <f t="shared" si="1"/>
        <v>46221</v>
      </c>
      <c r="E17" s="14">
        <v>0</v>
      </c>
      <c r="F17" s="13" t="s">
        <v>18</v>
      </c>
      <c r="G17" s="55">
        <v>5043</v>
      </c>
      <c r="H17" s="16">
        <v>0</v>
      </c>
      <c r="I17" s="3" t="s">
        <v>15</v>
      </c>
      <c r="J17" s="5">
        <f t="shared" si="0"/>
        <v>46222</v>
      </c>
      <c r="K17" s="13" t="s">
        <v>115</v>
      </c>
    </row>
    <row r="18" spans="1:11" ht="15.75" x14ac:dyDescent="0.25">
      <c r="A18" s="3">
        <v>8</v>
      </c>
      <c r="B18" s="3" t="s">
        <v>500</v>
      </c>
      <c r="C18" s="80">
        <v>2080</v>
      </c>
      <c r="D18" s="5">
        <f t="shared" si="1"/>
        <v>46221</v>
      </c>
      <c r="E18" s="14">
        <v>0</v>
      </c>
      <c r="F18" s="13" t="s">
        <v>18</v>
      </c>
      <c r="G18" s="55">
        <v>7356</v>
      </c>
      <c r="H18" s="16">
        <v>0</v>
      </c>
      <c r="I18" s="3" t="s">
        <v>15</v>
      </c>
      <c r="J18" s="5">
        <f t="shared" si="0"/>
        <v>46222</v>
      </c>
      <c r="K18" s="13" t="s">
        <v>115</v>
      </c>
    </row>
    <row r="19" spans="1:11" ht="18.75" x14ac:dyDescent="0.3">
      <c r="A19" s="3"/>
      <c r="B19" s="17" t="s">
        <v>16</v>
      </c>
      <c r="C19" s="82">
        <f>SUM(C11:C18)</f>
        <v>45185</v>
      </c>
      <c r="D19" s="3"/>
      <c r="E19" s="3"/>
      <c r="F19" s="13"/>
      <c r="G19" s="13"/>
      <c r="H19" s="11"/>
      <c r="I19" s="3"/>
      <c r="J19" s="3"/>
      <c r="K19" s="3"/>
    </row>
    <row r="20" spans="1:11" ht="21" x14ac:dyDescent="0.35">
      <c r="A20" s="135" t="s">
        <v>20</v>
      </c>
      <c r="B20" s="136"/>
      <c r="C20" s="136"/>
      <c r="D20" s="136"/>
      <c r="E20" s="136"/>
      <c r="F20" s="136"/>
      <c r="G20" s="136"/>
      <c r="H20" s="136"/>
      <c r="I20" s="136"/>
      <c r="J20" s="136"/>
      <c r="K20" s="137"/>
    </row>
    <row r="21" spans="1:11" ht="18.75" x14ac:dyDescent="0.3">
      <c r="A21" s="19" t="s">
        <v>3</v>
      </c>
      <c r="B21" s="19" t="s">
        <v>21</v>
      </c>
      <c r="C21" s="50" t="s">
        <v>5</v>
      </c>
      <c r="D21" s="1" t="s">
        <v>22</v>
      </c>
      <c r="E21" s="19" t="s">
        <v>7</v>
      </c>
      <c r="F21" s="19" t="s">
        <v>8</v>
      </c>
      <c r="G21" s="19" t="s">
        <v>23</v>
      </c>
      <c r="H21" s="20" t="s">
        <v>24</v>
      </c>
      <c r="I21" s="19" t="s">
        <v>11</v>
      </c>
      <c r="J21" s="19" t="s">
        <v>25</v>
      </c>
      <c r="K21" s="21" t="s">
        <v>26</v>
      </c>
    </row>
    <row r="22" spans="1:11" ht="15.75" x14ac:dyDescent="0.25">
      <c r="A22" s="8">
        <v>1</v>
      </c>
      <c r="B22" s="8" t="s">
        <v>52</v>
      </c>
      <c r="C22" s="75">
        <v>100000</v>
      </c>
      <c r="D22" s="5">
        <v>46221</v>
      </c>
      <c r="E22" s="8"/>
      <c r="F22" s="8"/>
      <c r="G22" s="22">
        <v>106</v>
      </c>
      <c r="H22" s="23"/>
      <c r="I22" s="24"/>
      <c r="J22" s="5">
        <v>46221</v>
      </c>
      <c r="K22" s="13" t="s">
        <v>746</v>
      </c>
    </row>
    <row r="23" spans="1:11" ht="15.75" x14ac:dyDescent="0.25">
      <c r="A23" s="8">
        <v>2</v>
      </c>
      <c r="B23" s="8" t="s">
        <v>744</v>
      </c>
      <c r="C23" s="75">
        <v>1665</v>
      </c>
      <c r="D23" s="5">
        <v>46221</v>
      </c>
      <c r="E23" s="8"/>
      <c r="F23" s="8"/>
      <c r="G23" s="22">
        <v>1761</v>
      </c>
      <c r="H23" s="23"/>
      <c r="I23" s="24"/>
      <c r="J23" s="5">
        <v>46221</v>
      </c>
      <c r="K23" s="13" t="s">
        <v>747</v>
      </c>
    </row>
    <row r="24" spans="1:11" ht="18.75" x14ac:dyDescent="0.25">
      <c r="A24" s="8"/>
      <c r="B24" s="25" t="s">
        <v>27</v>
      </c>
      <c r="C24" s="83">
        <f>SUM(C22:C23)</f>
        <v>101665</v>
      </c>
      <c r="D24" s="3"/>
      <c r="E24" s="8"/>
      <c r="F24" s="8"/>
      <c r="G24" s="8"/>
      <c r="H24" s="27">
        <v>0</v>
      </c>
      <c r="I24" s="24"/>
      <c r="J24" s="3"/>
      <c r="K24" s="28"/>
    </row>
    <row r="25" spans="1:11" x14ac:dyDescent="0.25">
      <c r="C25" s="29"/>
      <c r="H25" s="29"/>
    </row>
    <row r="26" spans="1:11" ht="16.5" x14ac:dyDescent="0.3">
      <c r="B26" s="30" t="s">
        <v>28</v>
      </c>
      <c r="C26" s="76">
        <f>SUM(C11,C13)</f>
        <v>35300</v>
      </c>
      <c r="E26" s="32"/>
      <c r="F26" s="32"/>
      <c r="G26" s="116"/>
      <c r="H26" s="116"/>
    </row>
    <row r="27" spans="1:11" ht="16.5" x14ac:dyDescent="0.3">
      <c r="B27" s="33" t="s">
        <v>29</v>
      </c>
      <c r="C27" s="77">
        <f>SUM(C12,C14,C15,C16,C17,C18)</f>
        <v>9885</v>
      </c>
      <c r="E27" s="35"/>
      <c r="F27" s="35"/>
      <c r="G27" s="36" t="s">
        <v>30</v>
      </c>
      <c r="H27" s="37"/>
    </row>
    <row r="28" spans="1:11" ht="24" x14ac:dyDescent="0.4">
      <c r="B28" s="38" t="s">
        <v>31</v>
      </c>
      <c r="C28" s="78"/>
      <c r="E28" s="40" t="s">
        <v>32</v>
      </c>
      <c r="F28" s="41"/>
      <c r="G28" s="42"/>
      <c r="H28" s="43"/>
      <c r="I28" s="42"/>
      <c r="J28" s="44"/>
    </row>
    <row r="29" spans="1:11" ht="18.75" x14ac:dyDescent="0.3">
      <c r="B29" s="45" t="s">
        <v>16</v>
      </c>
      <c r="C29" s="79">
        <f>SUM(C26:C28)</f>
        <v>45185</v>
      </c>
      <c r="G29" s="36"/>
      <c r="H29" s="37"/>
      <c r="I29" s="36"/>
      <c r="J29" s="36"/>
    </row>
  </sheetData>
  <mergeCells count="6">
    <mergeCell ref="G26:H26"/>
    <mergeCell ref="A1:K1"/>
    <mergeCell ref="A2:K2"/>
    <mergeCell ref="A3:K3"/>
    <mergeCell ref="A10:K10"/>
    <mergeCell ref="A20:K20"/>
  </mergeCells>
  <pageMargins left="0.59055118110236215" right="0.15748031496062992" top="0.47244094488188976" bottom="0.23622047244094488" header="0.31496062992125984" footer="0.31496062992125984"/>
  <pageSetup scale="85" orientation="landscape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70AD4-AE55-4183-8E3D-D009A3910098}">
  <sheetPr>
    <pageSetUpPr fitToPage="1"/>
  </sheetPr>
  <dimension ref="A1:K27"/>
  <sheetViews>
    <sheetView topLeftCell="A5" workbookViewId="0">
      <selection activeCell="O11" sqref="O11"/>
    </sheetView>
  </sheetViews>
  <sheetFormatPr defaultRowHeight="15" x14ac:dyDescent="0.25"/>
  <cols>
    <col min="1" max="1" width="4.42578125" bestFit="1" customWidth="1"/>
    <col min="2" max="2" width="26.85546875" customWidth="1"/>
    <col min="3" max="3" width="12.710937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9.28515625" customWidth="1"/>
    <col min="9" max="9" width="10" bestFit="1" customWidth="1"/>
    <col min="10" max="10" width="16.85546875" bestFit="1" customWidth="1"/>
    <col min="11" max="11" width="22.7109375" customWidth="1"/>
  </cols>
  <sheetData>
    <row r="1" spans="1:11" ht="24.75" x14ac:dyDescent="0.25">
      <c r="A1" s="117" t="s">
        <v>735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759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6.5" customHeight="1" x14ac:dyDescent="0.25">
      <c r="A5" s="3">
        <v>1</v>
      </c>
      <c r="B5" s="3" t="s">
        <v>51</v>
      </c>
      <c r="C5" s="80">
        <v>0</v>
      </c>
      <c r="D5" s="5">
        <v>46222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46221</v>
      </c>
      <c r="K5" s="8" t="s">
        <v>33</v>
      </c>
    </row>
    <row r="6" spans="1:11" ht="18.75" x14ac:dyDescent="0.3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4" x14ac:dyDescent="0.4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75" x14ac:dyDescent="0.25">
      <c r="A9" s="3">
        <v>1</v>
      </c>
      <c r="B9" s="3" t="s">
        <v>748</v>
      </c>
      <c r="C9" s="80">
        <v>5500</v>
      </c>
      <c r="D9" s="5">
        <v>46222</v>
      </c>
      <c r="E9" s="14">
        <v>0</v>
      </c>
      <c r="F9" s="13" t="s">
        <v>18</v>
      </c>
      <c r="G9" s="55">
        <v>4247</v>
      </c>
      <c r="H9" s="16">
        <v>0</v>
      </c>
      <c r="I9" s="3" t="s">
        <v>19</v>
      </c>
      <c r="J9" s="5">
        <f t="shared" ref="J9:J14" si="0">+D9+1</f>
        <v>46223</v>
      </c>
      <c r="K9" s="13" t="s">
        <v>115</v>
      </c>
    </row>
    <row r="10" spans="1:11" ht="15.75" x14ac:dyDescent="0.25">
      <c r="A10" s="3">
        <v>2</v>
      </c>
      <c r="B10" s="3" t="s">
        <v>749</v>
      </c>
      <c r="C10" s="80">
        <v>1560</v>
      </c>
      <c r="D10" s="5">
        <f t="shared" ref="D10:D14" si="1">+D9</f>
        <v>46222</v>
      </c>
      <c r="E10" s="14">
        <v>0</v>
      </c>
      <c r="F10" s="13" t="s">
        <v>18</v>
      </c>
      <c r="G10" s="55">
        <v>9289</v>
      </c>
      <c r="H10" s="16">
        <v>0</v>
      </c>
      <c r="I10" s="3" t="s">
        <v>15</v>
      </c>
      <c r="J10" s="5">
        <f t="shared" si="0"/>
        <v>46223</v>
      </c>
      <c r="K10" s="13" t="s">
        <v>760</v>
      </c>
    </row>
    <row r="11" spans="1:11" ht="15.75" x14ac:dyDescent="0.25">
      <c r="A11" s="3">
        <v>3</v>
      </c>
      <c r="B11" s="3" t="s">
        <v>750</v>
      </c>
      <c r="C11" s="80">
        <v>2550</v>
      </c>
      <c r="D11" s="5">
        <f t="shared" si="1"/>
        <v>46222</v>
      </c>
      <c r="E11" s="14">
        <v>0</v>
      </c>
      <c r="F11" s="13" t="s">
        <v>18</v>
      </c>
      <c r="G11" s="55">
        <v>5343</v>
      </c>
      <c r="H11" s="16">
        <v>0</v>
      </c>
      <c r="I11" s="3" t="s">
        <v>15</v>
      </c>
      <c r="J11" s="5">
        <f t="shared" si="0"/>
        <v>46223</v>
      </c>
      <c r="K11" s="13" t="s">
        <v>115</v>
      </c>
    </row>
    <row r="12" spans="1:11" ht="15.75" x14ac:dyDescent="0.25">
      <c r="A12" s="3">
        <v>4</v>
      </c>
      <c r="B12" s="3" t="s">
        <v>751</v>
      </c>
      <c r="C12" s="80">
        <v>1740</v>
      </c>
      <c r="D12" s="5">
        <f t="shared" si="1"/>
        <v>46222</v>
      </c>
      <c r="E12" s="14">
        <v>0</v>
      </c>
      <c r="F12" s="13" t="s">
        <v>18</v>
      </c>
      <c r="G12" s="55">
        <v>8178</v>
      </c>
      <c r="H12" s="16">
        <v>0</v>
      </c>
      <c r="I12" s="3" t="s">
        <v>15</v>
      </c>
      <c r="J12" s="5">
        <f t="shared" si="0"/>
        <v>46223</v>
      </c>
      <c r="K12" s="13" t="s">
        <v>115</v>
      </c>
    </row>
    <row r="13" spans="1:11" ht="15.75" x14ac:dyDescent="0.25">
      <c r="A13" s="3">
        <v>5</v>
      </c>
      <c r="B13" s="3" t="s">
        <v>752</v>
      </c>
      <c r="C13" s="80">
        <v>3400</v>
      </c>
      <c r="D13" s="5">
        <f t="shared" si="1"/>
        <v>46222</v>
      </c>
      <c r="E13" s="14">
        <v>0</v>
      </c>
      <c r="F13" s="13" t="s">
        <v>18</v>
      </c>
      <c r="G13" s="55">
        <v>273</v>
      </c>
      <c r="H13" s="16">
        <v>0</v>
      </c>
      <c r="I13" s="3" t="s">
        <v>15</v>
      </c>
      <c r="J13" s="5">
        <f t="shared" si="0"/>
        <v>46223</v>
      </c>
      <c r="K13" s="13" t="s">
        <v>203</v>
      </c>
    </row>
    <row r="14" spans="1:11" ht="15.75" x14ac:dyDescent="0.25">
      <c r="A14" s="3">
        <v>6</v>
      </c>
      <c r="B14" s="3" t="s">
        <v>753</v>
      </c>
      <c r="C14" s="80">
        <v>1770</v>
      </c>
      <c r="D14" s="5">
        <f t="shared" si="1"/>
        <v>46222</v>
      </c>
      <c r="E14" s="14">
        <v>0</v>
      </c>
      <c r="F14" s="13" t="s">
        <v>18</v>
      </c>
      <c r="G14" s="55">
        <v>8092</v>
      </c>
      <c r="H14" s="16">
        <v>0</v>
      </c>
      <c r="I14" s="3" t="s">
        <v>15</v>
      </c>
      <c r="J14" s="5">
        <f t="shared" si="0"/>
        <v>46223</v>
      </c>
      <c r="K14" s="13" t="s">
        <v>203</v>
      </c>
    </row>
    <row r="15" spans="1:11" ht="18.75" x14ac:dyDescent="0.3">
      <c r="A15" s="3"/>
      <c r="B15" s="17" t="s">
        <v>16</v>
      </c>
      <c r="C15" s="82">
        <f>SUM(C9:C14)</f>
        <v>16520</v>
      </c>
      <c r="D15" s="3"/>
      <c r="E15" s="3"/>
      <c r="F15" s="13"/>
      <c r="G15" s="13"/>
      <c r="H15" s="11"/>
      <c r="I15" s="3"/>
      <c r="J15" s="3"/>
      <c r="K15" s="3"/>
    </row>
    <row r="16" spans="1:11" ht="21" x14ac:dyDescent="0.35">
      <c r="A16" s="135" t="s">
        <v>20</v>
      </c>
      <c r="B16" s="136"/>
      <c r="C16" s="136"/>
      <c r="D16" s="136"/>
      <c r="E16" s="136"/>
      <c r="F16" s="136"/>
      <c r="G16" s="136"/>
      <c r="H16" s="136"/>
      <c r="I16" s="136"/>
      <c r="J16" s="136"/>
      <c r="K16" s="137"/>
    </row>
    <row r="17" spans="1:11" ht="18.75" x14ac:dyDescent="0.3">
      <c r="A17" s="19" t="s">
        <v>3</v>
      </c>
      <c r="B17" s="19" t="s">
        <v>21</v>
      </c>
      <c r="C17" s="50" t="s">
        <v>5</v>
      </c>
      <c r="D17" s="1" t="s">
        <v>22</v>
      </c>
      <c r="E17" s="19" t="s">
        <v>7</v>
      </c>
      <c r="F17" s="19" t="s">
        <v>8</v>
      </c>
      <c r="G17" s="19" t="s">
        <v>23</v>
      </c>
      <c r="H17" s="20" t="s">
        <v>24</v>
      </c>
      <c r="I17" s="19" t="s">
        <v>11</v>
      </c>
      <c r="J17" s="19" t="s">
        <v>25</v>
      </c>
      <c r="K17" s="21" t="s">
        <v>26</v>
      </c>
    </row>
    <row r="18" spans="1:11" ht="15.75" x14ac:dyDescent="0.25">
      <c r="A18" s="8">
        <v>1</v>
      </c>
      <c r="B18" s="8" t="s">
        <v>41</v>
      </c>
      <c r="C18" s="75">
        <v>58066</v>
      </c>
      <c r="D18" s="5">
        <v>46222</v>
      </c>
      <c r="E18" s="8"/>
      <c r="F18" s="8"/>
      <c r="G18" s="22">
        <v>38</v>
      </c>
      <c r="H18" s="23"/>
      <c r="I18" s="24"/>
      <c r="J18" s="5">
        <v>46222</v>
      </c>
      <c r="K18" s="13" t="s">
        <v>115</v>
      </c>
    </row>
    <row r="19" spans="1:11" ht="15.75" x14ac:dyDescent="0.25">
      <c r="A19" s="8">
        <v>2</v>
      </c>
      <c r="B19" s="8" t="s">
        <v>754</v>
      </c>
      <c r="C19" s="75">
        <v>4000</v>
      </c>
      <c r="D19" s="5">
        <v>46222</v>
      </c>
      <c r="E19" s="8"/>
      <c r="F19" s="8"/>
      <c r="G19" s="22">
        <v>8113</v>
      </c>
      <c r="H19" s="23"/>
      <c r="I19" s="24"/>
      <c r="J19" s="5">
        <v>46222</v>
      </c>
      <c r="K19" s="13" t="s">
        <v>123</v>
      </c>
    </row>
    <row r="20" spans="1:11" ht="15.75" x14ac:dyDescent="0.25">
      <c r="A20" s="8">
        <v>3</v>
      </c>
      <c r="B20" s="8" t="s">
        <v>755</v>
      </c>
      <c r="C20" s="75">
        <v>10000</v>
      </c>
      <c r="D20" s="5">
        <v>46222</v>
      </c>
      <c r="E20" s="8"/>
      <c r="F20" s="8"/>
      <c r="G20" s="22">
        <v>4280</v>
      </c>
      <c r="H20" s="23"/>
      <c r="I20" s="24"/>
      <c r="J20" s="5">
        <v>46222</v>
      </c>
      <c r="K20" s="13" t="s">
        <v>376</v>
      </c>
    </row>
    <row r="21" spans="1:11" ht="15.75" x14ac:dyDescent="0.25">
      <c r="A21" s="8">
        <v>4</v>
      </c>
      <c r="B21" s="8" t="s">
        <v>756</v>
      </c>
      <c r="C21" s="75">
        <v>11270</v>
      </c>
      <c r="D21" s="5">
        <v>46222</v>
      </c>
      <c r="E21" s="8"/>
      <c r="F21" s="8"/>
      <c r="G21" s="22">
        <v>3070</v>
      </c>
      <c r="H21" s="23"/>
      <c r="I21" s="24"/>
      <c r="J21" s="5">
        <v>46222</v>
      </c>
      <c r="K21" s="13" t="s">
        <v>115</v>
      </c>
    </row>
    <row r="22" spans="1:11" ht="18.75" x14ac:dyDescent="0.25">
      <c r="A22" s="8"/>
      <c r="B22" s="25" t="s">
        <v>27</v>
      </c>
      <c r="C22" s="83">
        <f>SUM(C18:C21)</f>
        <v>83336</v>
      </c>
      <c r="D22" s="3"/>
      <c r="E22" s="8"/>
      <c r="F22" s="8"/>
      <c r="G22" s="8"/>
      <c r="H22" s="27">
        <v>0</v>
      </c>
      <c r="I22" s="24"/>
      <c r="J22" s="3"/>
      <c r="K22" s="28"/>
    </row>
    <row r="23" spans="1:11" x14ac:dyDescent="0.25">
      <c r="C23" s="29"/>
      <c r="H23" s="29"/>
    </row>
    <row r="24" spans="1:11" ht="16.5" x14ac:dyDescent="0.3">
      <c r="B24" s="30" t="s">
        <v>28</v>
      </c>
      <c r="C24" s="76"/>
      <c r="E24" s="32"/>
      <c r="F24" s="32"/>
      <c r="G24" s="116"/>
      <c r="H24" s="116"/>
    </row>
    <row r="25" spans="1:11" ht="16.5" x14ac:dyDescent="0.3">
      <c r="B25" s="33" t="s">
        <v>29</v>
      </c>
      <c r="C25" s="77"/>
      <c r="E25" s="35"/>
      <c r="F25" s="35"/>
      <c r="G25" s="36" t="s">
        <v>30</v>
      </c>
      <c r="H25" s="37"/>
    </row>
    <row r="26" spans="1:11" ht="24" x14ac:dyDescent="0.4">
      <c r="B26" s="38" t="s">
        <v>31</v>
      </c>
      <c r="C26" s="78"/>
      <c r="E26" s="40" t="s">
        <v>32</v>
      </c>
      <c r="F26" s="41"/>
      <c r="G26" s="42"/>
      <c r="H26" s="43"/>
      <c r="I26" s="42"/>
      <c r="J26" s="44"/>
    </row>
    <row r="27" spans="1:11" ht="18.75" x14ac:dyDescent="0.3">
      <c r="B27" s="45" t="s">
        <v>16</v>
      </c>
      <c r="C27" s="79">
        <f>SUM(C24:C26)</f>
        <v>0</v>
      </c>
      <c r="G27" s="36"/>
      <c r="H27" s="37"/>
      <c r="I27" s="36"/>
      <c r="J27" s="36"/>
    </row>
  </sheetData>
  <mergeCells count="6">
    <mergeCell ref="G24:H24"/>
    <mergeCell ref="A1:K1"/>
    <mergeCell ref="A2:K2"/>
    <mergeCell ref="A3:K3"/>
    <mergeCell ref="A8:K8"/>
    <mergeCell ref="A16:K16"/>
  </mergeCells>
  <pageMargins left="0.59055118110236215" right="0.15748031496062992" top="0.47244094488188976" bottom="0.23622047244094488" header="0.31496062992125984" footer="0.31496062992125984"/>
  <pageSetup scale="88" orientation="landscape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F5938-4836-4AB8-8EDB-34E32ACC0E15}">
  <sheetPr>
    <pageSetUpPr fitToPage="1"/>
  </sheetPr>
  <dimension ref="A1:K41"/>
  <sheetViews>
    <sheetView topLeftCell="A21" workbookViewId="0">
      <selection activeCell="J42" sqref="J42"/>
    </sheetView>
  </sheetViews>
  <sheetFormatPr defaultRowHeight="15" x14ac:dyDescent="0.25"/>
  <cols>
    <col min="1" max="1" width="4.42578125" bestFit="1" customWidth="1"/>
    <col min="2" max="2" width="22.28515625" bestFit="1" customWidth="1"/>
    <col min="3" max="3" width="12.710937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7.85546875" customWidth="1"/>
  </cols>
  <sheetData>
    <row r="1" spans="1:11" ht="24.75" x14ac:dyDescent="0.25">
      <c r="A1" s="117" t="s">
        <v>735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771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46223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46222</v>
      </c>
      <c r="K5" s="8" t="s">
        <v>33</v>
      </c>
    </row>
    <row r="6" spans="1:11" ht="18.75" x14ac:dyDescent="0.3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4" x14ac:dyDescent="0.4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75" x14ac:dyDescent="0.25">
      <c r="A9" s="3">
        <v>1</v>
      </c>
      <c r="B9" s="3" t="s">
        <v>761</v>
      </c>
      <c r="C9" s="80">
        <v>10588</v>
      </c>
      <c r="D9" s="5">
        <v>46223</v>
      </c>
      <c r="E9" s="14">
        <v>0</v>
      </c>
      <c r="F9" s="13" t="s">
        <v>18</v>
      </c>
      <c r="G9" s="55">
        <v>1221</v>
      </c>
      <c r="H9" s="16">
        <v>0</v>
      </c>
      <c r="I9" s="3" t="s">
        <v>19</v>
      </c>
      <c r="J9" s="5">
        <f t="shared" ref="J9:J28" si="0">+D9+1</f>
        <v>46224</v>
      </c>
      <c r="K9" s="13" t="s">
        <v>115</v>
      </c>
    </row>
    <row r="10" spans="1:11" ht="15.75" x14ac:dyDescent="0.25">
      <c r="A10" s="3">
        <v>2</v>
      </c>
      <c r="B10" s="3" t="s">
        <v>761</v>
      </c>
      <c r="C10" s="80">
        <v>1</v>
      </c>
      <c r="D10" s="5">
        <f t="shared" ref="D10:D28" si="1">+D9</f>
        <v>46223</v>
      </c>
      <c r="E10" s="14">
        <v>0</v>
      </c>
      <c r="F10" s="13" t="s">
        <v>18</v>
      </c>
      <c r="G10" s="55">
        <v>7478</v>
      </c>
      <c r="H10" s="16">
        <v>0</v>
      </c>
      <c r="I10" s="3" t="s">
        <v>15</v>
      </c>
      <c r="J10" s="5">
        <f t="shared" si="0"/>
        <v>46224</v>
      </c>
      <c r="K10" s="13" t="s">
        <v>115</v>
      </c>
    </row>
    <row r="11" spans="1:11" ht="15.75" x14ac:dyDescent="0.25">
      <c r="A11" s="3">
        <v>3</v>
      </c>
      <c r="B11" s="3" t="s">
        <v>97</v>
      </c>
      <c r="C11" s="80">
        <v>650</v>
      </c>
      <c r="D11" s="5">
        <f t="shared" si="1"/>
        <v>46223</v>
      </c>
      <c r="E11" s="14">
        <v>0</v>
      </c>
      <c r="F11" s="13" t="s">
        <v>18</v>
      </c>
      <c r="G11" s="55">
        <v>4629</v>
      </c>
      <c r="H11" s="16">
        <v>0</v>
      </c>
      <c r="I11" s="3" t="s">
        <v>15</v>
      </c>
      <c r="J11" s="5">
        <f t="shared" si="0"/>
        <v>46224</v>
      </c>
      <c r="K11" s="13" t="s">
        <v>110</v>
      </c>
    </row>
    <row r="12" spans="1:11" ht="15.75" x14ac:dyDescent="0.25">
      <c r="A12" s="3">
        <v>4</v>
      </c>
      <c r="B12" s="3" t="s">
        <v>97</v>
      </c>
      <c r="C12" s="80">
        <v>2000</v>
      </c>
      <c r="D12" s="5">
        <f t="shared" si="1"/>
        <v>46223</v>
      </c>
      <c r="E12" s="14">
        <v>0</v>
      </c>
      <c r="F12" s="13" t="s">
        <v>18</v>
      </c>
      <c r="G12" s="55">
        <v>7018</v>
      </c>
      <c r="H12" s="16">
        <v>0</v>
      </c>
      <c r="I12" s="3" t="s">
        <v>15</v>
      </c>
      <c r="J12" s="5">
        <f t="shared" si="0"/>
        <v>46224</v>
      </c>
      <c r="K12" s="13" t="s">
        <v>110</v>
      </c>
    </row>
    <row r="13" spans="1:11" ht="15.75" x14ac:dyDescent="0.25">
      <c r="A13" s="3">
        <v>5</v>
      </c>
      <c r="B13" s="3" t="s">
        <v>97</v>
      </c>
      <c r="C13" s="80">
        <v>2000</v>
      </c>
      <c r="D13" s="5">
        <f t="shared" si="1"/>
        <v>46223</v>
      </c>
      <c r="E13" s="14">
        <v>0</v>
      </c>
      <c r="F13" s="13" t="s">
        <v>18</v>
      </c>
      <c r="G13" s="55">
        <v>949</v>
      </c>
      <c r="H13" s="16">
        <v>0</v>
      </c>
      <c r="I13" s="3" t="s">
        <v>15</v>
      </c>
      <c r="J13" s="5">
        <f t="shared" si="0"/>
        <v>46224</v>
      </c>
      <c r="K13" s="13" t="s">
        <v>110</v>
      </c>
    </row>
    <row r="14" spans="1:11" ht="15.75" x14ac:dyDescent="0.25">
      <c r="A14" s="3">
        <v>6</v>
      </c>
      <c r="B14" s="3" t="s">
        <v>762</v>
      </c>
      <c r="C14" s="80">
        <v>4100</v>
      </c>
      <c r="D14" s="5">
        <f t="shared" si="1"/>
        <v>46223</v>
      </c>
      <c r="E14" s="14">
        <v>0</v>
      </c>
      <c r="F14" s="13" t="s">
        <v>18</v>
      </c>
      <c r="G14" s="55">
        <v>2139</v>
      </c>
      <c r="H14" s="16">
        <v>0</v>
      </c>
      <c r="I14" s="3" t="s">
        <v>15</v>
      </c>
      <c r="J14" s="5">
        <f t="shared" si="0"/>
        <v>46224</v>
      </c>
      <c r="K14" s="13" t="s">
        <v>115</v>
      </c>
    </row>
    <row r="15" spans="1:11" ht="15.75" x14ac:dyDescent="0.25">
      <c r="A15" s="3">
        <v>7</v>
      </c>
      <c r="B15" s="3" t="s">
        <v>763</v>
      </c>
      <c r="C15" s="80">
        <v>2380</v>
      </c>
      <c r="D15" s="5">
        <f t="shared" si="1"/>
        <v>46223</v>
      </c>
      <c r="E15" s="14">
        <v>0</v>
      </c>
      <c r="F15" s="13" t="s">
        <v>18</v>
      </c>
      <c r="G15" s="55">
        <v>3197</v>
      </c>
      <c r="H15" s="16">
        <v>0</v>
      </c>
      <c r="I15" s="3" t="s">
        <v>15</v>
      </c>
      <c r="J15" s="5">
        <f t="shared" si="0"/>
        <v>46224</v>
      </c>
      <c r="K15" s="13" t="s">
        <v>115</v>
      </c>
    </row>
    <row r="16" spans="1:11" ht="15.75" x14ac:dyDescent="0.25">
      <c r="A16" s="3">
        <v>8</v>
      </c>
      <c r="B16" s="3" t="s">
        <v>85</v>
      </c>
      <c r="C16" s="80">
        <v>170</v>
      </c>
      <c r="D16" s="5">
        <f t="shared" si="1"/>
        <v>46223</v>
      </c>
      <c r="E16" s="14">
        <v>0</v>
      </c>
      <c r="F16" s="13" t="s">
        <v>18</v>
      </c>
      <c r="G16" s="55">
        <v>7412</v>
      </c>
      <c r="H16" s="16">
        <v>0</v>
      </c>
      <c r="I16" s="3" t="s">
        <v>15</v>
      </c>
      <c r="J16" s="5">
        <f t="shared" si="0"/>
        <v>46224</v>
      </c>
      <c r="K16" s="13" t="s">
        <v>115</v>
      </c>
    </row>
    <row r="17" spans="1:11" ht="15.75" x14ac:dyDescent="0.25">
      <c r="A17" s="3">
        <v>9</v>
      </c>
      <c r="B17" s="3" t="s">
        <v>764</v>
      </c>
      <c r="C17" s="80">
        <v>7100</v>
      </c>
      <c r="D17" s="5">
        <f t="shared" si="1"/>
        <v>46223</v>
      </c>
      <c r="E17" s="14">
        <v>0</v>
      </c>
      <c r="F17" s="13" t="s">
        <v>18</v>
      </c>
      <c r="G17" s="55">
        <v>700</v>
      </c>
      <c r="H17" s="16">
        <v>0</v>
      </c>
      <c r="I17" s="3" t="s">
        <v>15</v>
      </c>
      <c r="J17" s="5">
        <f t="shared" si="0"/>
        <v>46224</v>
      </c>
      <c r="K17" s="13" t="s">
        <v>115</v>
      </c>
    </row>
    <row r="18" spans="1:11" ht="15.75" x14ac:dyDescent="0.25">
      <c r="A18" s="3">
        <v>10</v>
      </c>
      <c r="B18" s="3" t="s">
        <v>765</v>
      </c>
      <c r="C18" s="80">
        <v>540</v>
      </c>
      <c r="D18" s="5">
        <f t="shared" si="1"/>
        <v>46223</v>
      </c>
      <c r="E18" s="14">
        <v>0</v>
      </c>
      <c r="F18" s="13" t="s">
        <v>18</v>
      </c>
      <c r="G18" s="55">
        <v>341</v>
      </c>
      <c r="H18" s="16">
        <v>0</v>
      </c>
      <c r="I18" s="3" t="s">
        <v>15</v>
      </c>
      <c r="J18" s="5">
        <f t="shared" si="0"/>
        <v>46224</v>
      </c>
      <c r="K18" s="13" t="s">
        <v>204</v>
      </c>
    </row>
    <row r="19" spans="1:11" ht="15.75" x14ac:dyDescent="0.25">
      <c r="A19" s="3">
        <v>11</v>
      </c>
      <c r="B19" s="3" t="s">
        <v>117</v>
      </c>
      <c r="C19" s="80">
        <v>14850</v>
      </c>
      <c r="D19" s="5">
        <f t="shared" si="1"/>
        <v>46223</v>
      </c>
      <c r="E19" s="14">
        <v>0</v>
      </c>
      <c r="F19" s="13" t="s">
        <v>18</v>
      </c>
      <c r="G19" s="55">
        <v>6136</v>
      </c>
      <c r="H19" s="16">
        <v>0</v>
      </c>
      <c r="I19" s="3" t="s">
        <v>15</v>
      </c>
      <c r="J19" s="5">
        <f t="shared" si="0"/>
        <v>46224</v>
      </c>
      <c r="K19" s="13" t="s">
        <v>102</v>
      </c>
    </row>
    <row r="20" spans="1:11" ht="15.75" x14ac:dyDescent="0.25">
      <c r="A20" s="3">
        <v>12</v>
      </c>
      <c r="B20" s="3" t="s">
        <v>766</v>
      </c>
      <c r="C20" s="80">
        <v>1680</v>
      </c>
      <c r="D20" s="5">
        <f t="shared" si="1"/>
        <v>46223</v>
      </c>
      <c r="E20" s="14">
        <v>0</v>
      </c>
      <c r="F20" s="13" t="s">
        <v>18</v>
      </c>
      <c r="G20" s="55">
        <v>1928</v>
      </c>
      <c r="H20" s="16">
        <v>0</v>
      </c>
      <c r="I20" s="3" t="s">
        <v>15</v>
      </c>
      <c r="J20" s="5">
        <f t="shared" si="0"/>
        <v>46224</v>
      </c>
      <c r="K20" s="13" t="s">
        <v>819</v>
      </c>
    </row>
    <row r="21" spans="1:11" ht="15.75" x14ac:dyDescent="0.25">
      <c r="A21" s="3">
        <v>13</v>
      </c>
      <c r="B21" s="3" t="s">
        <v>767</v>
      </c>
      <c r="C21" s="80">
        <v>10</v>
      </c>
      <c r="D21" s="5">
        <f t="shared" si="1"/>
        <v>46223</v>
      </c>
      <c r="E21" s="14">
        <v>0</v>
      </c>
      <c r="F21" s="13" t="s">
        <v>18</v>
      </c>
      <c r="G21" s="55">
        <v>1618</v>
      </c>
      <c r="H21" s="16">
        <v>0</v>
      </c>
      <c r="I21" s="3" t="s">
        <v>15</v>
      </c>
      <c r="J21" s="5">
        <f t="shared" si="0"/>
        <v>46224</v>
      </c>
      <c r="K21" s="13" t="s">
        <v>115</v>
      </c>
    </row>
    <row r="22" spans="1:11" ht="15.75" x14ac:dyDescent="0.25">
      <c r="A22" s="3">
        <v>14</v>
      </c>
      <c r="B22" s="3" t="s">
        <v>761</v>
      </c>
      <c r="C22" s="80">
        <v>7752</v>
      </c>
      <c r="D22" s="5">
        <f t="shared" si="1"/>
        <v>46223</v>
      </c>
      <c r="E22" s="14">
        <v>0</v>
      </c>
      <c r="F22" s="13" t="s">
        <v>18</v>
      </c>
      <c r="G22" s="55">
        <v>62</v>
      </c>
      <c r="H22" s="16">
        <v>0</v>
      </c>
      <c r="I22" s="3" t="s">
        <v>15</v>
      </c>
      <c r="J22" s="5">
        <f t="shared" si="0"/>
        <v>46224</v>
      </c>
      <c r="K22" s="13" t="s">
        <v>115</v>
      </c>
    </row>
    <row r="23" spans="1:11" ht="15.75" x14ac:dyDescent="0.25">
      <c r="A23" s="3">
        <v>15</v>
      </c>
      <c r="B23" s="3" t="s">
        <v>761</v>
      </c>
      <c r="C23" s="80">
        <v>10</v>
      </c>
      <c r="D23" s="5">
        <f t="shared" si="1"/>
        <v>46223</v>
      </c>
      <c r="E23" s="14">
        <v>0</v>
      </c>
      <c r="F23" s="13" t="s">
        <v>18</v>
      </c>
      <c r="G23" s="55">
        <v>61</v>
      </c>
      <c r="H23" s="16">
        <v>0</v>
      </c>
      <c r="I23" s="3" t="s">
        <v>15</v>
      </c>
      <c r="J23" s="5">
        <f t="shared" si="0"/>
        <v>46224</v>
      </c>
      <c r="K23" s="13" t="s">
        <v>115</v>
      </c>
    </row>
    <row r="24" spans="1:11" ht="15.75" x14ac:dyDescent="0.25">
      <c r="A24" s="3">
        <v>16</v>
      </c>
      <c r="B24" s="3" t="s">
        <v>362</v>
      </c>
      <c r="C24" s="80">
        <v>1530</v>
      </c>
      <c r="D24" s="5">
        <f t="shared" si="1"/>
        <v>46223</v>
      </c>
      <c r="E24" s="14">
        <v>0</v>
      </c>
      <c r="F24" s="13" t="s">
        <v>18</v>
      </c>
      <c r="G24" s="55">
        <v>8809</v>
      </c>
      <c r="H24" s="16">
        <v>0</v>
      </c>
      <c r="I24" s="3" t="s">
        <v>15</v>
      </c>
      <c r="J24" s="5">
        <f t="shared" si="0"/>
        <v>46224</v>
      </c>
      <c r="K24" s="13" t="s">
        <v>115</v>
      </c>
    </row>
    <row r="25" spans="1:11" ht="15.75" x14ac:dyDescent="0.25">
      <c r="A25" s="3">
        <v>17</v>
      </c>
      <c r="B25" s="3" t="s">
        <v>768</v>
      </c>
      <c r="C25" s="80">
        <v>3370</v>
      </c>
      <c r="D25" s="5">
        <f t="shared" si="1"/>
        <v>46223</v>
      </c>
      <c r="E25" s="14">
        <v>0</v>
      </c>
      <c r="F25" s="13" t="s">
        <v>18</v>
      </c>
      <c r="G25" s="55">
        <v>5987</v>
      </c>
      <c r="H25" s="16">
        <v>0</v>
      </c>
      <c r="I25" s="3" t="s">
        <v>15</v>
      </c>
      <c r="J25" s="5">
        <f t="shared" si="0"/>
        <v>46224</v>
      </c>
      <c r="K25" s="13" t="s">
        <v>115</v>
      </c>
    </row>
    <row r="26" spans="1:11" ht="15.75" x14ac:dyDescent="0.25">
      <c r="A26" s="3">
        <v>18</v>
      </c>
      <c r="B26" s="3" t="s">
        <v>769</v>
      </c>
      <c r="C26" s="80">
        <v>710</v>
      </c>
      <c r="D26" s="5">
        <f t="shared" si="1"/>
        <v>46223</v>
      </c>
      <c r="E26" s="14">
        <v>0</v>
      </c>
      <c r="F26" s="13" t="s">
        <v>18</v>
      </c>
      <c r="G26" s="55">
        <v>9618</v>
      </c>
      <c r="H26" s="16">
        <v>0</v>
      </c>
      <c r="I26" s="3" t="s">
        <v>15</v>
      </c>
      <c r="J26" s="5">
        <f t="shared" si="0"/>
        <v>46224</v>
      </c>
      <c r="K26" s="13" t="s">
        <v>115</v>
      </c>
    </row>
    <row r="27" spans="1:11" ht="15.75" x14ac:dyDescent="0.25">
      <c r="A27" s="3">
        <v>19</v>
      </c>
      <c r="B27" s="3" t="s">
        <v>739</v>
      </c>
      <c r="C27" s="80">
        <v>2870</v>
      </c>
      <c r="D27" s="5">
        <f t="shared" si="1"/>
        <v>46223</v>
      </c>
      <c r="E27" s="14">
        <v>0</v>
      </c>
      <c r="F27" s="13" t="s">
        <v>18</v>
      </c>
      <c r="G27" s="55">
        <v>4288</v>
      </c>
      <c r="H27" s="16">
        <v>0</v>
      </c>
      <c r="I27" s="3" t="s">
        <v>15</v>
      </c>
      <c r="J27" s="5">
        <f t="shared" si="0"/>
        <v>46224</v>
      </c>
      <c r="K27" s="13" t="s">
        <v>115</v>
      </c>
    </row>
    <row r="28" spans="1:11" ht="15.75" x14ac:dyDescent="0.25">
      <c r="A28" s="3">
        <v>20</v>
      </c>
      <c r="B28" s="3" t="s">
        <v>770</v>
      </c>
      <c r="C28" s="80">
        <v>1300</v>
      </c>
      <c r="D28" s="5">
        <f t="shared" si="1"/>
        <v>46223</v>
      </c>
      <c r="E28" s="14">
        <v>0</v>
      </c>
      <c r="F28" s="13" t="s">
        <v>18</v>
      </c>
      <c r="G28" s="55">
        <v>4703</v>
      </c>
      <c r="H28" s="16">
        <v>0</v>
      </c>
      <c r="I28" s="3" t="s">
        <v>15</v>
      </c>
      <c r="J28" s="5">
        <f t="shared" si="0"/>
        <v>46224</v>
      </c>
      <c r="K28" s="13" t="s">
        <v>775</v>
      </c>
    </row>
    <row r="29" spans="1:11" ht="18.75" x14ac:dyDescent="0.3">
      <c r="A29" s="3"/>
      <c r="B29" s="17" t="s">
        <v>16</v>
      </c>
      <c r="C29" s="82">
        <f>SUM(C9:C28)</f>
        <v>63611</v>
      </c>
      <c r="D29" s="3"/>
      <c r="E29" s="3"/>
      <c r="F29" s="13"/>
      <c r="G29" s="13"/>
      <c r="H29" s="11"/>
      <c r="I29" s="3"/>
      <c r="J29" s="3"/>
      <c r="K29" s="3"/>
    </row>
    <row r="30" spans="1:11" ht="21" x14ac:dyDescent="0.35">
      <c r="A30" s="135" t="s">
        <v>20</v>
      </c>
      <c r="B30" s="136"/>
      <c r="C30" s="136"/>
      <c r="D30" s="136"/>
      <c r="E30" s="136"/>
      <c r="F30" s="136"/>
      <c r="G30" s="136"/>
      <c r="H30" s="136"/>
      <c r="I30" s="136"/>
      <c r="J30" s="136"/>
      <c r="K30" s="137"/>
    </row>
    <row r="31" spans="1:11" ht="18.75" x14ac:dyDescent="0.3">
      <c r="A31" s="19" t="s">
        <v>3</v>
      </c>
      <c r="B31" s="19" t="s">
        <v>21</v>
      </c>
      <c r="C31" s="50" t="s">
        <v>5</v>
      </c>
      <c r="D31" s="1" t="s">
        <v>22</v>
      </c>
      <c r="E31" s="19" t="s">
        <v>7</v>
      </c>
      <c r="F31" s="19" t="s">
        <v>8</v>
      </c>
      <c r="G31" s="19" t="s">
        <v>23</v>
      </c>
      <c r="H31" s="20" t="s">
        <v>24</v>
      </c>
      <c r="I31" s="19" t="s">
        <v>11</v>
      </c>
      <c r="J31" s="19" t="s">
        <v>25</v>
      </c>
      <c r="K31" s="21" t="s">
        <v>26</v>
      </c>
    </row>
    <row r="32" spans="1:11" ht="15.75" x14ac:dyDescent="0.25">
      <c r="A32" s="8">
        <v>1</v>
      </c>
      <c r="B32" s="8" t="s">
        <v>772</v>
      </c>
      <c r="C32" s="75">
        <v>7000</v>
      </c>
      <c r="D32" s="5">
        <v>46223</v>
      </c>
      <c r="E32" s="8"/>
      <c r="F32" s="8"/>
      <c r="G32" s="22">
        <v>7049</v>
      </c>
      <c r="H32" s="23"/>
      <c r="I32" s="24"/>
      <c r="J32" s="5">
        <v>46223</v>
      </c>
      <c r="K32" s="13" t="s">
        <v>777</v>
      </c>
    </row>
    <row r="33" spans="1:11" ht="15.75" x14ac:dyDescent="0.25">
      <c r="A33" s="8">
        <v>2</v>
      </c>
      <c r="B33" s="8" t="s">
        <v>313</v>
      </c>
      <c r="C33" s="75">
        <v>15000</v>
      </c>
      <c r="D33" s="5">
        <v>46223</v>
      </c>
      <c r="E33" s="8"/>
      <c r="F33" s="8"/>
      <c r="G33" s="22">
        <v>5539</v>
      </c>
      <c r="H33" s="23"/>
      <c r="I33" s="24"/>
      <c r="J33" s="5">
        <v>46223</v>
      </c>
      <c r="K33" s="13" t="s">
        <v>776</v>
      </c>
    </row>
    <row r="34" spans="1:11" ht="15.75" x14ac:dyDescent="0.25">
      <c r="A34" s="8">
        <v>3</v>
      </c>
      <c r="B34" s="8" t="s">
        <v>773</v>
      </c>
      <c r="C34" s="75">
        <v>200</v>
      </c>
      <c r="D34" s="5">
        <v>46223</v>
      </c>
      <c r="E34" s="8"/>
      <c r="F34" s="8"/>
      <c r="G34" s="22">
        <v>7132</v>
      </c>
      <c r="H34" s="23"/>
      <c r="I34" s="24"/>
      <c r="J34" s="5">
        <v>46223</v>
      </c>
      <c r="K34" s="13" t="s">
        <v>90</v>
      </c>
    </row>
    <row r="35" spans="1:11" ht="15.75" x14ac:dyDescent="0.25">
      <c r="A35" s="8">
        <v>4</v>
      </c>
      <c r="B35" s="8" t="s">
        <v>774</v>
      </c>
      <c r="C35" s="75">
        <v>5000</v>
      </c>
      <c r="D35" s="5">
        <v>46223</v>
      </c>
      <c r="E35" s="8"/>
      <c r="F35" s="8"/>
      <c r="G35" s="22">
        <v>3990</v>
      </c>
      <c r="H35" s="23"/>
      <c r="I35" s="24"/>
      <c r="J35" s="5">
        <v>46223</v>
      </c>
      <c r="K35" s="13" t="s">
        <v>776</v>
      </c>
    </row>
    <row r="36" spans="1:11" ht="18.75" x14ac:dyDescent="0.25">
      <c r="A36" s="8"/>
      <c r="B36" s="25" t="s">
        <v>27</v>
      </c>
      <c r="C36" s="83">
        <f>SUM(C32:C35)</f>
        <v>27200</v>
      </c>
      <c r="D36" s="3"/>
      <c r="E36" s="8"/>
      <c r="F36" s="8"/>
      <c r="G36" s="8"/>
      <c r="H36" s="27">
        <v>0</v>
      </c>
      <c r="I36" s="24"/>
      <c r="J36" s="3"/>
      <c r="K36" s="28"/>
    </row>
    <row r="37" spans="1:11" x14ac:dyDescent="0.25">
      <c r="C37" s="29"/>
      <c r="H37" s="29"/>
    </row>
    <row r="38" spans="1:11" ht="16.5" x14ac:dyDescent="0.3">
      <c r="B38" s="30" t="s">
        <v>28</v>
      </c>
      <c r="C38" s="76">
        <f>SUM(C11,C12,C13,C18,C19,C28)</f>
        <v>21340</v>
      </c>
      <c r="E38" s="32"/>
      <c r="F38" s="32"/>
      <c r="G38" s="116"/>
      <c r="H38" s="116"/>
    </row>
    <row r="39" spans="1:11" ht="16.5" x14ac:dyDescent="0.3">
      <c r="B39" s="33" t="s">
        <v>29</v>
      </c>
      <c r="C39" s="77">
        <f>SUM(C21:C27,C14,C15,C16,C17,C9,C10)</f>
        <v>40591</v>
      </c>
      <c r="E39" s="35"/>
      <c r="F39" s="35"/>
      <c r="G39" s="36" t="s">
        <v>30</v>
      </c>
      <c r="H39" s="37"/>
    </row>
    <row r="40" spans="1:11" ht="24" x14ac:dyDescent="0.4">
      <c r="B40" s="38" t="s">
        <v>29</v>
      </c>
      <c r="C40" s="78">
        <f>SUM(C20)</f>
        <v>1680</v>
      </c>
      <c r="E40" s="40" t="s">
        <v>32</v>
      </c>
      <c r="F40" s="41"/>
      <c r="G40" s="42"/>
      <c r="H40" s="43"/>
      <c r="I40" s="42"/>
      <c r="J40" s="44"/>
    </row>
    <row r="41" spans="1:11" ht="18.75" x14ac:dyDescent="0.3">
      <c r="B41" s="45" t="s">
        <v>16</v>
      </c>
      <c r="C41" s="79">
        <f>SUM(C38:C40)</f>
        <v>63611</v>
      </c>
      <c r="G41" s="36"/>
      <c r="H41" s="37"/>
      <c r="I41" s="36"/>
      <c r="J41" s="36"/>
    </row>
  </sheetData>
  <mergeCells count="6">
    <mergeCell ref="G38:H38"/>
    <mergeCell ref="A1:K1"/>
    <mergeCell ref="A2:K2"/>
    <mergeCell ref="A3:K3"/>
    <mergeCell ref="A8:K8"/>
    <mergeCell ref="A30:K30"/>
  </mergeCells>
  <pageMargins left="0.59055118110236215" right="0.15748031496062992" top="0.47244094488188976" bottom="0.23622047244094488" header="0.31496062992125984" footer="0.31496062992125984"/>
  <pageSetup scale="78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36579-4F4F-446E-B6CB-71C4F1EC085F}">
  <sheetPr>
    <pageSetUpPr fitToPage="1"/>
  </sheetPr>
  <dimension ref="A1:M31"/>
  <sheetViews>
    <sheetView topLeftCell="A3" workbookViewId="0">
      <selection activeCell="M19" sqref="M19"/>
    </sheetView>
  </sheetViews>
  <sheetFormatPr defaultRowHeight="15" x14ac:dyDescent="0.25"/>
  <cols>
    <col min="1" max="1" width="4.42578125" bestFit="1" customWidth="1"/>
    <col min="2" max="2" width="24.42578125" customWidth="1"/>
    <col min="3" max="3" width="14.4257812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7.5703125" customWidth="1"/>
  </cols>
  <sheetData>
    <row r="1" spans="1:13" ht="48.75" x14ac:dyDescent="0.25">
      <c r="A1" s="128" t="s">
        <v>458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3" ht="28.5" x14ac:dyDescent="0.45">
      <c r="A2" s="129" t="s">
        <v>788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3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3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3" ht="15.75" x14ac:dyDescent="0.25">
      <c r="A5" s="3">
        <v>1</v>
      </c>
      <c r="B5" s="3" t="s">
        <v>51</v>
      </c>
      <c r="C5" s="80"/>
      <c r="D5" s="5">
        <v>46224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46223</v>
      </c>
      <c r="K5" s="8" t="s">
        <v>33</v>
      </c>
    </row>
    <row r="6" spans="1:13" ht="15.75" x14ac:dyDescent="0.25">
      <c r="A6" s="3">
        <v>2</v>
      </c>
      <c r="B6" s="3" t="s">
        <v>786</v>
      </c>
      <c r="C6" s="80">
        <v>7762</v>
      </c>
      <c r="D6" s="5">
        <v>46224</v>
      </c>
      <c r="E6" s="6">
        <v>0</v>
      </c>
      <c r="F6" s="3" t="s">
        <v>14</v>
      </c>
      <c r="G6" s="49">
        <v>0</v>
      </c>
      <c r="H6" s="7">
        <v>0</v>
      </c>
      <c r="I6" s="3" t="s">
        <v>15</v>
      </c>
      <c r="J6" s="5">
        <f>+D6-1</f>
        <v>46223</v>
      </c>
      <c r="K6" s="8" t="s">
        <v>787</v>
      </c>
    </row>
    <row r="7" spans="1:13" ht="18.75" x14ac:dyDescent="0.3">
      <c r="A7" s="9"/>
      <c r="B7" s="10" t="s">
        <v>16</v>
      </c>
      <c r="C7" s="81">
        <f>SUM(C5:C6)</f>
        <v>7762</v>
      </c>
      <c r="D7" s="3"/>
      <c r="E7" s="12"/>
      <c r="F7" s="9"/>
      <c r="G7" s="13"/>
      <c r="H7" s="11">
        <f>SUM(H5:H5)</f>
        <v>0</v>
      </c>
      <c r="I7" s="9"/>
      <c r="J7" s="9"/>
      <c r="K7" s="9"/>
    </row>
    <row r="8" spans="1:13" x14ac:dyDescent="0.25">
      <c r="M8" t="s">
        <v>790</v>
      </c>
    </row>
    <row r="9" spans="1:13" ht="24" x14ac:dyDescent="0.4">
      <c r="A9" s="122" t="s">
        <v>17</v>
      </c>
      <c r="B9" s="123"/>
      <c r="C9" s="123"/>
      <c r="D9" s="123"/>
      <c r="E9" s="123"/>
      <c r="F9" s="123"/>
      <c r="G9" s="123"/>
      <c r="H9" s="123"/>
      <c r="I9" s="123"/>
      <c r="J9" s="123"/>
      <c r="K9" s="124"/>
    </row>
    <row r="10" spans="1:13" ht="15.75" x14ac:dyDescent="0.25">
      <c r="A10" s="3">
        <v>1</v>
      </c>
      <c r="B10" s="3" t="s">
        <v>778</v>
      </c>
      <c r="C10" s="80">
        <v>100</v>
      </c>
      <c r="D10" s="5">
        <v>46224</v>
      </c>
      <c r="E10" s="14">
        <v>0</v>
      </c>
      <c r="F10" s="13" t="s">
        <v>18</v>
      </c>
      <c r="G10" s="55">
        <v>147</v>
      </c>
      <c r="H10" s="16">
        <v>0</v>
      </c>
      <c r="I10" s="3" t="s">
        <v>19</v>
      </c>
      <c r="J10" s="5">
        <f t="shared" ref="J10:J19" si="0">+D10+1</f>
        <v>46225</v>
      </c>
      <c r="K10" s="13" t="s">
        <v>791</v>
      </c>
    </row>
    <row r="11" spans="1:13" ht="15.75" x14ac:dyDescent="0.25">
      <c r="A11" s="3">
        <v>2</v>
      </c>
      <c r="B11" s="3" t="s">
        <v>778</v>
      </c>
      <c r="C11" s="80">
        <v>1000</v>
      </c>
      <c r="D11" s="5">
        <f t="shared" ref="D11:D19" si="1">+D10</f>
        <v>46224</v>
      </c>
      <c r="E11" s="14">
        <v>0</v>
      </c>
      <c r="F11" s="13" t="s">
        <v>18</v>
      </c>
      <c r="G11" s="55">
        <v>5257</v>
      </c>
      <c r="H11" s="16">
        <v>0</v>
      </c>
      <c r="I11" s="3" t="s">
        <v>15</v>
      </c>
      <c r="J11" s="5">
        <f t="shared" si="0"/>
        <v>46225</v>
      </c>
      <c r="K11" s="13" t="s">
        <v>791</v>
      </c>
    </row>
    <row r="12" spans="1:13" ht="15.75" x14ac:dyDescent="0.25">
      <c r="A12" s="3">
        <v>3</v>
      </c>
      <c r="B12" s="3" t="s">
        <v>141</v>
      </c>
      <c r="C12" s="80">
        <v>2730</v>
      </c>
      <c r="D12" s="5">
        <f t="shared" si="1"/>
        <v>46224</v>
      </c>
      <c r="E12" s="14">
        <v>0</v>
      </c>
      <c r="F12" s="13" t="s">
        <v>18</v>
      </c>
      <c r="G12" s="55">
        <v>6162</v>
      </c>
      <c r="H12" s="16">
        <v>0</v>
      </c>
      <c r="I12" s="3" t="s">
        <v>15</v>
      </c>
      <c r="J12" s="5">
        <f t="shared" si="0"/>
        <v>46225</v>
      </c>
      <c r="K12" s="13" t="s">
        <v>115</v>
      </c>
    </row>
    <row r="13" spans="1:13" ht="15.75" x14ac:dyDescent="0.25">
      <c r="A13" s="3">
        <v>4</v>
      </c>
      <c r="B13" s="3" t="s">
        <v>779</v>
      </c>
      <c r="C13" s="80">
        <v>15</v>
      </c>
      <c r="D13" s="5">
        <f t="shared" si="1"/>
        <v>46224</v>
      </c>
      <c r="E13" s="14">
        <v>0</v>
      </c>
      <c r="F13" s="13" t="s">
        <v>18</v>
      </c>
      <c r="G13" s="55">
        <v>6599</v>
      </c>
      <c r="H13" s="16">
        <v>0</v>
      </c>
      <c r="I13" s="3" t="s">
        <v>15</v>
      </c>
      <c r="J13" s="5">
        <f t="shared" si="0"/>
        <v>46225</v>
      </c>
      <c r="K13" s="13" t="s">
        <v>792</v>
      </c>
    </row>
    <row r="14" spans="1:13" ht="15.75" x14ac:dyDescent="0.25">
      <c r="A14" s="3">
        <v>5</v>
      </c>
      <c r="B14" s="3" t="s">
        <v>780</v>
      </c>
      <c r="C14" s="80">
        <v>2375</v>
      </c>
      <c r="D14" s="5">
        <f t="shared" si="1"/>
        <v>46224</v>
      </c>
      <c r="E14" s="14">
        <v>0</v>
      </c>
      <c r="F14" s="13" t="s">
        <v>18</v>
      </c>
      <c r="G14" s="55">
        <v>7725</v>
      </c>
      <c r="H14" s="16">
        <v>0</v>
      </c>
      <c r="I14" s="3" t="s">
        <v>15</v>
      </c>
      <c r="J14" s="5">
        <f t="shared" si="0"/>
        <v>46225</v>
      </c>
      <c r="K14" s="13" t="s">
        <v>115</v>
      </c>
    </row>
    <row r="15" spans="1:13" ht="15.75" x14ac:dyDescent="0.25">
      <c r="A15" s="3">
        <v>6</v>
      </c>
      <c r="B15" s="3" t="s">
        <v>781</v>
      </c>
      <c r="C15" s="80">
        <v>6000</v>
      </c>
      <c r="D15" s="5">
        <f t="shared" si="1"/>
        <v>46224</v>
      </c>
      <c r="E15" s="14">
        <v>0</v>
      </c>
      <c r="F15" s="13" t="s">
        <v>18</v>
      </c>
      <c r="G15" s="55">
        <v>9831</v>
      </c>
      <c r="H15" s="16">
        <v>0</v>
      </c>
      <c r="I15" s="3" t="s">
        <v>15</v>
      </c>
      <c r="J15" s="5">
        <f t="shared" si="0"/>
        <v>46225</v>
      </c>
      <c r="K15" s="13" t="s">
        <v>789</v>
      </c>
    </row>
    <row r="16" spans="1:13" ht="15.75" x14ac:dyDescent="0.25">
      <c r="A16" s="3">
        <v>7</v>
      </c>
      <c r="B16" s="3" t="s">
        <v>782</v>
      </c>
      <c r="C16" s="80">
        <v>20000</v>
      </c>
      <c r="D16" s="5">
        <f t="shared" si="1"/>
        <v>46224</v>
      </c>
      <c r="E16" s="14">
        <v>0</v>
      </c>
      <c r="F16" s="13" t="s">
        <v>18</v>
      </c>
      <c r="G16" s="55">
        <v>9693</v>
      </c>
      <c r="H16" s="16">
        <v>0</v>
      </c>
      <c r="I16" s="3" t="s">
        <v>15</v>
      </c>
      <c r="J16" s="5">
        <f t="shared" si="0"/>
        <v>46225</v>
      </c>
      <c r="K16" s="13" t="s">
        <v>789</v>
      </c>
    </row>
    <row r="17" spans="1:11" ht="15.75" x14ac:dyDescent="0.25">
      <c r="A17" s="3">
        <v>8</v>
      </c>
      <c r="B17" s="3" t="s">
        <v>782</v>
      </c>
      <c r="C17" s="80">
        <v>1</v>
      </c>
      <c r="D17" s="5">
        <f t="shared" si="1"/>
        <v>46224</v>
      </c>
      <c r="E17" s="14">
        <v>0</v>
      </c>
      <c r="F17" s="13" t="s">
        <v>18</v>
      </c>
      <c r="G17" s="55">
        <v>7710</v>
      </c>
      <c r="H17" s="16">
        <v>0</v>
      </c>
      <c r="I17" s="3" t="s">
        <v>15</v>
      </c>
      <c r="J17" s="5">
        <f t="shared" si="0"/>
        <v>46225</v>
      </c>
      <c r="K17" s="13" t="s">
        <v>789</v>
      </c>
    </row>
    <row r="18" spans="1:11" ht="15.75" x14ac:dyDescent="0.25">
      <c r="A18" s="3">
        <v>9</v>
      </c>
      <c r="B18" s="3" t="s">
        <v>783</v>
      </c>
      <c r="C18" s="80">
        <v>6000</v>
      </c>
      <c r="D18" s="5">
        <f t="shared" si="1"/>
        <v>46224</v>
      </c>
      <c r="E18" s="14">
        <v>0</v>
      </c>
      <c r="F18" s="13" t="s">
        <v>18</v>
      </c>
      <c r="G18" s="55">
        <v>3312</v>
      </c>
      <c r="H18" s="16">
        <v>0</v>
      </c>
      <c r="I18" s="3" t="s">
        <v>15</v>
      </c>
      <c r="J18" s="5">
        <f t="shared" si="0"/>
        <v>46225</v>
      </c>
      <c r="K18" s="13" t="s">
        <v>115</v>
      </c>
    </row>
    <row r="19" spans="1:11" ht="15.75" x14ac:dyDescent="0.25">
      <c r="A19" s="3">
        <v>10</v>
      </c>
      <c r="B19" s="3" t="s">
        <v>784</v>
      </c>
      <c r="C19" s="80">
        <v>1340</v>
      </c>
      <c r="D19" s="5">
        <f t="shared" si="1"/>
        <v>46224</v>
      </c>
      <c r="E19" s="14">
        <v>0</v>
      </c>
      <c r="F19" s="13" t="s">
        <v>18</v>
      </c>
      <c r="G19" s="55">
        <v>3466</v>
      </c>
      <c r="H19" s="16">
        <v>0</v>
      </c>
      <c r="I19" s="3" t="s">
        <v>15</v>
      </c>
      <c r="J19" s="5">
        <f t="shared" si="0"/>
        <v>46225</v>
      </c>
      <c r="K19" s="13" t="s">
        <v>115</v>
      </c>
    </row>
    <row r="20" spans="1:11" ht="18.75" x14ac:dyDescent="0.3">
      <c r="A20" s="3"/>
      <c r="B20" s="17" t="s">
        <v>16</v>
      </c>
      <c r="C20" s="82">
        <f>SUM(C10:C19)</f>
        <v>39561</v>
      </c>
      <c r="D20" s="3"/>
      <c r="E20" s="3"/>
      <c r="F20" s="13"/>
      <c r="G20" s="13"/>
      <c r="H20" s="11"/>
      <c r="I20" s="3"/>
      <c r="J20" s="3"/>
      <c r="K20" s="3"/>
    </row>
    <row r="21" spans="1:11" ht="24.75" x14ac:dyDescent="0.5">
      <c r="A21" s="125" t="s">
        <v>20</v>
      </c>
      <c r="B21" s="126"/>
      <c r="C21" s="126"/>
      <c r="D21" s="126"/>
      <c r="E21" s="126"/>
      <c r="F21" s="126"/>
      <c r="G21" s="126"/>
      <c r="H21" s="126"/>
      <c r="I21" s="126"/>
      <c r="J21" s="126"/>
      <c r="K21" s="127"/>
    </row>
    <row r="22" spans="1:11" ht="18.75" x14ac:dyDescent="0.3">
      <c r="A22" s="19" t="s">
        <v>3</v>
      </c>
      <c r="B22" s="19" t="s">
        <v>21</v>
      </c>
      <c r="C22" s="50" t="s">
        <v>5</v>
      </c>
      <c r="D22" s="1" t="s">
        <v>22</v>
      </c>
      <c r="E22" s="19" t="s">
        <v>7</v>
      </c>
      <c r="F22" s="19" t="s">
        <v>8</v>
      </c>
      <c r="G22" s="19" t="s">
        <v>23</v>
      </c>
      <c r="H22" s="20" t="s">
        <v>24</v>
      </c>
      <c r="I22" s="19" t="s">
        <v>11</v>
      </c>
      <c r="J22" s="19" t="s">
        <v>25</v>
      </c>
      <c r="K22" s="21" t="s">
        <v>26</v>
      </c>
    </row>
    <row r="23" spans="1:11" ht="15.75" x14ac:dyDescent="0.25">
      <c r="A23" s="8">
        <v>1</v>
      </c>
      <c r="B23" s="8" t="s">
        <v>41</v>
      </c>
      <c r="C23" s="75">
        <v>46706</v>
      </c>
      <c r="D23" s="5">
        <v>46224</v>
      </c>
      <c r="E23" s="8"/>
      <c r="F23" s="8"/>
      <c r="G23" s="22">
        <v>1</v>
      </c>
      <c r="H23" s="23"/>
      <c r="I23" s="24"/>
      <c r="J23" s="5">
        <v>46224</v>
      </c>
      <c r="K23" s="13" t="s">
        <v>115</v>
      </c>
    </row>
    <row r="24" spans="1:11" ht="15.75" x14ac:dyDescent="0.25">
      <c r="A24" s="8">
        <v>2</v>
      </c>
      <c r="B24" s="8" t="s">
        <v>785</v>
      </c>
      <c r="C24" s="75">
        <v>50000</v>
      </c>
      <c r="D24" s="5">
        <v>46224</v>
      </c>
      <c r="E24" s="8"/>
      <c r="F24" s="8"/>
      <c r="G24" s="22">
        <v>6634</v>
      </c>
      <c r="H24" s="23"/>
      <c r="I24" s="24"/>
      <c r="J24" s="5">
        <v>46224</v>
      </c>
      <c r="K24" s="13" t="s">
        <v>793</v>
      </c>
    </row>
    <row r="25" spans="1:11" ht="15.75" x14ac:dyDescent="0.25">
      <c r="A25" s="8">
        <v>3</v>
      </c>
      <c r="B25" s="8" t="s">
        <v>53</v>
      </c>
      <c r="C25" s="75">
        <v>3500</v>
      </c>
      <c r="D25" s="5">
        <v>46224</v>
      </c>
      <c r="E25" s="8"/>
      <c r="F25" s="8"/>
      <c r="G25" s="22">
        <v>4536</v>
      </c>
      <c r="H25" s="23"/>
      <c r="I25" s="24"/>
      <c r="J25" s="5">
        <v>46224</v>
      </c>
      <c r="K25" s="13" t="s">
        <v>794</v>
      </c>
    </row>
    <row r="26" spans="1:11" ht="18.75" x14ac:dyDescent="0.25">
      <c r="A26" s="8"/>
      <c r="B26" s="25" t="s">
        <v>27</v>
      </c>
      <c r="C26" s="83">
        <f>SUM(C23:C25)</f>
        <v>100206</v>
      </c>
      <c r="D26" s="3"/>
      <c r="E26" s="8"/>
      <c r="F26" s="8"/>
      <c r="G26" s="8"/>
      <c r="H26" s="27">
        <v>0</v>
      </c>
      <c r="I26" s="24"/>
      <c r="J26" s="3"/>
      <c r="K26" s="28"/>
    </row>
    <row r="27" spans="1:11" x14ac:dyDescent="0.25">
      <c r="C27" s="29"/>
      <c r="H27" s="29"/>
    </row>
    <row r="28" spans="1:11" ht="16.5" x14ac:dyDescent="0.3">
      <c r="B28" s="30" t="s">
        <v>795</v>
      </c>
      <c r="C28" s="76">
        <f>SUM(C15,C16,C17)</f>
        <v>26001</v>
      </c>
      <c r="E28" s="32"/>
      <c r="F28" s="32"/>
      <c r="G28" s="116"/>
      <c r="H28" s="116"/>
    </row>
    <row r="29" spans="1:11" ht="16.5" x14ac:dyDescent="0.3">
      <c r="B29" s="33" t="s">
        <v>29</v>
      </c>
      <c r="C29" s="77">
        <f>SUM(C10,C11,C12,C13,C14,C19,C18)</f>
        <v>13560</v>
      </c>
      <c r="E29" s="35"/>
      <c r="F29" s="35"/>
      <c r="G29" s="36" t="s">
        <v>30</v>
      </c>
      <c r="H29" s="37"/>
    </row>
    <row r="30" spans="1:11" ht="24" x14ac:dyDescent="0.4">
      <c r="B30" s="38" t="s">
        <v>31</v>
      </c>
      <c r="C30" s="78"/>
      <c r="E30" s="40" t="s">
        <v>32</v>
      </c>
      <c r="F30" s="41"/>
      <c r="G30" s="42"/>
      <c r="H30" s="43"/>
      <c r="I30" s="42"/>
      <c r="J30" s="44"/>
    </row>
    <row r="31" spans="1:11" ht="18.75" x14ac:dyDescent="0.3">
      <c r="B31" s="45" t="s">
        <v>16</v>
      </c>
      <c r="C31" s="79">
        <f>SUM(C28:C30)</f>
        <v>39561</v>
      </c>
      <c r="G31" s="36"/>
      <c r="H31" s="37"/>
      <c r="I31" s="36"/>
      <c r="J31" s="36"/>
    </row>
  </sheetData>
  <mergeCells count="6">
    <mergeCell ref="G28:H28"/>
    <mergeCell ref="A1:K1"/>
    <mergeCell ref="A2:K2"/>
    <mergeCell ref="A3:K3"/>
    <mergeCell ref="A9:K9"/>
    <mergeCell ref="A21:K21"/>
  </mergeCells>
  <pageMargins left="0.59055118110236215" right="0.15748031496062992" top="0.47244094488188976" bottom="0.23622047244094488" header="0.31496062992125984" footer="0.31496062992125984"/>
  <pageSetup scale="76" orientation="landscape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8B209-E158-41AF-A98E-99F0DEF7FE0B}">
  <sheetPr>
    <pageSetUpPr fitToPage="1"/>
  </sheetPr>
  <dimension ref="A1:P30"/>
  <sheetViews>
    <sheetView topLeftCell="A2" zoomScaleNormal="100" workbookViewId="0">
      <selection activeCell="O20" sqref="O20"/>
    </sheetView>
  </sheetViews>
  <sheetFormatPr defaultRowHeight="15" x14ac:dyDescent="0.25"/>
  <cols>
    <col min="1" max="1" width="4.42578125" bestFit="1" customWidth="1"/>
    <col min="2" max="2" width="23" customWidth="1"/>
    <col min="3" max="3" width="12.710937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4.7109375" customWidth="1"/>
    <col min="13" max="13" width="12.42578125" bestFit="1" customWidth="1"/>
    <col min="14" max="14" width="12.28515625" bestFit="1" customWidth="1"/>
    <col min="15" max="15" width="11" bestFit="1" customWidth="1"/>
  </cols>
  <sheetData>
    <row r="1" spans="1:16" ht="24.75" x14ac:dyDescent="0.25">
      <c r="A1" s="117" t="s">
        <v>735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6" ht="21" x14ac:dyDescent="0.35">
      <c r="A2" s="118" t="s">
        <v>818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6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6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6" ht="15.75" x14ac:dyDescent="0.25">
      <c r="A5" s="3">
        <v>1</v>
      </c>
      <c r="B5" s="3" t="s">
        <v>51</v>
      </c>
      <c r="C5" s="80">
        <v>0</v>
      </c>
      <c r="D5" s="5">
        <v>46225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46224</v>
      </c>
      <c r="K5" s="8" t="s">
        <v>33</v>
      </c>
    </row>
    <row r="6" spans="1:16" ht="18.75" x14ac:dyDescent="0.3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6" ht="24" x14ac:dyDescent="0.4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  <c r="M8" s="101" t="s">
        <v>803</v>
      </c>
      <c r="N8" s="102" t="s">
        <v>804</v>
      </c>
      <c r="O8" s="102" t="s">
        <v>805</v>
      </c>
    </row>
    <row r="9" spans="1:16" ht="16.5" x14ac:dyDescent="0.3">
      <c r="A9" s="3">
        <v>1</v>
      </c>
      <c r="B9" s="3" t="s">
        <v>796</v>
      </c>
      <c r="C9" s="80">
        <v>11060</v>
      </c>
      <c r="D9" s="5">
        <v>46225</v>
      </c>
      <c r="E9" s="14">
        <v>0</v>
      </c>
      <c r="F9" s="13" t="s">
        <v>18</v>
      </c>
      <c r="G9" s="55">
        <v>2118</v>
      </c>
      <c r="H9" s="16">
        <v>0</v>
      </c>
      <c r="I9" s="3" t="s">
        <v>19</v>
      </c>
      <c r="J9" s="5">
        <f t="shared" ref="J9:J19" si="0">+D9+1</f>
        <v>46226</v>
      </c>
      <c r="K9" s="13" t="s">
        <v>115</v>
      </c>
      <c r="M9" s="103" t="s">
        <v>806</v>
      </c>
      <c r="N9" s="104">
        <f>100+1100+2+1700+340+20+100+300+1+100+100+1100+65+800+100+100+300+6000+1300+100+2000+1600+10+100+3+2000+4000+181+400+150+21+35</f>
        <v>24228</v>
      </c>
      <c r="O9" s="104">
        <f>9300+101750+180+158100+30940+1780+9250+27500+80+9250+9300+102300+5850+73600+9000+9280+27850+558000+120900+9350+188000+150400+930+9400+270+189100+378000+15000+37800+13950+1890+3100</f>
        <v>2261400</v>
      </c>
      <c r="P9" s="106"/>
    </row>
    <row r="10" spans="1:16" ht="15.75" x14ac:dyDescent="0.25">
      <c r="A10" s="3">
        <v>2</v>
      </c>
      <c r="B10" s="3" t="s">
        <v>797</v>
      </c>
      <c r="C10" s="80">
        <v>5355</v>
      </c>
      <c r="D10" s="5">
        <f t="shared" ref="D10:D19" si="1">+D9</f>
        <v>46225</v>
      </c>
      <c r="E10" s="14">
        <v>0</v>
      </c>
      <c r="F10" s="13" t="s">
        <v>18</v>
      </c>
      <c r="G10" s="55">
        <v>191</v>
      </c>
      <c r="H10" s="16">
        <v>0</v>
      </c>
      <c r="I10" s="3" t="s">
        <v>15</v>
      </c>
      <c r="J10" s="5">
        <f t="shared" si="0"/>
        <v>46226</v>
      </c>
      <c r="K10" s="13" t="s">
        <v>115</v>
      </c>
      <c r="M10" s="103" t="s">
        <v>807</v>
      </c>
      <c r="N10" s="104">
        <f>500+50+5+500+500+500+50+60+100+100+500+130+20000+500+100+4500+500+300+100+600+100+2000+500+100+1000+170+500+50+200+200+100+100+400+35+2000</f>
        <v>37050</v>
      </c>
      <c r="O10" s="104">
        <f>12100+1200+110+12250+12250+12250+1200+1400+2400+2420+12250+3120+510000+14700+2450+112050+12500+7440+2425+14700+2450+50000+12500+2450+25000+4000+12300+1225+4900+5000+2500+2450+10000+840+50500</f>
        <v>935330</v>
      </c>
      <c r="P10" s="104"/>
    </row>
    <row r="11" spans="1:16" ht="15.75" x14ac:dyDescent="0.25">
      <c r="A11" s="3">
        <v>3</v>
      </c>
      <c r="B11" s="3" t="s">
        <v>798</v>
      </c>
      <c r="C11" s="80">
        <v>350</v>
      </c>
      <c r="D11" s="5">
        <f t="shared" si="1"/>
        <v>46225</v>
      </c>
      <c r="E11" s="14">
        <v>0</v>
      </c>
      <c r="F11" s="13" t="s">
        <v>18</v>
      </c>
      <c r="G11" s="55">
        <v>7307</v>
      </c>
      <c r="H11" s="16">
        <v>0</v>
      </c>
      <c r="I11" s="3" t="s">
        <v>15</v>
      </c>
      <c r="J11" s="5">
        <f t="shared" si="0"/>
        <v>46226</v>
      </c>
      <c r="K11" s="13" t="s">
        <v>203</v>
      </c>
      <c r="M11" s="103" t="s">
        <v>808</v>
      </c>
      <c r="N11" s="104">
        <f>500+3500+1000+410+2500+100+5+10+500+600+2000+20+2000+300+450+1000+1110+45</f>
        <v>16050</v>
      </c>
      <c r="O11" s="104">
        <f>11900+84875+24000+9650+60500+2350+120+240+12150+14550+48500+450+49200+7275+11020+24500+27472+1060</f>
        <v>389812</v>
      </c>
      <c r="P11" s="104"/>
    </row>
    <row r="12" spans="1:16" ht="15.75" x14ac:dyDescent="0.25">
      <c r="A12" s="3">
        <v>4</v>
      </c>
      <c r="B12" s="3" t="s">
        <v>798</v>
      </c>
      <c r="C12" s="80">
        <v>2000</v>
      </c>
      <c r="D12" s="5">
        <f t="shared" si="1"/>
        <v>46225</v>
      </c>
      <c r="E12" s="14">
        <v>0</v>
      </c>
      <c r="F12" s="13" t="s">
        <v>18</v>
      </c>
      <c r="G12" s="55">
        <v>2980</v>
      </c>
      <c r="H12" s="16">
        <v>0</v>
      </c>
      <c r="I12" s="3" t="s">
        <v>15</v>
      </c>
      <c r="J12" s="5">
        <f t="shared" si="0"/>
        <v>46226</v>
      </c>
      <c r="K12" s="13" t="s">
        <v>203</v>
      </c>
      <c r="M12" s="103" t="s">
        <v>809</v>
      </c>
      <c r="N12" s="104">
        <f>10+5+40+10</f>
        <v>65</v>
      </c>
      <c r="O12" s="104">
        <f>2700+1450+11600+2900</f>
        <v>18650</v>
      </c>
      <c r="P12" s="104"/>
    </row>
    <row r="13" spans="1:16" ht="15.75" x14ac:dyDescent="0.25">
      <c r="A13" s="3">
        <v>5</v>
      </c>
      <c r="B13" s="3" t="s">
        <v>798</v>
      </c>
      <c r="C13" s="80">
        <v>2000</v>
      </c>
      <c r="D13" s="5">
        <f t="shared" si="1"/>
        <v>46225</v>
      </c>
      <c r="E13" s="14">
        <v>0</v>
      </c>
      <c r="F13" s="13" t="s">
        <v>18</v>
      </c>
      <c r="G13" s="55">
        <v>7854</v>
      </c>
      <c r="H13" s="16">
        <v>0</v>
      </c>
      <c r="I13" s="3" t="s">
        <v>15</v>
      </c>
      <c r="J13" s="5">
        <f t="shared" si="0"/>
        <v>46226</v>
      </c>
      <c r="K13" s="13" t="s">
        <v>203</v>
      </c>
      <c r="M13" s="103" t="s">
        <v>810</v>
      </c>
      <c r="N13" s="104">
        <v>15</v>
      </c>
      <c r="O13" s="104">
        <v>1650</v>
      </c>
      <c r="P13" s="104"/>
    </row>
    <row r="14" spans="1:16" ht="15.75" x14ac:dyDescent="0.25">
      <c r="A14" s="3">
        <v>6</v>
      </c>
      <c r="B14" s="3" t="s">
        <v>538</v>
      </c>
      <c r="C14" s="80">
        <v>550</v>
      </c>
      <c r="D14" s="5">
        <f t="shared" si="1"/>
        <v>46225</v>
      </c>
      <c r="E14" s="14">
        <v>0</v>
      </c>
      <c r="F14" s="13" t="s">
        <v>18</v>
      </c>
      <c r="G14" s="55">
        <v>1926</v>
      </c>
      <c r="H14" s="16">
        <v>0</v>
      </c>
      <c r="I14" s="3" t="s">
        <v>15</v>
      </c>
      <c r="J14" s="5">
        <f t="shared" si="0"/>
        <v>46226</v>
      </c>
      <c r="K14" s="13" t="s">
        <v>115</v>
      </c>
      <c r="M14" s="103" t="s">
        <v>811</v>
      </c>
      <c r="N14" s="104">
        <f>5+10+20+190</f>
        <v>225</v>
      </c>
      <c r="O14" s="104">
        <f>100+1000+2000+20000</f>
        <v>23100</v>
      </c>
      <c r="P14" s="104"/>
    </row>
    <row r="15" spans="1:16" ht="15.75" x14ac:dyDescent="0.25">
      <c r="A15" s="3">
        <v>7</v>
      </c>
      <c r="B15" s="3" t="s">
        <v>538</v>
      </c>
      <c r="C15" s="80">
        <v>2000</v>
      </c>
      <c r="D15" s="5">
        <f t="shared" si="1"/>
        <v>46225</v>
      </c>
      <c r="E15" s="14">
        <v>0</v>
      </c>
      <c r="F15" s="13" t="s">
        <v>18</v>
      </c>
      <c r="G15" s="55">
        <v>6107</v>
      </c>
      <c r="H15" s="16">
        <v>0</v>
      </c>
      <c r="I15" s="3" t="s">
        <v>15</v>
      </c>
      <c r="J15" s="5">
        <f t="shared" si="0"/>
        <v>46226</v>
      </c>
      <c r="K15" s="13" t="s">
        <v>115</v>
      </c>
      <c r="M15" s="103" t="s">
        <v>812</v>
      </c>
      <c r="N15" s="104">
        <f>50+20.5</f>
        <v>70.5</v>
      </c>
      <c r="O15" s="104">
        <f>11600+4600</f>
        <v>16200</v>
      </c>
      <c r="P15" s="104"/>
    </row>
    <row r="16" spans="1:16" ht="15.75" x14ac:dyDescent="0.25">
      <c r="A16" s="3">
        <v>8</v>
      </c>
      <c r="B16" s="3" t="s">
        <v>538</v>
      </c>
      <c r="C16" s="80">
        <v>2000</v>
      </c>
      <c r="D16" s="5">
        <f t="shared" si="1"/>
        <v>46225</v>
      </c>
      <c r="E16" s="14">
        <v>0</v>
      </c>
      <c r="F16" s="13" t="s">
        <v>18</v>
      </c>
      <c r="G16" s="55">
        <v>3379</v>
      </c>
      <c r="H16" s="16">
        <v>0</v>
      </c>
      <c r="I16" s="3" t="s">
        <v>15</v>
      </c>
      <c r="J16" s="5">
        <f t="shared" si="0"/>
        <v>46226</v>
      </c>
      <c r="K16" s="13" t="s">
        <v>115</v>
      </c>
      <c r="M16" s="103" t="s">
        <v>813</v>
      </c>
      <c r="N16" s="104">
        <f>10000</f>
        <v>10000</v>
      </c>
      <c r="O16" s="104">
        <v>10000</v>
      </c>
      <c r="P16" s="104"/>
    </row>
    <row r="17" spans="1:16" ht="15.75" x14ac:dyDescent="0.25">
      <c r="A17" s="3">
        <v>9</v>
      </c>
      <c r="B17" s="3" t="s">
        <v>799</v>
      </c>
      <c r="C17" s="80">
        <v>270</v>
      </c>
      <c r="D17" s="5">
        <f t="shared" si="1"/>
        <v>46225</v>
      </c>
      <c r="E17" s="14">
        <v>0</v>
      </c>
      <c r="F17" s="13" t="s">
        <v>18</v>
      </c>
      <c r="G17" s="55">
        <v>6299</v>
      </c>
      <c r="H17" s="16">
        <v>0</v>
      </c>
      <c r="I17" s="3" t="s">
        <v>15</v>
      </c>
      <c r="J17" s="5">
        <f t="shared" si="0"/>
        <v>46226</v>
      </c>
      <c r="K17" s="13" t="s">
        <v>115</v>
      </c>
      <c r="M17" s="103" t="s">
        <v>814</v>
      </c>
      <c r="N17" s="104">
        <f>4000</f>
        <v>4000</v>
      </c>
      <c r="O17" s="104">
        <v>11600</v>
      </c>
      <c r="P17" s="104"/>
    </row>
    <row r="18" spans="1:16" ht="15.75" x14ac:dyDescent="0.25">
      <c r="A18" s="3">
        <v>10</v>
      </c>
      <c r="B18" s="3" t="s">
        <v>800</v>
      </c>
      <c r="C18" s="80">
        <v>750</v>
      </c>
      <c r="D18" s="5">
        <f t="shared" si="1"/>
        <v>46225</v>
      </c>
      <c r="E18" s="14">
        <v>0</v>
      </c>
      <c r="F18" s="13" t="s">
        <v>18</v>
      </c>
      <c r="G18" s="55">
        <v>2192</v>
      </c>
      <c r="H18" s="16">
        <v>0</v>
      </c>
      <c r="I18" s="3" t="s">
        <v>15</v>
      </c>
      <c r="J18" s="5">
        <f t="shared" si="0"/>
        <v>46226</v>
      </c>
      <c r="K18" s="13" t="s">
        <v>115</v>
      </c>
      <c r="M18" s="103" t="s">
        <v>815</v>
      </c>
      <c r="N18" s="104">
        <f>220+400</f>
        <v>620</v>
      </c>
      <c r="O18" s="104">
        <f>5360+9600</f>
        <v>14960</v>
      </c>
      <c r="P18" s="104"/>
    </row>
    <row r="19" spans="1:16" ht="15.75" x14ac:dyDescent="0.25">
      <c r="A19" s="3">
        <v>11</v>
      </c>
      <c r="B19" s="3" t="s">
        <v>801</v>
      </c>
      <c r="C19" s="80">
        <v>3250</v>
      </c>
      <c r="D19" s="5">
        <f t="shared" si="1"/>
        <v>46225</v>
      </c>
      <c r="E19" s="14">
        <v>0</v>
      </c>
      <c r="F19" s="13" t="s">
        <v>18</v>
      </c>
      <c r="G19" s="55">
        <v>7828</v>
      </c>
      <c r="H19" s="16">
        <v>0</v>
      </c>
      <c r="I19" s="3" t="s">
        <v>15</v>
      </c>
      <c r="J19" s="5">
        <f t="shared" si="0"/>
        <v>46226</v>
      </c>
      <c r="K19" s="13" t="s">
        <v>115</v>
      </c>
      <c r="M19" s="103" t="s">
        <v>816</v>
      </c>
      <c r="N19" s="104">
        <v>1500</v>
      </c>
      <c r="O19" s="104">
        <v>109500</v>
      </c>
      <c r="P19" s="104"/>
    </row>
    <row r="20" spans="1:16" ht="18.75" x14ac:dyDescent="0.3">
      <c r="A20" s="3"/>
      <c r="B20" s="17" t="s">
        <v>16</v>
      </c>
      <c r="C20" s="82">
        <f>SUM(C9:C19)</f>
        <v>29585</v>
      </c>
      <c r="D20" s="3"/>
      <c r="E20" s="3"/>
      <c r="F20" s="13"/>
      <c r="G20" s="13"/>
      <c r="H20" s="11"/>
      <c r="I20" s="3"/>
      <c r="J20" s="3"/>
      <c r="K20" s="3"/>
      <c r="M20" s="103"/>
      <c r="N20" s="105" t="s">
        <v>27</v>
      </c>
      <c r="O20" s="105">
        <f>SUM(O9:O19)</f>
        <v>3792202</v>
      </c>
      <c r="P20" s="104"/>
    </row>
    <row r="21" spans="1:16" ht="21" x14ac:dyDescent="0.35">
      <c r="A21" s="135" t="s">
        <v>20</v>
      </c>
      <c r="B21" s="136"/>
      <c r="C21" s="136"/>
      <c r="D21" s="136"/>
      <c r="E21" s="136"/>
      <c r="F21" s="136"/>
      <c r="G21" s="136"/>
      <c r="H21" s="136"/>
      <c r="I21" s="136"/>
      <c r="J21" s="136"/>
      <c r="K21" s="137"/>
      <c r="N21" s="103"/>
      <c r="O21" s="104"/>
      <c r="P21" s="104"/>
    </row>
    <row r="22" spans="1:16" ht="18.75" x14ac:dyDescent="0.3">
      <c r="A22" s="19" t="s">
        <v>3</v>
      </c>
      <c r="B22" s="19" t="s">
        <v>21</v>
      </c>
      <c r="C22" s="50" t="s">
        <v>5</v>
      </c>
      <c r="D22" s="1" t="s">
        <v>22</v>
      </c>
      <c r="E22" s="19" t="s">
        <v>7</v>
      </c>
      <c r="F22" s="19" t="s">
        <v>8</v>
      </c>
      <c r="G22" s="19" t="s">
        <v>23</v>
      </c>
      <c r="H22" s="20" t="s">
        <v>24</v>
      </c>
      <c r="I22" s="19" t="s">
        <v>11</v>
      </c>
      <c r="J22" s="19" t="s">
        <v>25</v>
      </c>
      <c r="K22" s="21" t="s">
        <v>26</v>
      </c>
    </row>
    <row r="23" spans="1:16" ht="15.75" x14ac:dyDescent="0.25">
      <c r="A23" s="8">
        <v>1</v>
      </c>
      <c r="B23" s="8" t="s">
        <v>756</v>
      </c>
      <c r="C23" s="75">
        <v>14285</v>
      </c>
      <c r="D23" s="5">
        <v>46225</v>
      </c>
      <c r="E23" s="8"/>
      <c r="F23" s="8"/>
      <c r="G23" s="22">
        <v>7777</v>
      </c>
      <c r="H23" s="23"/>
      <c r="I23" s="24"/>
      <c r="J23" s="5">
        <v>46225</v>
      </c>
      <c r="K23" s="13" t="s">
        <v>115</v>
      </c>
    </row>
    <row r="24" spans="1:16" ht="15.75" x14ac:dyDescent="0.25">
      <c r="A24" s="8">
        <v>2</v>
      </c>
      <c r="B24" s="8" t="s">
        <v>802</v>
      </c>
      <c r="C24" s="75">
        <v>30000</v>
      </c>
      <c r="D24" s="5">
        <v>46225</v>
      </c>
      <c r="E24" s="8"/>
      <c r="F24" s="8"/>
      <c r="G24" s="22">
        <v>8128</v>
      </c>
      <c r="H24" s="23"/>
      <c r="I24" s="24"/>
      <c r="J24" s="5">
        <v>46225</v>
      </c>
      <c r="K24" s="13" t="s">
        <v>817</v>
      </c>
    </row>
    <row r="25" spans="1:16" ht="18.75" x14ac:dyDescent="0.25">
      <c r="A25" s="8"/>
      <c r="B25" s="25" t="s">
        <v>27</v>
      </c>
      <c r="C25" s="83">
        <f>SUM(C23:C24)</f>
        <v>44285</v>
      </c>
      <c r="D25" s="3"/>
      <c r="E25" s="8"/>
      <c r="F25" s="8"/>
      <c r="G25" s="8"/>
      <c r="H25" s="27">
        <v>0</v>
      </c>
      <c r="I25" s="24"/>
      <c r="J25" s="3"/>
      <c r="K25" s="28"/>
    </row>
    <row r="26" spans="1:16" x14ac:dyDescent="0.25">
      <c r="C26" s="29"/>
      <c r="H26" s="29"/>
    </row>
    <row r="27" spans="1:16" ht="16.5" x14ac:dyDescent="0.3">
      <c r="B27" s="30" t="s">
        <v>28</v>
      </c>
      <c r="C27" s="76">
        <f>SUM(C11,C12,C13)</f>
        <v>4350</v>
      </c>
      <c r="E27" s="32"/>
      <c r="F27" s="32"/>
      <c r="G27" s="116"/>
      <c r="H27" s="116"/>
    </row>
    <row r="28" spans="1:16" ht="16.5" x14ac:dyDescent="0.3">
      <c r="B28" s="33" t="s">
        <v>29</v>
      </c>
      <c r="C28" s="77">
        <f>SUM(C19,C18,C17,C16,C15,C14,C9,C10)</f>
        <v>25235</v>
      </c>
      <c r="E28" s="35"/>
      <c r="F28" s="35"/>
      <c r="G28" s="36" t="s">
        <v>30</v>
      </c>
      <c r="H28" s="37"/>
    </row>
    <row r="29" spans="1:16" ht="24" x14ac:dyDescent="0.4">
      <c r="B29" s="38" t="s">
        <v>31</v>
      </c>
      <c r="C29" s="78"/>
      <c r="E29" s="40" t="s">
        <v>32</v>
      </c>
      <c r="F29" s="41"/>
      <c r="G29" s="42"/>
      <c r="H29" s="43"/>
      <c r="I29" s="42"/>
      <c r="J29" s="44"/>
    </row>
    <row r="30" spans="1:16" ht="18.75" x14ac:dyDescent="0.3">
      <c r="B30" s="45" t="s">
        <v>16</v>
      </c>
      <c r="C30" s="79">
        <f>SUM(C27:C29)</f>
        <v>29585</v>
      </c>
      <c r="G30" s="36"/>
      <c r="H30" s="37"/>
      <c r="I30" s="36"/>
      <c r="J30" s="36"/>
    </row>
  </sheetData>
  <mergeCells count="6">
    <mergeCell ref="G27:H27"/>
    <mergeCell ref="A1:K1"/>
    <mergeCell ref="A2:K2"/>
    <mergeCell ref="A3:K3"/>
    <mergeCell ref="A8:K8"/>
    <mergeCell ref="A21:K21"/>
  </mergeCells>
  <pageMargins left="0.59055118110236215" right="0.15748031496062992" top="0.47244094488188976" bottom="0.23622047244094488" header="0.31496062992125984" footer="0.31496062992125984"/>
  <pageSetup scale="88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2A661-A4E7-41FB-BD98-88DFC94B893F}">
  <sheetPr>
    <pageSetUpPr fitToPage="1"/>
  </sheetPr>
  <dimension ref="A1:N30"/>
  <sheetViews>
    <sheetView workbookViewId="0">
      <selection activeCell="A21" sqref="A21:K21"/>
    </sheetView>
  </sheetViews>
  <sheetFormatPr defaultRowHeight="15" x14ac:dyDescent="0.25"/>
  <cols>
    <col min="1" max="1" width="4.42578125" bestFit="1" customWidth="1"/>
    <col min="2" max="2" width="24.85546875" bestFit="1" customWidth="1"/>
    <col min="3" max="3" width="14.4257812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5.140625" customWidth="1"/>
    <col min="14" max="14" width="13.140625" bestFit="1" customWidth="1"/>
  </cols>
  <sheetData>
    <row r="1" spans="1:14" ht="24.75" x14ac:dyDescent="0.25">
      <c r="A1" s="117" t="s">
        <v>735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4" ht="21" x14ac:dyDescent="0.35">
      <c r="A2" s="118" t="s">
        <v>825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4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4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4" ht="15.75" x14ac:dyDescent="0.25">
      <c r="A5" s="3">
        <v>1</v>
      </c>
      <c r="B5" s="3" t="s">
        <v>45</v>
      </c>
      <c r="C5" s="80">
        <v>97500</v>
      </c>
      <c r="D5" s="5">
        <v>46226</v>
      </c>
      <c r="E5" s="6">
        <v>0</v>
      </c>
      <c r="F5" s="3" t="s">
        <v>14</v>
      </c>
      <c r="G5" s="49">
        <v>6117</v>
      </c>
      <c r="H5" s="7">
        <v>0</v>
      </c>
      <c r="I5" s="3" t="s">
        <v>15</v>
      </c>
      <c r="J5" s="5">
        <f>+D5-1</f>
        <v>46225</v>
      </c>
      <c r="K5" s="8" t="s">
        <v>46</v>
      </c>
    </row>
    <row r="6" spans="1:14" ht="15.75" x14ac:dyDescent="0.25">
      <c r="A6" s="3">
        <v>2</v>
      </c>
      <c r="B6" s="3" t="s">
        <v>45</v>
      </c>
      <c r="C6" s="80">
        <v>98500</v>
      </c>
      <c r="D6" s="5">
        <v>46226</v>
      </c>
      <c r="E6" s="6">
        <v>0</v>
      </c>
      <c r="F6" s="3" t="s">
        <v>14</v>
      </c>
      <c r="G6" s="49">
        <v>6120</v>
      </c>
      <c r="H6" s="7">
        <v>0</v>
      </c>
      <c r="I6" s="3" t="s">
        <v>15</v>
      </c>
      <c r="J6" s="5">
        <f t="shared" ref="J6:J7" si="0">+D6-1</f>
        <v>46225</v>
      </c>
      <c r="K6" s="8" t="s">
        <v>46</v>
      </c>
    </row>
    <row r="7" spans="1:14" ht="15.75" x14ac:dyDescent="0.25">
      <c r="A7" s="3">
        <v>3</v>
      </c>
      <c r="B7" s="3" t="s">
        <v>45</v>
      </c>
      <c r="C7" s="80">
        <v>22500</v>
      </c>
      <c r="D7" s="5">
        <v>46226</v>
      </c>
      <c r="E7" s="6">
        <v>0</v>
      </c>
      <c r="F7" s="3" t="s">
        <v>14</v>
      </c>
      <c r="G7" s="49">
        <v>6123</v>
      </c>
      <c r="H7" s="7">
        <v>0</v>
      </c>
      <c r="I7" s="3" t="s">
        <v>15</v>
      </c>
      <c r="J7" s="5">
        <f t="shared" si="0"/>
        <v>46225</v>
      </c>
      <c r="K7" s="8" t="s">
        <v>46</v>
      </c>
    </row>
    <row r="8" spans="1:14" ht="18.75" x14ac:dyDescent="0.3">
      <c r="A8" s="9"/>
      <c r="B8" s="10" t="s">
        <v>16</v>
      </c>
      <c r="C8" s="81">
        <f>SUM(C5:C7)</f>
        <v>218500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9" spans="1:14" x14ac:dyDescent="0.25">
      <c r="N9" s="98"/>
    </row>
    <row r="10" spans="1:14" ht="24" x14ac:dyDescent="0.4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4" ht="15.75" x14ac:dyDescent="0.25">
      <c r="A11" s="3">
        <v>1</v>
      </c>
      <c r="B11" s="3" t="s">
        <v>820</v>
      </c>
      <c r="C11" s="80">
        <v>2720</v>
      </c>
      <c r="D11" s="5">
        <v>46226</v>
      </c>
      <c r="E11" s="14">
        <v>0</v>
      </c>
      <c r="F11" s="13" t="s">
        <v>18</v>
      </c>
      <c r="G11" s="55">
        <v>2818</v>
      </c>
      <c r="H11" s="16">
        <v>0</v>
      </c>
      <c r="I11" s="3" t="s">
        <v>19</v>
      </c>
      <c r="J11" s="5">
        <f t="shared" ref="J11:J19" si="1">+D11+1</f>
        <v>46227</v>
      </c>
      <c r="K11" s="13" t="s">
        <v>115</v>
      </c>
    </row>
    <row r="12" spans="1:14" ht="15.75" x14ac:dyDescent="0.25">
      <c r="A12" s="3">
        <v>2</v>
      </c>
      <c r="B12" s="3" t="s">
        <v>511</v>
      </c>
      <c r="C12" s="80">
        <v>750</v>
      </c>
      <c r="D12" s="5">
        <f t="shared" ref="D12:D19" si="2">+D11</f>
        <v>46226</v>
      </c>
      <c r="E12" s="14">
        <v>0</v>
      </c>
      <c r="F12" s="13" t="s">
        <v>18</v>
      </c>
      <c r="G12" s="55">
        <v>5125</v>
      </c>
      <c r="H12" s="16">
        <v>0</v>
      </c>
      <c r="I12" s="3" t="s">
        <v>15</v>
      </c>
      <c r="J12" s="5">
        <f t="shared" si="1"/>
        <v>46227</v>
      </c>
      <c r="K12" s="13" t="s">
        <v>115</v>
      </c>
    </row>
    <row r="13" spans="1:14" ht="15.75" x14ac:dyDescent="0.25">
      <c r="A13" s="3">
        <v>3</v>
      </c>
      <c r="B13" s="3" t="s">
        <v>821</v>
      </c>
      <c r="C13" s="80">
        <v>920</v>
      </c>
      <c r="D13" s="5">
        <f t="shared" si="2"/>
        <v>46226</v>
      </c>
      <c r="E13" s="14">
        <v>0</v>
      </c>
      <c r="F13" s="13" t="s">
        <v>18</v>
      </c>
      <c r="G13" s="55">
        <v>963</v>
      </c>
      <c r="H13" s="16">
        <v>0</v>
      </c>
      <c r="I13" s="3" t="s">
        <v>15</v>
      </c>
      <c r="J13" s="5">
        <f t="shared" si="1"/>
        <v>46227</v>
      </c>
      <c r="K13" s="13" t="s">
        <v>115</v>
      </c>
    </row>
    <row r="14" spans="1:14" ht="15.75" x14ac:dyDescent="0.25">
      <c r="A14" s="3">
        <v>4</v>
      </c>
      <c r="B14" s="3" t="s">
        <v>494</v>
      </c>
      <c r="C14" s="80">
        <v>1795</v>
      </c>
      <c r="D14" s="5">
        <f t="shared" si="2"/>
        <v>46226</v>
      </c>
      <c r="E14" s="14">
        <v>0</v>
      </c>
      <c r="F14" s="13" t="s">
        <v>18</v>
      </c>
      <c r="G14" s="55">
        <v>1195</v>
      </c>
      <c r="H14" s="16">
        <v>0</v>
      </c>
      <c r="I14" s="3" t="s">
        <v>15</v>
      </c>
      <c r="J14" s="5">
        <f t="shared" si="1"/>
        <v>46227</v>
      </c>
      <c r="K14" s="13" t="s">
        <v>115</v>
      </c>
    </row>
    <row r="15" spans="1:14" ht="15.75" x14ac:dyDescent="0.25">
      <c r="A15" s="3">
        <v>5</v>
      </c>
      <c r="B15" s="3" t="s">
        <v>822</v>
      </c>
      <c r="C15" s="80">
        <v>2010</v>
      </c>
      <c r="D15" s="5">
        <f t="shared" si="2"/>
        <v>46226</v>
      </c>
      <c r="E15" s="14">
        <v>0</v>
      </c>
      <c r="F15" s="13" t="s">
        <v>18</v>
      </c>
      <c r="G15" s="55">
        <v>7217</v>
      </c>
      <c r="H15" s="16">
        <v>0</v>
      </c>
      <c r="I15" s="3" t="s">
        <v>15</v>
      </c>
      <c r="J15" s="5">
        <f t="shared" si="1"/>
        <v>46227</v>
      </c>
      <c r="K15" s="13" t="s">
        <v>115</v>
      </c>
    </row>
    <row r="16" spans="1:14" ht="15.75" x14ac:dyDescent="0.25">
      <c r="A16" s="3">
        <v>6</v>
      </c>
      <c r="B16" s="3" t="s">
        <v>218</v>
      </c>
      <c r="C16" s="80">
        <v>13200</v>
      </c>
      <c r="D16" s="5">
        <f t="shared" si="2"/>
        <v>46226</v>
      </c>
      <c r="E16" s="14">
        <v>0</v>
      </c>
      <c r="F16" s="13" t="s">
        <v>18</v>
      </c>
      <c r="G16" s="55">
        <v>2160</v>
      </c>
      <c r="H16" s="16">
        <v>0</v>
      </c>
      <c r="I16" s="3" t="s">
        <v>15</v>
      </c>
      <c r="J16" s="5">
        <f t="shared" si="1"/>
        <v>46227</v>
      </c>
      <c r="K16" s="13" t="s">
        <v>102</v>
      </c>
    </row>
    <row r="17" spans="1:11" ht="15.75" x14ac:dyDescent="0.25">
      <c r="A17" s="3">
        <v>7</v>
      </c>
      <c r="B17" s="3" t="s">
        <v>218</v>
      </c>
      <c r="C17" s="80">
        <v>1000</v>
      </c>
      <c r="D17" s="5">
        <f t="shared" si="2"/>
        <v>46226</v>
      </c>
      <c r="E17" s="14">
        <v>0</v>
      </c>
      <c r="F17" s="13" t="s">
        <v>18</v>
      </c>
      <c r="G17" s="55">
        <v>4418</v>
      </c>
      <c r="H17" s="16">
        <v>0</v>
      </c>
      <c r="I17" s="3" t="s">
        <v>15</v>
      </c>
      <c r="J17" s="5">
        <f t="shared" si="1"/>
        <v>46227</v>
      </c>
      <c r="K17" s="13" t="s">
        <v>102</v>
      </c>
    </row>
    <row r="18" spans="1:11" ht="15.75" x14ac:dyDescent="0.25">
      <c r="A18" s="3">
        <v>8</v>
      </c>
      <c r="B18" s="3" t="s">
        <v>141</v>
      </c>
      <c r="C18" s="80">
        <v>1260</v>
      </c>
      <c r="D18" s="5">
        <f t="shared" si="2"/>
        <v>46226</v>
      </c>
      <c r="E18" s="14">
        <v>0</v>
      </c>
      <c r="F18" s="13" t="s">
        <v>18</v>
      </c>
      <c r="G18" s="55">
        <v>5487</v>
      </c>
      <c r="H18" s="16">
        <v>0</v>
      </c>
      <c r="I18" s="3" t="s">
        <v>15</v>
      </c>
      <c r="J18" s="5">
        <f t="shared" si="1"/>
        <v>46227</v>
      </c>
      <c r="K18" s="13" t="s">
        <v>115</v>
      </c>
    </row>
    <row r="19" spans="1:11" ht="15.75" x14ac:dyDescent="0.25">
      <c r="A19" s="3">
        <v>9</v>
      </c>
      <c r="B19" s="3" t="s">
        <v>511</v>
      </c>
      <c r="C19" s="80">
        <v>2000</v>
      </c>
      <c r="D19" s="5">
        <f t="shared" si="2"/>
        <v>46226</v>
      </c>
      <c r="E19" s="14">
        <v>0</v>
      </c>
      <c r="F19" s="13" t="s">
        <v>18</v>
      </c>
      <c r="G19" s="55">
        <v>5838</v>
      </c>
      <c r="H19" s="16">
        <v>0</v>
      </c>
      <c r="I19" s="3" t="s">
        <v>15</v>
      </c>
      <c r="J19" s="5">
        <f t="shared" si="1"/>
        <v>46227</v>
      </c>
      <c r="K19" s="13" t="s">
        <v>115</v>
      </c>
    </row>
    <row r="20" spans="1:11" ht="18.75" x14ac:dyDescent="0.3">
      <c r="A20" s="3"/>
      <c r="B20" s="17" t="s">
        <v>16</v>
      </c>
      <c r="C20" s="82">
        <f>SUM(C11:C19)</f>
        <v>25655</v>
      </c>
      <c r="D20" s="3"/>
      <c r="E20" s="3"/>
      <c r="F20" s="13"/>
      <c r="G20" s="13"/>
      <c r="H20" s="11"/>
      <c r="I20" s="3"/>
      <c r="J20" s="3"/>
      <c r="K20" s="3"/>
    </row>
    <row r="21" spans="1:11" ht="21" x14ac:dyDescent="0.35">
      <c r="A21" s="135" t="s">
        <v>20</v>
      </c>
      <c r="B21" s="136"/>
      <c r="C21" s="136"/>
      <c r="D21" s="136"/>
      <c r="E21" s="136"/>
      <c r="F21" s="136"/>
      <c r="G21" s="136"/>
      <c r="H21" s="136"/>
      <c r="I21" s="136"/>
      <c r="J21" s="136"/>
      <c r="K21" s="137"/>
    </row>
    <row r="22" spans="1:11" ht="18.75" x14ac:dyDescent="0.3">
      <c r="A22" s="19" t="s">
        <v>3</v>
      </c>
      <c r="B22" s="19" t="s">
        <v>21</v>
      </c>
      <c r="C22" s="50" t="s">
        <v>5</v>
      </c>
      <c r="D22" s="1" t="s">
        <v>22</v>
      </c>
      <c r="E22" s="19" t="s">
        <v>7</v>
      </c>
      <c r="F22" s="19" t="s">
        <v>8</v>
      </c>
      <c r="G22" s="19" t="s">
        <v>23</v>
      </c>
      <c r="H22" s="20" t="s">
        <v>24</v>
      </c>
      <c r="I22" s="19" t="s">
        <v>11</v>
      </c>
      <c r="J22" s="19" t="s">
        <v>25</v>
      </c>
      <c r="K22" s="21" t="s">
        <v>26</v>
      </c>
    </row>
    <row r="23" spans="1:11" ht="15.75" x14ac:dyDescent="0.25">
      <c r="A23" s="8">
        <v>1</v>
      </c>
      <c r="B23" s="8" t="s">
        <v>823</v>
      </c>
      <c r="C23" s="75">
        <v>28160</v>
      </c>
      <c r="D23" s="5">
        <v>46226</v>
      </c>
      <c r="E23" s="8"/>
      <c r="F23" s="8"/>
      <c r="G23" s="22">
        <v>1533</v>
      </c>
      <c r="H23" s="23"/>
      <c r="I23" s="24"/>
      <c r="J23" s="5">
        <v>46226</v>
      </c>
      <c r="K23" s="13" t="s">
        <v>115</v>
      </c>
    </row>
    <row r="24" spans="1:11" ht="15.75" x14ac:dyDescent="0.25">
      <c r="A24" s="8">
        <v>2</v>
      </c>
      <c r="B24" s="8" t="s">
        <v>824</v>
      </c>
      <c r="C24" s="75">
        <v>50000</v>
      </c>
      <c r="D24" s="5">
        <v>46226</v>
      </c>
      <c r="E24" s="8"/>
      <c r="F24" s="8"/>
      <c r="G24" s="22">
        <v>924</v>
      </c>
      <c r="H24" s="23"/>
      <c r="I24" s="24"/>
      <c r="J24" s="5">
        <v>46226</v>
      </c>
      <c r="K24" s="13" t="s">
        <v>826</v>
      </c>
    </row>
    <row r="25" spans="1:11" ht="18.75" x14ac:dyDescent="0.25">
      <c r="A25" s="8"/>
      <c r="B25" s="25" t="s">
        <v>27</v>
      </c>
      <c r="C25" s="83">
        <f>SUM(C23:C24)</f>
        <v>78160</v>
      </c>
      <c r="D25" s="3"/>
      <c r="E25" s="8"/>
      <c r="F25" s="8"/>
      <c r="G25" s="8"/>
      <c r="H25" s="27">
        <v>0</v>
      </c>
      <c r="I25" s="24"/>
      <c r="J25" s="3"/>
      <c r="K25" s="28"/>
    </row>
    <row r="26" spans="1:11" x14ac:dyDescent="0.25">
      <c r="C26" s="29"/>
      <c r="H26" s="29"/>
    </row>
    <row r="27" spans="1:11" ht="16.5" x14ac:dyDescent="0.3">
      <c r="B27" s="30" t="s">
        <v>28</v>
      </c>
      <c r="C27" s="76">
        <f>SUM(C16,C17)</f>
        <v>14200</v>
      </c>
      <c r="E27" s="32"/>
      <c r="F27" s="32"/>
      <c r="G27" s="116"/>
      <c r="H27" s="116"/>
    </row>
    <row r="28" spans="1:11" ht="16.5" x14ac:dyDescent="0.3">
      <c r="B28" s="33" t="s">
        <v>29</v>
      </c>
      <c r="C28" s="77">
        <f>SUM(C11,C12,C13,C14,C15,C18,C19)</f>
        <v>11455</v>
      </c>
      <c r="E28" s="35"/>
      <c r="F28" s="35"/>
      <c r="G28" s="36" t="s">
        <v>30</v>
      </c>
      <c r="H28" s="37"/>
    </row>
    <row r="29" spans="1:11" ht="24" x14ac:dyDescent="0.4">
      <c r="B29" s="38" t="s">
        <v>31</v>
      </c>
      <c r="C29" s="78"/>
      <c r="E29" s="40" t="s">
        <v>32</v>
      </c>
      <c r="F29" s="41"/>
      <c r="G29" s="42"/>
      <c r="H29" s="43"/>
      <c r="I29" s="42"/>
      <c r="J29" s="44"/>
    </row>
    <row r="30" spans="1:11" ht="18.75" x14ac:dyDescent="0.3">
      <c r="B30" s="45" t="s">
        <v>16</v>
      </c>
      <c r="C30" s="79">
        <f>SUM(C27:C29)</f>
        <v>25655</v>
      </c>
      <c r="G30" s="36"/>
      <c r="H30" s="37"/>
      <c r="I30" s="36"/>
      <c r="J30" s="36"/>
    </row>
  </sheetData>
  <mergeCells count="6">
    <mergeCell ref="G27:H27"/>
    <mergeCell ref="A1:K1"/>
    <mergeCell ref="A2:K2"/>
    <mergeCell ref="A3:K3"/>
    <mergeCell ref="A10:K10"/>
    <mergeCell ref="A21:K21"/>
  </mergeCells>
  <pageMargins left="0.59055118110236215" right="0.15748031496062992" top="0.47244094488188976" bottom="0.23622047244094488" header="0.31496062992125984" footer="0.31496062992125984"/>
  <pageSetup scale="86" orientation="landscape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EBBC7-8E27-4734-9F87-B0EC9AAEA6C0}">
  <sheetPr>
    <pageSetUpPr fitToPage="1"/>
  </sheetPr>
  <dimension ref="A1:K24"/>
  <sheetViews>
    <sheetView topLeftCell="A5" workbookViewId="0">
      <selection sqref="A1:K24"/>
    </sheetView>
  </sheetViews>
  <sheetFormatPr defaultRowHeight="15" x14ac:dyDescent="0.25"/>
  <cols>
    <col min="1" max="1" width="4.42578125" bestFit="1" customWidth="1"/>
    <col min="2" max="2" width="26.5703125" bestFit="1" customWidth="1"/>
    <col min="3" max="3" width="14.42578125" bestFit="1" customWidth="1"/>
    <col min="4" max="4" width="13.85546875" bestFit="1" customWidth="1"/>
    <col min="5" max="5" width="11.42578125" bestFit="1" customWidth="1"/>
    <col min="6" max="6" width="9.5703125" customWidth="1"/>
    <col min="7" max="7" width="12.85546875" bestFit="1" customWidth="1"/>
    <col min="8" max="8" width="10.28515625" bestFit="1" customWidth="1"/>
    <col min="9" max="9" width="10" bestFit="1" customWidth="1"/>
    <col min="10" max="10" width="18" customWidth="1"/>
    <col min="11" max="11" width="32.7109375" customWidth="1"/>
  </cols>
  <sheetData>
    <row r="1" spans="1:11" ht="24.75" x14ac:dyDescent="0.25">
      <c r="A1" s="117" t="s">
        <v>828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827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46227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46226</v>
      </c>
      <c r="K5" s="8" t="s">
        <v>33</v>
      </c>
    </row>
    <row r="6" spans="1:11" ht="18.75" x14ac:dyDescent="0.3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4" x14ac:dyDescent="0.4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75" x14ac:dyDescent="0.25">
      <c r="A9" s="3">
        <v>1</v>
      </c>
      <c r="B9" s="3" t="s">
        <v>837</v>
      </c>
      <c r="C9" s="80">
        <v>1285</v>
      </c>
      <c r="D9" s="5">
        <v>46227</v>
      </c>
      <c r="E9" s="14">
        <v>0</v>
      </c>
      <c r="F9" s="13" t="s">
        <v>18</v>
      </c>
      <c r="G9" s="55">
        <v>4257</v>
      </c>
      <c r="H9" s="16">
        <v>0</v>
      </c>
      <c r="I9" s="3" t="s">
        <v>19</v>
      </c>
      <c r="J9" s="5">
        <f t="shared" ref="J9:J10" si="0">+D9+1</f>
        <v>46228</v>
      </c>
      <c r="K9" s="13" t="s">
        <v>115</v>
      </c>
    </row>
    <row r="10" spans="1:11" ht="15.75" x14ac:dyDescent="0.25">
      <c r="A10" s="3">
        <v>2</v>
      </c>
      <c r="B10" s="3" t="s">
        <v>838</v>
      </c>
      <c r="C10" s="80">
        <v>4900</v>
      </c>
      <c r="D10" s="5">
        <f t="shared" ref="D10" si="1">+D9</f>
        <v>46227</v>
      </c>
      <c r="E10" s="14">
        <v>0</v>
      </c>
      <c r="F10" s="13" t="s">
        <v>18</v>
      </c>
      <c r="G10" s="55">
        <v>4350</v>
      </c>
      <c r="H10" s="16">
        <v>0</v>
      </c>
      <c r="I10" s="3" t="s">
        <v>15</v>
      </c>
      <c r="J10" s="5">
        <f t="shared" si="0"/>
        <v>46228</v>
      </c>
      <c r="K10" s="13" t="s">
        <v>187</v>
      </c>
    </row>
    <row r="11" spans="1:11" ht="18.75" x14ac:dyDescent="0.3">
      <c r="A11" s="3"/>
      <c r="B11" s="17" t="s">
        <v>16</v>
      </c>
      <c r="C11" s="82">
        <f>SUM(C9:C10)</f>
        <v>6185</v>
      </c>
      <c r="D11" s="3"/>
      <c r="E11" s="3"/>
      <c r="F11" s="13"/>
      <c r="G11" s="13"/>
      <c r="H11" s="11"/>
      <c r="I11" s="3"/>
      <c r="J11" s="3"/>
      <c r="K11" s="3"/>
    </row>
    <row r="12" spans="1:11" ht="21" x14ac:dyDescent="0.35">
      <c r="A12" s="135" t="s">
        <v>20</v>
      </c>
      <c r="B12" s="136"/>
      <c r="C12" s="136"/>
      <c r="D12" s="136"/>
      <c r="E12" s="136"/>
      <c r="F12" s="136"/>
      <c r="G12" s="136"/>
      <c r="H12" s="136"/>
      <c r="I12" s="136"/>
      <c r="J12" s="136"/>
      <c r="K12" s="137"/>
    </row>
    <row r="13" spans="1:11" ht="18.75" x14ac:dyDescent="0.3">
      <c r="A13" s="19" t="s">
        <v>3</v>
      </c>
      <c r="B13" s="19" t="s">
        <v>21</v>
      </c>
      <c r="C13" s="50" t="s">
        <v>5</v>
      </c>
      <c r="D13" s="1" t="s">
        <v>22</v>
      </c>
      <c r="E13" s="19" t="s">
        <v>7</v>
      </c>
      <c r="F13" s="19" t="s">
        <v>8</v>
      </c>
      <c r="G13" s="19" t="s">
        <v>23</v>
      </c>
      <c r="H13" s="20" t="s">
        <v>24</v>
      </c>
      <c r="I13" s="19" t="s">
        <v>11</v>
      </c>
      <c r="J13" s="19" t="s">
        <v>25</v>
      </c>
      <c r="K13" s="21" t="s">
        <v>26</v>
      </c>
    </row>
    <row r="14" spans="1:11" ht="15.75" x14ac:dyDescent="0.25">
      <c r="A14" s="8">
        <v>1</v>
      </c>
      <c r="B14" s="8" t="s">
        <v>52</v>
      </c>
      <c r="C14" s="75">
        <v>100660</v>
      </c>
      <c r="D14" s="5">
        <v>46227</v>
      </c>
      <c r="E14" s="8"/>
      <c r="F14" s="8"/>
      <c r="G14" s="22">
        <v>18</v>
      </c>
      <c r="H14" s="23"/>
      <c r="I14" s="24"/>
      <c r="J14" s="5">
        <v>46227</v>
      </c>
      <c r="K14" s="13" t="s">
        <v>841</v>
      </c>
    </row>
    <row r="15" spans="1:11" ht="15.75" x14ac:dyDescent="0.25">
      <c r="A15" s="8">
        <v>2</v>
      </c>
      <c r="B15" s="8" t="s">
        <v>823</v>
      </c>
      <c r="C15" s="75">
        <v>15525</v>
      </c>
      <c r="D15" s="5">
        <v>46227</v>
      </c>
      <c r="E15" s="8"/>
      <c r="F15" s="8"/>
      <c r="G15" s="22">
        <v>1525</v>
      </c>
      <c r="H15" s="23"/>
      <c r="I15" s="24"/>
      <c r="J15" s="5">
        <v>46227</v>
      </c>
      <c r="K15" s="13" t="s">
        <v>115</v>
      </c>
    </row>
    <row r="16" spans="1:11" ht="15.75" x14ac:dyDescent="0.25">
      <c r="A16" s="8">
        <v>3</v>
      </c>
      <c r="B16" s="8" t="s">
        <v>839</v>
      </c>
      <c r="C16" s="75">
        <v>5000</v>
      </c>
      <c r="D16" s="5">
        <v>46227</v>
      </c>
      <c r="E16" s="8"/>
      <c r="F16" s="8"/>
      <c r="G16" s="22">
        <v>2157</v>
      </c>
      <c r="H16" s="23"/>
      <c r="I16" s="24"/>
      <c r="J16" s="5">
        <v>46227</v>
      </c>
      <c r="K16" s="13" t="s">
        <v>840</v>
      </c>
    </row>
    <row r="17" spans="1:11" ht="15.75" x14ac:dyDescent="0.25">
      <c r="A17" s="8">
        <v>4</v>
      </c>
      <c r="B17" s="8" t="s">
        <v>590</v>
      </c>
      <c r="C17" s="75">
        <v>25000</v>
      </c>
      <c r="D17" s="5">
        <v>46227</v>
      </c>
      <c r="E17" s="8"/>
      <c r="F17" s="8"/>
      <c r="G17" s="22">
        <v>5390</v>
      </c>
      <c r="H17" s="23"/>
      <c r="I17" s="24"/>
      <c r="J17" s="5">
        <v>46227</v>
      </c>
      <c r="K17" s="13" t="s">
        <v>430</v>
      </c>
    </row>
    <row r="18" spans="1:11" ht="15.75" x14ac:dyDescent="0.25">
      <c r="A18" s="8">
        <v>5</v>
      </c>
      <c r="B18" s="8" t="s">
        <v>412</v>
      </c>
      <c r="C18" s="75">
        <v>8000</v>
      </c>
      <c r="D18" s="5">
        <v>46227</v>
      </c>
      <c r="E18" s="8"/>
      <c r="F18" s="8"/>
      <c r="G18" s="22">
        <v>5345</v>
      </c>
      <c r="H18" s="23"/>
      <c r="I18" s="24"/>
      <c r="J18" s="5">
        <v>46227</v>
      </c>
      <c r="K18" s="13" t="s">
        <v>424</v>
      </c>
    </row>
    <row r="19" spans="1:11" ht="18.75" x14ac:dyDescent="0.25">
      <c r="A19" s="8"/>
      <c r="B19" s="25" t="s">
        <v>27</v>
      </c>
      <c r="C19" s="83">
        <f>SUM(C14:C18)</f>
        <v>154185</v>
      </c>
      <c r="D19" s="3"/>
      <c r="E19" s="8"/>
      <c r="F19" s="8"/>
      <c r="G19" s="8"/>
      <c r="H19" s="27">
        <v>0</v>
      </c>
      <c r="I19" s="24"/>
      <c r="J19" s="3"/>
      <c r="K19" s="28"/>
    </row>
    <row r="20" spans="1:11" x14ac:dyDescent="0.25">
      <c r="C20" s="29"/>
      <c r="H20" s="29"/>
    </row>
    <row r="21" spans="1:11" ht="16.5" x14ac:dyDescent="0.3">
      <c r="B21" s="30" t="s">
        <v>28</v>
      </c>
      <c r="C21" s="76"/>
      <c r="E21" s="32"/>
      <c r="F21" s="32"/>
      <c r="G21" s="116"/>
      <c r="H21" s="116"/>
    </row>
    <row r="22" spans="1:11" ht="16.5" x14ac:dyDescent="0.3">
      <c r="B22" s="33" t="s">
        <v>29</v>
      </c>
      <c r="C22" s="77">
        <v>1285</v>
      </c>
      <c r="E22" s="35"/>
      <c r="F22" s="35"/>
      <c r="G22" s="36" t="s">
        <v>30</v>
      </c>
      <c r="H22" s="37"/>
    </row>
    <row r="23" spans="1:11" ht="24" x14ac:dyDescent="0.4">
      <c r="B23" s="38" t="s">
        <v>187</v>
      </c>
      <c r="C23" s="78">
        <v>4900</v>
      </c>
      <c r="E23" s="40" t="s">
        <v>32</v>
      </c>
      <c r="F23" s="41"/>
      <c r="G23" s="42"/>
      <c r="H23" s="43"/>
      <c r="I23" s="42"/>
      <c r="J23" s="44"/>
    </row>
    <row r="24" spans="1:11" ht="18.75" x14ac:dyDescent="0.3">
      <c r="B24" s="45" t="s">
        <v>16</v>
      </c>
      <c r="C24" s="79">
        <f>SUM(C21:C23)</f>
        <v>6185</v>
      </c>
      <c r="G24" s="36"/>
      <c r="H24" s="37"/>
      <c r="I24" s="36"/>
      <c r="J24" s="36"/>
    </row>
  </sheetData>
  <mergeCells count="6">
    <mergeCell ref="G21:H21"/>
    <mergeCell ref="A1:K1"/>
    <mergeCell ref="A2:K2"/>
    <mergeCell ref="A3:K3"/>
    <mergeCell ref="A8:K8"/>
    <mergeCell ref="A12:K12"/>
  </mergeCells>
  <pageMargins left="0.59055118110236215" right="0.15748031496062992" top="0.47244094488188976" bottom="0.23622047244094488" header="0.31496062992125984" footer="0.31496062992125984"/>
  <pageSetup scale="79" orientation="landscape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BD62A-54B7-4FF4-A395-5320FA354087}">
  <sheetPr>
    <pageSetUpPr fitToPage="1"/>
  </sheetPr>
  <dimension ref="A1:K28"/>
  <sheetViews>
    <sheetView workbookViewId="0">
      <selection activeCell="P14" sqref="P14"/>
    </sheetView>
  </sheetViews>
  <sheetFormatPr defaultRowHeight="15" x14ac:dyDescent="0.25"/>
  <cols>
    <col min="1" max="1" width="9.28515625" customWidth="1"/>
    <col min="2" max="2" width="22.85546875" bestFit="1" customWidth="1"/>
    <col min="3" max="3" width="12.710937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6.140625" bestFit="1" customWidth="1"/>
  </cols>
  <sheetData>
    <row r="1" spans="1:11" ht="24.75" x14ac:dyDescent="0.25">
      <c r="A1" s="117" t="s">
        <v>829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830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46228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46227</v>
      </c>
      <c r="K5" s="8" t="s">
        <v>33</v>
      </c>
    </row>
    <row r="6" spans="1:11" ht="18.75" x14ac:dyDescent="0.3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4" x14ac:dyDescent="0.4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75" x14ac:dyDescent="0.25">
      <c r="A9" s="3">
        <v>1</v>
      </c>
      <c r="B9" s="3" t="s">
        <v>842</v>
      </c>
      <c r="C9" s="80">
        <v>810</v>
      </c>
      <c r="D9" s="5">
        <v>46228</v>
      </c>
      <c r="E9" s="14">
        <v>0</v>
      </c>
      <c r="F9" s="13" t="s">
        <v>18</v>
      </c>
      <c r="G9" s="55">
        <v>6209</v>
      </c>
      <c r="H9" s="16">
        <v>0</v>
      </c>
      <c r="I9" s="3" t="s">
        <v>19</v>
      </c>
      <c r="J9" s="5">
        <f t="shared" ref="J9:J15" si="0">+D9+1</f>
        <v>46229</v>
      </c>
      <c r="K9" s="13" t="s">
        <v>115</v>
      </c>
    </row>
    <row r="10" spans="1:11" ht="15.75" x14ac:dyDescent="0.25">
      <c r="A10" s="3">
        <v>2</v>
      </c>
      <c r="B10" s="3" t="s">
        <v>784</v>
      </c>
      <c r="C10" s="80">
        <v>1340</v>
      </c>
      <c r="D10" s="5">
        <f t="shared" ref="D10:D15" si="1">+D9</f>
        <v>46228</v>
      </c>
      <c r="E10" s="14">
        <v>0</v>
      </c>
      <c r="F10" s="13" t="s">
        <v>18</v>
      </c>
      <c r="G10" s="55">
        <v>5291</v>
      </c>
      <c r="H10" s="16">
        <v>0</v>
      </c>
      <c r="I10" s="3" t="s">
        <v>15</v>
      </c>
      <c r="J10" s="5">
        <f t="shared" si="0"/>
        <v>46229</v>
      </c>
      <c r="K10" s="13" t="s">
        <v>115</v>
      </c>
    </row>
    <row r="11" spans="1:11" ht="15.75" x14ac:dyDescent="0.25">
      <c r="A11" s="3">
        <v>3</v>
      </c>
      <c r="B11" s="3" t="s">
        <v>235</v>
      </c>
      <c r="C11" s="80">
        <v>2500</v>
      </c>
      <c r="D11" s="5">
        <f t="shared" si="1"/>
        <v>46228</v>
      </c>
      <c r="E11" s="14">
        <v>0</v>
      </c>
      <c r="F11" s="13" t="s">
        <v>18</v>
      </c>
      <c r="G11" s="55">
        <v>3600</v>
      </c>
      <c r="H11" s="16">
        <v>0</v>
      </c>
      <c r="I11" s="3" t="s">
        <v>15</v>
      </c>
      <c r="J11" s="5">
        <f t="shared" si="0"/>
        <v>46229</v>
      </c>
      <c r="K11" s="13" t="s">
        <v>847</v>
      </c>
    </row>
    <row r="12" spans="1:11" ht="15.75" x14ac:dyDescent="0.25">
      <c r="A12" s="3">
        <v>4</v>
      </c>
      <c r="B12" s="3" t="s">
        <v>235</v>
      </c>
      <c r="C12" s="80">
        <v>61840</v>
      </c>
      <c r="D12" s="5">
        <f t="shared" si="1"/>
        <v>46228</v>
      </c>
      <c r="E12" s="14">
        <v>0</v>
      </c>
      <c r="F12" s="13" t="s">
        <v>18</v>
      </c>
      <c r="G12" s="55">
        <v>889</v>
      </c>
      <c r="H12" s="16">
        <v>0</v>
      </c>
      <c r="I12" s="3" t="s">
        <v>15</v>
      </c>
      <c r="J12" s="5">
        <f t="shared" si="0"/>
        <v>46229</v>
      </c>
      <c r="K12" s="13" t="s">
        <v>102</v>
      </c>
    </row>
    <row r="13" spans="1:11" ht="15.75" x14ac:dyDescent="0.25">
      <c r="A13" s="3">
        <v>5</v>
      </c>
      <c r="B13" s="3" t="s">
        <v>843</v>
      </c>
      <c r="C13" s="80">
        <v>560</v>
      </c>
      <c r="D13" s="5">
        <f t="shared" si="1"/>
        <v>46228</v>
      </c>
      <c r="E13" s="14">
        <v>0</v>
      </c>
      <c r="F13" s="13" t="s">
        <v>18</v>
      </c>
      <c r="G13" s="55">
        <v>2954</v>
      </c>
      <c r="H13" s="16">
        <v>0</v>
      </c>
      <c r="I13" s="3" t="s">
        <v>15</v>
      </c>
      <c r="J13" s="5">
        <f t="shared" si="0"/>
        <v>46229</v>
      </c>
      <c r="K13" s="13" t="s">
        <v>115</v>
      </c>
    </row>
    <row r="14" spans="1:11" ht="15.75" x14ac:dyDescent="0.25">
      <c r="A14" s="3">
        <v>6</v>
      </c>
      <c r="B14" s="3" t="s">
        <v>844</v>
      </c>
      <c r="C14" s="80">
        <v>800</v>
      </c>
      <c r="D14" s="5">
        <f t="shared" si="1"/>
        <v>46228</v>
      </c>
      <c r="E14" s="14">
        <v>0</v>
      </c>
      <c r="F14" s="13" t="s">
        <v>18</v>
      </c>
      <c r="G14" s="55">
        <v>8798</v>
      </c>
      <c r="H14" s="16">
        <v>0</v>
      </c>
      <c r="I14" s="3" t="s">
        <v>15</v>
      </c>
      <c r="J14" s="5">
        <f t="shared" si="0"/>
        <v>46229</v>
      </c>
      <c r="K14" s="13" t="s">
        <v>115</v>
      </c>
    </row>
    <row r="15" spans="1:11" ht="15.75" x14ac:dyDescent="0.25">
      <c r="A15" s="3">
        <v>7</v>
      </c>
      <c r="B15" s="3" t="s">
        <v>845</v>
      </c>
      <c r="C15" s="80">
        <v>21000</v>
      </c>
      <c r="D15" s="5">
        <f t="shared" si="1"/>
        <v>46228</v>
      </c>
      <c r="E15" s="14">
        <v>0</v>
      </c>
      <c r="F15" s="13" t="s">
        <v>18</v>
      </c>
      <c r="G15" s="55">
        <v>3907</v>
      </c>
      <c r="H15" s="16">
        <v>0</v>
      </c>
      <c r="I15" s="3" t="s">
        <v>15</v>
      </c>
      <c r="J15" s="5">
        <f t="shared" si="0"/>
        <v>46229</v>
      </c>
      <c r="K15" s="13" t="s">
        <v>677</v>
      </c>
    </row>
    <row r="16" spans="1:11" ht="18.75" x14ac:dyDescent="0.3">
      <c r="A16" s="3"/>
      <c r="B16" s="17" t="s">
        <v>16</v>
      </c>
      <c r="C16" s="82">
        <f>SUM(C9:C15)</f>
        <v>88850</v>
      </c>
      <c r="D16" s="3"/>
      <c r="E16" s="3"/>
      <c r="F16" s="13"/>
      <c r="G16" s="13"/>
      <c r="H16" s="11"/>
      <c r="I16" s="3"/>
      <c r="J16" s="3"/>
      <c r="K16" s="3"/>
    </row>
    <row r="17" spans="1:11" ht="21" x14ac:dyDescent="0.35">
      <c r="A17" s="135" t="s">
        <v>20</v>
      </c>
      <c r="B17" s="136"/>
      <c r="C17" s="136"/>
      <c r="D17" s="136"/>
      <c r="E17" s="136"/>
      <c r="F17" s="136"/>
      <c r="G17" s="136"/>
      <c r="H17" s="136"/>
      <c r="I17" s="136"/>
      <c r="J17" s="136"/>
      <c r="K17" s="137"/>
    </row>
    <row r="18" spans="1:11" ht="18.75" x14ac:dyDescent="0.3">
      <c r="A18" s="19" t="s">
        <v>3</v>
      </c>
      <c r="B18" s="19" t="s">
        <v>21</v>
      </c>
      <c r="C18" s="50" t="s">
        <v>5</v>
      </c>
      <c r="D18" s="1" t="s">
        <v>22</v>
      </c>
      <c r="E18" s="19" t="s">
        <v>7</v>
      </c>
      <c r="F18" s="19" t="s">
        <v>8</v>
      </c>
      <c r="G18" s="19" t="s">
        <v>23</v>
      </c>
      <c r="H18" s="20" t="s">
        <v>24</v>
      </c>
      <c r="I18" s="19" t="s">
        <v>11</v>
      </c>
      <c r="J18" s="19" t="s">
        <v>25</v>
      </c>
      <c r="K18" s="21" t="s">
        <v>26</v>
      </c>
    </row>
    <row r="19" spans="1:11" ht="15.75" x14ac:dyDescent="0.25">
      <c r="A19" s="8">
        <v>1</v>
      </c>
      <c r="B19" s="8" t="s">
        <v>846</v>
      </c>
      <c r="C19" s="75">
        <v>50000</v>
      </c>
      <c r="D19" s="5">
        <v>46228</v>
      </c>
      <c r="E19" s="8"/>
      <c r="F19" s="8"/>
      <c r="G19" s="22">
        <v>3870</v>
      </c>
      <c r="H19" s="23"/>
      <c r="I19" s="24"/>
      <c r="J19" s="5">
        <v>46228</v>
      </c>
      <c r="K19" s="13" t="s">
        <v>848</v>
      </c>
    </row>
    <row r="20" spans="1:11" ht="15.75" x14ac:dyDescent="0.25">
      <c r="A20" s="8">
        <v>2</v>
      </c>
      <c r="B20" s="8" t="s">
        <v>41</v>
      </c>
      <c r="C20" s="75">
        <v>31506</v>
      </c>
      <c r="D20" s="5">
        <v>46228</v>
      </c>
      <c r="E20" s="8"/>
      <c r="F20" s="8"/>
      <c r="G20" s="22">
        <v>148</v>
      </c>
      <c r="H20" s="23"/>
      <c r="I20" s="24"/>
      <c r="J20" s="5">
        <v>46228</v>
      </c>
      <c r="K20" s="13" t="s">
        <v>115</v>
      </c>
    </row>
    <row r="21" spans="1:11" ht="18.75" x14ac:dyDescent="0.25">
      <c r="A21" s="8"/>
      <c r="B21" s="25" t="s">
        <v>27</v>
      </c>
      <c r="C21" s="83">
        <f>SUM(C19:C20)</f>
        <v>81506</v>
      </c>
      <c r="D21" s="3"/>
      <c r="E21" s="8"/>
      <c r="F21" s="8"/>
      <c r="G21" s="8"/>
      <c r="H21" s="27">
        <v>0</v>
      </c>
      <c r="I21" s="24"/>
      <c r="J21" s="3"/>
      <c r="K21" s="28"/>
    </row>
    <row r="22" spans="1:11" x14ac:dyDescent="0.25">
      <c r="C22" s="29"/>
      <c r="H22" s="29"/>
    </row>
    <row r="23" spans="1:11" ht="16.5" x14ac:dyDescent="0.3">
      <c r="B23" s="30" t="s">
        <v>28</v>
      </c>
      <c r="C23" s="76">
        <f>SUM(C12)</f>
        <v>61840</v>
      </c>
      <c r="E23" s="32"/>
      <c r="F23" s="32"/>
      <c r="G23" s="116"/>
      <c r="H23" s="116"/>
    </row>
    <row r="24" spans="1:11" ht="16.5" x14ac:dyDescent="0.3">
      <c r="B24" s="33" t="s">
        <v>29</v>
      </c>
      <c r="C24" s="77">
        <f>SUM(C9,C10,C13,C14)</f>
        <v>3510</v>
      </c>
      <c r="E24" s="35"/>
      <c r="F24" s="35"/>
      <c r="G24" s="36" t="s">
        <v>30</v>
      </c>
      <c r="H24" s="37"/>
    </row>
    <row r="25" spans="1:11" ht="24" x14ac:dyDescent="0.4">
      <c r="B25" s="38" t="s">
        <v>700</v>
      </c>
      <c r="C25" s="78">
        <f>SUM(C11)</f>
        <v>2500</v>
      </c>
      <c r="E25" s="40" t="s">
        <v>32</v>
      </c>
      <c r="F25" s="41"/>
      <c r="G25" s="42"/>
      <c r="H25" s="43"/>
      <c r="I25" s="42"/>
      <c r="J25" s="44"/>
    </row>
    <row r="26" spans="1:11" ht="24" x14ac:dyDescent="0.4">
      <c r="B26" s="38" t="s">
        <v>679</v>
      </c>
      <c r="C26" s="78">
        <f>SUM(C15)</f>
        <v>21000</v>
      </c>
      <c r="E26" s="107"/>
      <c r="F26" s="41"/>
      <c r="G26" s="42"/>
      <c r="H26" s="43"/>
      <c r="I26" s="42"/>
      <c r="J26" s="44"/>
    </row>
    <row r="27" spans="1:11" ht="18.75" x14ac:dyDescent="0.3">
      <c r="B27" s="45" t="s">
        <v>16</v>
      </c>
      <c r="C27" s="79">
        <f>SUM(C23,C24,C25,C26)</f>
        <v>88850</v>
      </c>
      <c r="G27" s="36"/>
      <c r="H27" s="37"/>
      <c r="I27" s="36"/>
      <c r="J27" s="36"/>
    </row>
    <row r="28" spans="1:11" x14ac:dyDescent="0.25">
      <c r="C28" s="98"/>
    </row>
  </sheetData>
  <mergeCells count="6">
    <mergeCell ref="G23:H23"/>
    <mergeCell ref="A1:K1"/>
    <mergeCell ref="A2:K2"/>
    <mergeCell ref="A3:K3"/>
    <mergeCell ref="A8:K8"/>
    <mergeCell ref="A17:K17"/>
  </mergeCells>
  <pageMargins left="0.59055118110236215" right="0.15748031496062992" top="0.47244094488188976" bottom="0.23622047244094488" header="0.31496062992125984" footer="0.31496062992125984"/>
  <pageSetup scale="8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4BFB3-F61D-4991-8517-A6162201DB53}">
  <sheetPr>
    <pageSetUpPr fitToPage="1"/>
  </sheetPr>
  <dimension ref="A1:K24"/>
  <sheetViews>
    <sheetView topLeftCell="A5" workbookViewId="0">
      <selection activeCell="E18" sqref="E18"/>
    </sheetView>
  </sheetViews>
  <sheetFormatPr defaultRowHeight="15" x14ac:dyDescent="0.25"/>
  <cols>
    <col min="1" max="1" width="4.42578125" bestFit="1" customWidth="1"/>
    <col min="2" max="2" width="23.42578125" bestFit="1" customWidth="1"/>
    <col min="3" max="3" width="12.710937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7.28515625" customWidth="1"/>
  </cols>
  <sheetData>
    <row r="1" spans="1:11" ht="24.75" x14ac:dyDescent="0.25">
      <c r="A1" s="117" t="s">
        <v>829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831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46229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46228</v>
      </c>
      <c r="K5" s="8" t="s">
        <v>33</v>
      </c>
    </row>
    <row r="6" spans="1:11" ht="18.75" x14ac:dyDescent="0.3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4" x14ac:dyDescent="0.4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75" x14ac:dyDescent="0.25">
      <c r="A9" s="3">
        <v>1</v>
      </c>
      <c r="B9" s="3" t="s">
        <v>849</v>
      </c>
      <c r="C9" s="80">
        <v>1940</v>
      </c>
      <c r="D9" s="5">
        <v>46229</v>
      </c>
      <c r="E9" s="14">
        <v>0</v>
      </c>
      <c r="F9" s="13" t="s">
        <v>18</v>
      </c>
      <c r="G9" s="55">
        <v>8134</v>
      </c>
      <c r="H9" s="16">
        <v>0</v>
      </c>
      <c r="I9" s="3" t="s">
        <v>19</v>
      </c>
      <c r="J9" s="5">
        <f t="shared" ref="J9:J14" si="0">+D9+1</f>
        <v>46230</v>
      </c>
      <c r="K9" s="13" t="s">
        <v>204</v>
      </c>
    </row>
    <row r="10" spans="1:11" ht="15.75" x14ac:dyDescent="0.25">
      <c r="A10" s="3">
        <v>2</v>
      </c>
      <c r="B10" s="3" t="s">
        <v>559</v>
      </c>
      <c r="C10" s="80">
        <v>715</v>
      </c>
      <c r="D10" s="5">
        <f t="shared" ref="D10:D14" si="1">+D9</f>
        <v>46229</v>
      </c>
      <c r="E10" s="14">
        <v>0</v>
      </c>
      <c r="F10" s="13" t="s">
        <v>18</v>
      </c>
      <c r="G10" s="55">
        <v>1908</v>
      </c>
      <c r="H10" s="16">
        <v>0</v>
      </c>
      <c r="I10" s="3" t="s">
        <v>15</v>
      </c>
      <c r="J10" s="5">
        <f t="shared" si="0"/>
        <v>46230</v>
      </c>
      <c r="K10" s="13" t="s">
        <v>115</v>
      </c>
    </row>
    <row r="11" spans="1:11" ht="15.75" x14ac:dyDescent="0.25">
      <c r="A11" s="3">
        <v>3</v>
      </c>
      <c r="B11" s="3" t="s">
        <v>850</v>
      </c>
      <c r="C11" s="80">
        <v>110</v>
      </c>
      <c r="D11" s="5">
        <f t="shared" si="1"/>
        <v>46229</v>
      </c>
      <c r="E11" s="14">
        <v>0</v>
      </c>
      <c r="F11" s="13" t="s">
        <v>18</v>
      </c>
      <c r="G11" s="55">
        <v>9204</v>
      </c>
      <c r="H11" s="16">
        <v>0</v>
      </c>
      <c r="I11" s="3" t="s">
        <v>15</v>
      </c>
      <c r="J11" s="5">
        <f t="shared" si="0"/>
        <v>46230</v>
      </c>
      <c r="K11" s="13" t="s">
        <v>115</v>
      </c>
    </row>
    <row r="12" spans="1:11" ht="15.75" x14ac:dyDescent="0.25">
      <c r="A12" s="3">
        <v>4</v>
      </c>
      <c r="B12" s="3" t="s">
        <v>850</v>
      </c>
      <c r="C12" s="80">
        <v>3400</v>
      </c>
      <c r="D12" s="5">
        <f t="shared" si="1"/>
        <v>46229</v>
      </c>
      <c r="E12" s="14">
        <v>0</v>
      </c>
      <c r="F12" s="13" t="s">
        <v>18</v>
      </c>
      <c r="G12" s="55">
        <v>5650</v>
      </c>
      <c r="H12" s="16">
        <v>0</v>
      </c>
      <c r="I12" s="3" t="s">
        <v>15</v>
      </c>
      <c r="J12" s="5">
        <f t="shared" si="0"/>
        <v>46230</v>
      </c>
      <c r="K12" s="13" t="s">
        <v>115</v>
      </c>
    </row>
    <row r="13" spans="1:11" ht="15.75" x14ac:dyDescent="0.25">
      <c r="A13" s="3">
        <v>5</v>
      </c>
      <c r="B13" s="3" t="s">
        <v>851</v>
      </c>
      <c r="C13" s="80">
        <v>2950</v>
      </c>
      <c r="D13" s="5">
        <f t="shared" si="1"/>
        <v>46229</v>
      </c>
      <c r="E13" s="14">
        <v>0</v>
      </c>
      <c r="F13" s="13" t="s">
        <v>18</v>
      </c>
      <c r="G13" s="55">
        <v>3684</v>
      </c>
      <c r="H13" s="16">
        <v>0</v>
      </c>
      <c r="I13" s="3" t="s">
        <v>15</v>
      </c>
      <c r="J13" s="5">
        <f t="shared" si="0"/>
        <v>46230</v>
      </c>
      <c r="K13" s="13" t="s">
        <v>204</v>
      </c>
    </row>
    <row r="14" spans="1:11" ht="18" customHeight="1" x14ac:dyDescent="0.25">
      <c r="A14" s="3">
        <v>6</v>
      </c>
      <c r="B14" s="3" t="s">
        <v>852</v>
      </c>
      <c r="C14" s="80">
        <v>13100</v>
      </c>
      <c r="D14" s="5">
        <f t="shared" si="1"/>
        <v>46229</v>
      </c>
      <c r="E14" s="14">
        <v>0</v>
      </c>
      <c r="F14" s="13" t="s">
        <v>18</v>
      </c>
      <c r="G14" s="55">
        <v>2260</v>
      </c>
      <c r="H14" s="16">
        <v>0</v>
      </c>
      <c r="I14" s="3" t="s">
        <v>15</v>
      </c>
      <c r="J14" s="5">
        <f t="shared" si="0"/>
        <v>46230</v>
      </c>
      <c r="K14" s="13" t="s">
        <v>853</v>
      </c>
    </row>
    <row r="15" spans="1:11" ht="18.75" x14ac:dyDescent="0.3">
      <c r="A15" s="3"/>
      <c r="B15" s="17" t="s">
        <v>16</v>
      </c>
      <c r="C15" s="82">
        <f>SUM(C9:C14)</f>
        <v>22215</v>
      </c>
      <c r="D15" s="3"/>
      <c r="E15" s="3"/>
      <c r="F15" s="13"/>
      <c r="G15" s="13"/>
      <c r="H15" s="11"/>
      <c r="I15" s="3"/>
      <c r="J15" s="3"/>
      <c r="K15" s="3"/>
    </row>
    <row r="16" spans="1:11" ht="21" x14ac:dyDescent="0.35">
      <c r="A16" s="135" t="s">
        <v>20</v>
      </c>
      <c r="B16" s="136"/>
      <c r="C16" s="136"/>
      <c r="D16" s="136"/>
      <c r="E16" s="136"/>
      <c r="F16" s="136"/>
      <c r="G16" s="136"/>
      <c r="H16" s="136"/>
      <c r="I16" s="136"/>
      <c r="J16" s="136"/>
      <c r="K16" s="137"/>
    </row>
    <row r="17" spans="1:11" ht="18.75" x14ac:dyDescent="0.3">
      <c r="A17" s="19" t="s">
        <v>3</v>
      </c>
      <c r="B17" s="19" t="s">
        <v>21</v>
      </c>
      <c r="C17" s="50" t="s">
        <v>5</v>
      </c>
      <c r="D17" s="1" t="s">
        <v>22</v>
      </c>
      <c r="E17" s="19" t="s">
        <v>7</v>
      </c>
      <c r="F17" s="19" t="s">
        <v>8</v>
      </c>
      <c r="G17" s="19" t="s">
        <v>23</v>
      </c>
      <c r="H17" s="20" t="s">
        <v>24</v>
      </c>
      <c r="I17" s="19" t="s">
        <v>11</v>
      </c>
      <c r="J17" s="19" t="s">
        <v>25</v>
      </c>
      <c r="K17" s="21" t="s">
        <v>26</v>
      </c>
    </row>
    <row r="18" spans="1:11" ht="15.75" x14ac:dyDescent="0.25">
      <c r="A18" s="8">
        <v>1</v>
      </c>
      <c r="B18" s="8" t="s">
        <v>34</v>
      </c>
      <c r="C18" s="75">
        <v>80000</v>
      </c>
      <c r="D18" s="5">
        <v>46229</v>
      </c>
      <c r="E18" s="8"/>
      <c r="F18" s="8"/>
      <c r="G18" s="22">
        <v>3797</v>
      </c>
      <c r="H18" s="23"/>
      <c r="I18" s="24"/>
      <c r="J18" s="5">
        <v>46229</v>
      </c>
      <c r="K18" s="13" t="s">
        <v>262</v>
      </c>
    </row>
    <row r="19" spans="1:11" ht="18.75" x14ac:dyDescent="0.25">
      <c r="A19" s="8"/>
      <c r="B19" s="25" t="s">
        <v>27</v>
      </c>
      <c r="C19" s="83">
        <f>SUM(C18:C18)</f>
        <v>80000</v>
      </c>
      <c r="D19" s="3"/>
      <c r="E19" s="8"/>
      <c r="F19" s="8"/>
      <c r="G19" s="8"/>
      <c r="H19" s="27">
        <v>0</v>
      </c>
      <c r="I19" s="24"/>
      <c r="J19" s="3"/>
      <c r="K19" s="28"/>
    </row>
    <row r="20" spans="1:11" x14ac:dyDescent="0.25">
      <c r="C20" s="29"/>
      <c r="H20" s="29"/>
    </row>
    <row r="21" spans="1:11" ht="16.5" x14ac:dyDescent="0.3">
      <c r="B21" s="30" t="s">
        <v>28</v>
      </c>
      <c r="C21" s="76">
        <f>SUM(C9,C13,C14)</f>
        <v>17990</v>
      </c>
      <c r="E21" s="32"/>
      <c r="F21" s="32"/>
      <c r="G21" s="116"/>
      <c r="H21" s="116"/>
    </row>
    <row r="22" spans="1:11" ht="16.5" x14ac:dyDescent="0.3">
      <c r="B22" s="33" t="s">
        <v>29</v>
      </c>
      <c r="C22" s="77">
        <f>SUM(C10,C11,C12)</f>
        <v>4225</v>
      </c>
      <c r="E22" s="35"/>
      <c r="F22" s="35"/>
      <c r="G22" s="36" t="s">
        <v>30</v>
      </c>
      <c r="H22" s="37"/>
    </row>
    <row r="23" spans="1:11" ht="24" x14ac:dyDescent="0.4">
      <c r="B23" s="38" t="s">
        <v>31</v>
      </c>
      <c r="C23" s="78"/>
      <c r="E23" s="40" t="s">
        <v>32</v>
      </c>
      <c r="F23" s="41"/>
      <c r="G23" s="42"/>
      <c r="H23" s="43"/>
      <c r="I23" s="42"/>
      <c r="J23" s="44"/>
    </row>
    <row r="24" spans="1:11" ht="18.75" x14ac:dyDescent="0.3">
      <c r="B24" s="45" t="s">
        <v>16</v>
      </c>
      <c r="C24" s="79">
        <f>SUM(C21:C23)</f>
        <v>22215</v>
      </c>
      <c r="G24" s="36"/>
      <c r="H24" s="37"/>
      <c r="I24" s="36"/>
      <c r="J24" s="36"/>
    </row>
  </sheetData>
  <mergeCells count="6">
    <mergeCell ref="G21:H21"/>
    <mergeCell ref="A1:K1"/>
    <mergeCell ref="A2:K2"/>
    <mergeCell ref="A3:K3"/>
    <mergeCell ref="A8:K8"/>
    <mergeCell ref="A16:K16"/>
  </mergeCells>
  <pageMargins left="0.59055118110236215" right="0.15748031496062992" top="0.47244094488188976" bottom="0.23622047244094488" header="0.31496062992125984" footer="0.31496062992125984"/>
  <pageSetup scale="87" orientation="landscape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707E5-3EDE-449F-930F-2D0363C4B08A}">
  <sheetPr>
    <pageSetUpPr fitToPage="1"/>
  </sheetPr>
  <dimension ref="A1:K27"/>
  <sheetViews>
    <sheetView topLeftCell="A8" workbookViewId="0">
      <selection activeCell="O19" sqref="O19"/>
    </sheetView>
  </sheetViews>
  <sheetFormatPr defaultRowHeight="15" x14ac:dyDescent="0.25"/>
  <cols>
    <col min="1" max="1" width="4.42578125" bestFit="1" customWidth="1"/>
    <col min="2" max="2" width="23" customWidth="1"/>
    <col min="3" max="3" width="12.710937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30.5703125" customWidth="1"/>
  </cols>
  <sheetData>
    <row r="1" spans="1:11" ht="24.75" x14ac:dyDescent="0.25">
      <c r="A1" s="117" t="s">
        <v>829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832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46230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46229</v>
      </c>
      <c r="K5" s="8" t="s">
        <v>33</v>
      </c>
    </row>
    <row r="6" spans="1:11" ht="18.75" x14ac:dyDescent="0.3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4" x14ac:dyDescent="0.4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75" x14ac:dyDescent="0.25">
      <c r="A9" s="3">
        <v>1</v>
      </c>
      <c r="B9" s="3" t="s">
        <v>854</v>
      </c>
      <c r="C9" s="80">
        <v>200</v>
      </c>
      <c r="D9" s="5">
        <v>46230</v>
      </c>
      <c r="E9" s="14">
        <v>0</v>
      </c>
      <c r="F9" s="13" t="s">
        <v>18</v>
      </c>
      <c r="G9" s="55">
        <v>8926</v>
      </c>
      <c r="H9" s="16">
        <v>0</v>
      </c>
      <c r="I9" s="3" t="s">
        <v>19</v>
      </c>
      <c r="J9" s="5">
        <f t="shared" ref="J9:J17" si="0">+D9+1</f>
        <v>46231</v>
      </c>
      <c r="K9" s="13" t="s">
        <v>203</v>
      </c>
    </row>
    <row r="10" spans="1:11" ht="15.75" x14ac:dyDescent="0.25">
      <c r="A10" s="3">
        <v>2</v>
      </c>
      <c r="B10" s="3" t="s">
        <v>854</v>
      </c>
      <c r="C10" s="80">
        <v>2</v>
      </c>
      <c r="D10" s="5">
        <f t="shared" ref="D10:D17" si="1">+D9</f>
        <v>46230</v>
      </c>
      <c r="E10" s="14">
        <v>0</v>
      </c>
      <c r="F10" s="13" t="s">
        <v>18</v>
      </c>
      <c r="G10" s="55">
        <v>2673</v>
      </c>
      <c r="H10" s="16">
        <v>0</v>
      </c>
      <c r="I10" s="3" t="s">
        <v>15</v>
      </c>
      <c r="J10" s="5">
        <f t="shared" si="0"/>
        <v>46231</v>
      </c>
      <c r="K10" s="13" t="s">
        <v>204</v>
      </c>
    </row>
    <row r="11" spans="1:11" ht="15.75" x14ac:dyDescent="0.25">
      <c r="A11" s="3">
        <v>3</v>
      </c>
      <c r="B11" s="3" t="s">
        <v>854</v>
      </c>
      <c r="C11" s="80">
        <v>2000</v>
      </c>
      <c r="D11" s="5">
        <f t="shared" si="1"/>
        <v>46230</v>
      </c>
      <c r="E11" s="14">
        <v>0</v>
      </c>
      <c r="F11" s="13" t="s">
        <v>18</v>
      </c>
      <c r="G11" s="55">
        <v>2736</v>
      </c>
      <c r="H11" s="16">
        <v>0</v>
      </c>
      <c r="I11" s="3" t="s">
        <v>15</v>
      </c>
      <c r="J11" s="5">
        <f t="shared" si="0"/>
        <v>46231</v>
      </c>
      <c r="K11" s="13" t="s">
        <v>204</v>
      </c>
    </row>
    <row r="12" spans="1:11" ht="15.75" x14ac:dyDescent="0.25">
      <c r="A12" s="3">
        <v>4</v>
      </c>
      <c r="B12" s="3" t="s">
        <v>855</v>
      </c>
      <c r="C12" s="80">
        <v>860</v>
      </c>
      <c r="D12" s="5">
        <f t="shared" si="1"/>
        <v>46230</v>
      </c>
      <c r="E12" s="14">
        <v>0</v>
      </c>
      <c r="F12" s="13" t="s">
        <v>18</v>
      </c>
      <c r="G12" s="55">
        <v>1249</v>
      </c>
      <c r="H12" s="16">
        <v>0</v>
      </c>
      <c r="I12" s="3" t="s">
        <v>15</v>
      </c>
      <c r="J12" s="5">
        <f t="shared" si="0"/>
        <v>46231</v>
      </c>
      <c r="K12" s="13" t="s">
        <v>204</v>
      </c>
    </row>
    <row r="13" spans="1:11" ht="15.75" x14ac:dyDescent="0.25">
      <c r="A13" s="3">
        <v>5</v>
      </c>
      <c r="B13" s="3" t="s">
        <v>856</v>
      </c>
      <c r="C13" s="80">
        <v>6800</v>
      </c>
      <c r="D13" s="5">
        <f t="shared" si="1"/>
        <v>46230</v>
      </c>
      <c r="E13" s="14">
        <v>0</v>
      </c>
      <c r="F13" s="13" t="s">
        <v>18</v>
      </c>
      <c r="G13" s="55">
        <v>6231</v>
      </c>
      <c r="H13" s="16">
        <v>0</v>
      </c>
      <c r="I13" s="3" t="s">
        <v>15</v>
      </c>
      <c r="J13" s="5">
        <f t="shared" si="0"/>
        <v>46231</v>
      </c>
      <c r="K13" s="13" t="s">
        <v>204</v>
      </c>
    </row>
    <row r="14" spans="1:11" ht="15.75" x14ac:dyDescent="0.25">
      <c r="A14" s="3">
        <v>6</v>
      </c>
      <c r="B14" s="3" t="s">
        <v>857</v>
      </c>
      <c r="C14" s="80">
        <v>680</v>
      </c>
      <c r="D14" s="5">
        <f t="shared" si="1"/>
        <v>46230</v>
      </c>
      <c r="E14" s="14">
        <v>0</v>
      </c>
      <c r="F14" s="13" t="s">
        <v>18</v>
      </c>
      <c r="G14" s="55">
        <v>779</v>
      </c>
      <c r="H14" s="16">
        <v>0</v>
      </c>
      <c r="I14" s="3" t="s">
        <v>15</v>
      </c>
      <c r="J14" s="5">
        <f t="shared" si="0"/>
        <v>46231</v>
      </c>
      <c r="K14" s="13" t="s">
        <v>204</v>
      </c>
    </row>
    <row r="15" spans="1:11" ht="15.75" x14ac:dyDescent="0.25">
      <c r="A15" s="3">
        <v>7</v>
      </c>
      <c r="B15" s="3" t="s">
        <v>858</v>
      </c>
      <c r="C15" s="80">
        <v>500</v>
      </c>
      <c r="D15" s="5">
        <f t="shared" si="1"/>
        <v>46230</v>
      </c>
      <c r="E15" s="14">
        <v>0</v>
      </c>
      <c r="F15" s="13" t="s">
        <v>18</v>
      </c>
      <c r="G15" s="55">
        <v>3877</v>
      </c>
      <c r="H15" s="16">
        <v>0</v>
      </c>
      <c r="I15" s="3" t="s">
        <v>15</v>
      </c>
      <c r="J15" s="5">
        <f t="shared" si="0"/>
        <v>46231</v>
      </c>
      <c r="K15" s="13" t="s">
        <v>115</v>
      </c>
    </row>
    <row r="16" spans="1:11" ht="15.75" x14ac:dyDescent="0.25">
      <c r="A16" s="3">
        <v>8</v>
      </c>
      <c r="B16" s="3" t="s">
        <v>859</v>
      </c>
      <c r="C16" s="80">
        <v>3000</v>
      </c>
      <c r="D16" s="5">
        <f t="shared" si="1"/>
        <v>46230</v>
      </c>
      <c r="E16" s="14">
        <v>0</v>
      </c>
      <c r="F16" s="13" t="s">
        <v>18</v>
      </c>
      <c r="G16" s="55">
        <v>5771</v>
      </c>
      <c r="H16" s="16">
        <v>0</v>
      </c>
      <c r="I16" s="3" t="s">
        <v>15</v>
      </c>
      <c r="J16" s="5">
        <f t="shared" si="0"/>
        <v>46231</v>
      </c>
      <c r="K16" s="13" t="s">
        <v>115</v>
      </c>
    </row>
    <row r="17" spans="1:11" ht="15.75" x14ac:dyDescent="0.25">
      <c r="A17" s="3">
        <v>9</v>
      </c>
      <c r="B17" s="3" t="s">
        <v>860</v>
      </c>
      <c r="C17" s="80">
        <v>2300</v>
      </c>
      <c r="D17" s="5">
        <f t="shared" si="1"/>
        <v>46230</v>
      </c>
      <c r="E17" s="14">
        <v>0</v>
      </c>
      <c r="F17" s="13" t="s">
        <v>18</v>
      </c>
      <c r="G17" s="55">
        <v>9130</v>
      </c>
      <c r="H17" s="16">
        <v>0</v>
      </c>
      <c r="I17" s="3" t="s">
        <v>15</v>
      </c>
      <c r="J17" s="5">
        <f t="shared" si="0"/>
        <v>46231</v>
      </c>
      <c r="K17" s="13" t="s">
        <v>204</v>
      </c>
    </row>
    <row r="18" spans="1:11" ht="18.75" x14ac:dyDescent="0.3">
      <c r="A18" s="3"/>
      <c r="B18" s="17" t="s">
        <v>16</v>
      </c>
      <c r="C18" s="82">
        <f>SUM(C9:C17)</f>
        <v>16342</v>
      </c>
      <c r="D18" s="3"/>
      <c r="E18" s="3"/>
      <c r="F18" s="13"/>
      <c r="G18" s="13"/>
      <c r="H18" s="11"/>
      <c r="I18" s="3"/>
      <c r="J18" s="3"/>
      <c r="K18" s="3"/>
    </row>
    <row r="19" spans="1:11" ht="21" x14ac:dyDescent="0.35">
      <c r="A19" s="135" t="s">
        <v>20</v>
      </c>
      <c r="B19" s="136"/>
      <c r="C19" s="136"/>
      <c r="D19" s="136"/>
      <c r="E19" s="136"/>
      <c r="F19" s="136"/>
      <c r="G19" s="136"/>
      <c r="H19" s="136"/>
      <c r="I19" s="136"/>
      <c r="J19" s="136"/>
      <c r="K19" s="137"/>
    </row>
    <row r="20" spans="1:11" ht="18.75" x14ac:dyDescent="0.3">
      <c r="A20" s="19" t="s">
        <v>3</v>
      </c>
      <c r="B20" s="19" t="s">
        <v>21</v>
      </c>
      <c r="C20" s="50" t="s">
        <v>5</v>
      </c>
      <c r="D20" s="1" t="s">
        <v>22</v>
      </c>
      <c r="E20" s="19" t="s">
        <v>7</v>
      </c>
      <c r="F20" s="19" t="s">
        <v>8</v>
      </c>
      <c r="G20" s="19" t="s">
        <v>23</v>
      </c>
      <c r="H20" s="20" t="s">
        <v>24</v>
      </c>
      <c r="I20" s="19" t="s">
        <v>11</v>
      </c>
      <c r="J20" s="19" t="s">
        <v>25</v>
      </c>
      <c r="K20" s="21" t="s">
        <v>26</v>
      </c>
    </row>
    <row r="21" spans="1:11" ht="15.75" x14ac:dyDescent="0.25">
      <c r="A21" s="8">
        <v>1</v>
      </c>
      <c r="B21" s="8" t="s">
        <v>774</v>
      </c>
      <c r="C21" s="75">
        <v>8000</v>
      </c>
      <c r="D21" s="5">
        <v>46230</v>
      </c>
      <c r="E21" s="8"/>
      <c r="F21" s="8"/>
      <c r="G21" s="22">
        <v>4999</v>
      </c>
      <c r="H21" s="23"/>
      <c r="I21" s="24"/>
      <c r="J21" s="5">
        <v>46230</v>
      </c>
      <c r="K21" s="13" t="s">
        <v>861</v>
      </c>
    </row>
    <row r="22" spans="1:11" ht="18.75" x14ac:dyDescent="0.25">
      <c r="A22" s="8"/>
      <c r="B22" s="25" t="s">
        <v>27</v>
      </c>
      <c r="C22" s="83">
        <f>SUM(C21:C21)</f>
        <v>8000</v>
      </c>
      <c r="D22" s="3"/>
      <c r="E22" s="8"/>
      <c r="F22" s="8"/>
      <c r="G22" s="8"/>
      <c r="H22" s="27">
        <v>0</v>
      </c>
      <c r="I22" s="24"/>
      <c r="J22" s="3"/>
      <c r="K22" s="28"/>
    </row>
    <row r="23" spans="1:11" x14ac:dyDescent="0.25">
      <c r="C23" s="29"/>
      <c r="H23" s="29"/>
    </row>
    <row r="24" spans="1:11" ht="16.5" x14ac:dyDescent="0.3">
      <c r="B24" s="30" t="s">
        <v>28</v>
      </c>
      <c r="C24" s="76">
        <f>SUM(C9,C10,C11,C12,C13,C14,C17)</f>
        <v>12842</v>
      </c>
      <c r="E24" s="32"/>
      <c r="F24" s="32"/>
      <c r="G24" s="116"/>
      <c r="H24" s="116"/>
    </row>
    <row r="25" spans="1:11" ht="16.5" x14ac:dyDescent="0.3">
      <c r="B25" s="33" t="s">
        <v>29</v>
      </c>
      <c r="C25" s="77">
        <f>SUM(C16,C15)</f>
        <v>3500</v>
      </c>
      <c r="E25" s="35"/>
      <c r="F25" s="35"/>
      <c r="G25" s="36" t="s">
        <v>30</v>
      </c>
      <c r="H25" s="37"/>
    </row>
    <row r="26" spans="1:11" ht="24" x14ac:dyDescent="0.4">
      <c r="B26" s="38" t="s">
        <v>31</v>
      </c>
      <c r="C26" s="78"/>
      <c r="E26" s="40" t="s">
        <v>32</v>
      </c>
      <c r="F26" s="41"/>
      <c r="G26" s="42"/>
      <c r="H26" s="43"/>
      <c r="I26" s="42"/>
      <c r="J26" s="44"/>
    </row>
    <row r="27" spans="1:11" ht="18.75" x14ac:dyDescent="0.3">
      <c r="B27" s="45" t="s">
        <v>16</v>
      </c>
      <c r="C27" s="79">
        <f>SUM(C24:C26)</f>
        <v>16342</v>
      </c>
      <c r="G27" s="36"/>
      <c r="H27" s="37"/>
      <c r="I27" s="36"/>
      <c r="J27" s="36"/>
    </row>
  </sheetData>
  <mergeCells count="6">
    <mergeCell ref="G24:H24"/>
    <mergeCell ref="A1:K1"/>
    <mergeCell ref="A2:K2"/>
    <mergeCell ref="A3:K3"/>
    <mergeCell ref="A8:K8"/>
    <mergeCell ref="A19:K19"/>
  </mergeCells>
  <pageMargins left="0.59055118110236215" right="0.15748031496062992" top="0.47244094488188976" bottom="0.23622047244094488" header="0.31496062992125984" footer="0.31496062992125984"/>
  <pageSetup scale="85" orientation="landscape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ECE58-BC22-495A-90C4-D254BE08A8D1}">
  <sheetPr>
    <pageSetUpPr fitToPage="1"/>
  </sheetPr>
  <dimension ref="A1:K32"/>
  <sheetViews>
    <sheetView topLeftCell="A18" workbookViewId="0">
      <selection activeCell="N24" sqref="N24"/>
    </sheetView>
  </sheetViews>
  <sheetFormatPr defaultRowHeight="15" x14ac:dyDescent="0.25"/>
  <cols>
    <col min="1" max="1" width="4.42578125" bestFit="1" customWidth="1"/>
    <col min="2" max="2" width="24.140625" bestFit="1" customWidth="1"/>
    <col min="3" max="3" width="12.7109375" bestFit="1" customWidth="1"/>
    <col min="4" max="4" width="13.85546875" bestFit="1" customWidth="1"/>
    <col min="5" max="5" width="9.42578125" customWidth="1"/>
    <col min="6" max="6" width="6.85546875" bestFit="1" customWidth="1"/>
    <col min="7" max="7" width="12.85546875" bestFit="1" customWidth="1"/>
    <col min="8" max="8" width="10.28515625" bestFit="1" customWidth="1"/>
    <col min="9" max="9" width="9.42578125" customWidth="1"/>
    <col min="10" max="10" width="16.85546875" bestFit="1" customWidth="1"/>
    <col min="11" max="11" width="30.7109375" customWidth="1"/>
  </cols>
  <sheetData>
    <row r="1" spans="1:11" ht="24.75" x14ac:dyDescent="0.25">
      <c r="A1" s="117" t="s">
        <v>829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833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46231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46230</v>
      </c>
      <c r="K5" s="8" t="s">
        <v>33</v>
      </c>
    </row>
    <row r="6" spans="1:11" ht="18.75" x14ac:dyDescent="0.3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4" x14ac:dyDescent="0.4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75" x14ac:dyDescent="0.25">
      <c r="A9" s="3">
        <v>1</v>
      </c>
      <c r="B9" s="3" t="s">
        <v>865</v>
      </c>
      <c r="C9" s="80">
        <v>2000</v>
      </c>
      <c r="D9" s="5">
        <v>46231</v>
      </c>
      <c r="E9" s="14">
        <v>0</v>
      </c>
      <c r="F9" s="13" t="s">
        <v>18</v>
      </c>
      <c r="G9" s="55">
        <v>147</v>
      </c>
      <c r="H9" s="16">
        <v>0</v>
      </c>
      <c r="I9" s="3" t="s">
        <v>19</v>
      </c>
      <c r="J9" s="5">
        <f t="shared" ref="J9:J19" si="0">+D9+1</f>
        <v>46232</v>
      </c>
      <c r="K9" s="13" t="s">
        <v>115</v>
      </c>
    </row>
    <row r="10" spans="1:11" ht="15.75" x14ac:dyDescent="0.25">
      <c r="A10" s="3">
        <v>2</v>
      </c>
      <c r="B10" s="3" t="s">
        <v>866</v>
      </c>
      <c r="C10" s="80">
        <v>2630</v>
      </c>
      <c r="D10" s="5">
        <f t="shared" ref="D10:D19" si="1">+D9</f>
        <v>46231</v>
      </c>
      <c r="E10" s="14">
        <v>0</v>
      </c>
      <c r="F10" s="13" t="s">
        <v>18</v>
      </c>
      <c r="G10" s="55">
        <v>2255</v>
      </c>
      <c r="H10" s="16">
        <v>0</v>
      </c>
      <c r="I10" s="3" t="s">
        <v>15</v>
      </c>
      <c r="J10" s="5">
        <f t="shared" si="0"/>
        <v>46232</v>
      </c>
      <c r="K10" s="13" t="s">
        <v>204</v>
      </c>
    </row>
    <row r="11" spans="1:11" ht="15.75" x14ac:dyDescent="0.25">
      <c r="A11" s="3">
        <v>3</v>
      </c>
      <c r="B11" s="3" t="s">
        <v>867</v>
      </c>
      <c r="C11" s="80">
        <v>950</v>
      </c>
      <c r="D11" s="5">
        <f t="shared" si="1"/>
        <v>46231</v>
      </c>
      <c r="E11" s="14">
        <v>0</v>
      </c>
      <c r="F11" s="13" t="s">
        <v>18</v>
      </c>
      <c r="G11" s="55">
        <v>336</v>
      </c>
      <c r="H11" s="16">
        <v>0</v>
      </c>
      <c r="I11" s="3" t="s">
        <v>15</v>
      </c>
      <c r="J11" s="5">
        <f t="shared" si="0"/>
        <v>46232</v>
      </c>
      <c r="K11" s="13" t="s">
        <v>204</v>
      </c>
    </row>
    <row r="12" spans="1:11" ht="15.75" x14ac:dyDescent="0.25">
      <c r="A12" s="3">
        <v>4</v>
      </c>
      <c r="B12" s="3" t="s">
        <v>868</v>
      </c>
      <c r="C12" s="80">
        <v>1000</v>
      </c>
      <c r="D12" s="5">
        <f t="shared" si="1"/>
        <v>46231</v>
      </c>
      <c r="E12" s="14">
        <v>0</v>
      </c>
      <c r="F12" s="13" t="s">
        <v>18</v>
      </c>
      <c r="G12" s="55">
        <v>3396</v>
      </c>
      <c r="H12" s="16">
        <v>0</v>
      </c>
      <c r="I12" s="3" t="s">
        <v>15</v>
      </c>
      <c r="J12" s="5">
        <f t="shared" si="0"/>
        <v>46232</v>
      </c>
      <c r="K12" s="13" t="s">
        <v>115</v>
      </c>
    </row>
    <row r="13" spans="1:11" ht="15.75" x14ac:dyDescent="0.25">
      <c r="A13" s="3">
        <v>5</v>
      </c>
      <c r="B13" s="3" t="s">
        <v>869</v>
      </c>
      <c r="C13" s="80">
        <v>950</v>
      </c>
      <c r="D13" s="5">
        <f t="shared" si="1"/>
        <v>46231</v>
      </c>
      <c r="E13" s="14">
        <v>0</v>
      </c>
      <c r="F13" s="13" t="s">
        <v>18</v>
      </c>
      <c r="G13" s="55">
        <v>108</v>
      </c>
      <c r="H13" s="16">
        <v>0</v>
      </c>
      <c r="I13" s="3" t="s">
        <v>15</v>
      </c>
      <c r="J13" s="5">
        <f t="shared" si="0"/>
        <v>46232</v>
      </c>
      <c r="K13" s="13" t="s">
        <v>204</v>
      </c>
    </row>
    <row r="14" spans="1:11" ht="15.75" x14ac:dyDescent="0.25">
      <c r="A14" s="3">
        <v>6</v>
      </c>
      <c r="B14" s="3" t="s">
        <v>870</v>
      </c>
      <c r="C14" s="80">
        <v>850</v>
      </c>
      <c r="D14" s="5">
        <f t="shared" si="1"/>
        <v>46231</v>
      </c>
      <c r="E14" s="14">
        <v>0</v>
      </c>
      <c r="F14" s="13" t="s">
        <v>18</v>
      </c>
      <c r="G14" s="55">
        <v>538</v>
      </c>
      <c r="H14" s="16">
        <v>0</v>
      </c>
      <c r="I14" s="3" t="s">
        <v>15</v>
      </c>
      <c r="J14" s="5">
        <f t="shared" si="0"/>
        <v>46232</v>
      </c>
      <c r="K14" s="13" t="s">
        <v>204</v>
      </c>
    </row>
    <row r="15" spans="1:11" ht="15.75" x14ac:dyDescent="0.25">
      <c r="A15" s="3">
        <v>7</v>
      </c>
      <c r="B15" s="3" t="s">
        <v>871</v>
      </c>
      <c r="C15" s="80">
        <v>500</v>
      </c>
      <c r="D15" s="5">
        <f t="shared" si="1"/>
        <v>46231</v>
      </c>
      <c r="E15" s="14">
        <v>0</v>
      </c>
      <c r="F15" s="13" t="s">
        <v>18</v>
      </c>
      <c r="G15" s="55">
        <v>773</v>
      </c>
      <c r="H15" s="16">
        <v>0</v>
      </c>
      <c r="I15" s="3" t="s">
        <v>15</v>
      </c>
      <c r="J15" s="5">
        <f t="shared" si="0"/>
        <v>46232</v>
      </c>
      <c r="K15" s="13" t="s">
        <v>745</v>
      </c>
    </row>
    <row r="16" spans="1:11" ht="15.75" x14ac:dyDescent="0.25">
      <c r="A16" s="3">
        <v>8</v>
      </c>
      <c r="B16" s="3" t="s">
        <v>872</v>
      </c>
      <c r="C16" s="80">
        <v>580</v>
      </c>
      <c r="D16" s="5">
        <f t="shared" si="1"/>
        <v>46231</v>
      </c>
      <c r="E16" s="14">
        <v>0</v>
      </c>
      <c r="F16" s="13" t="s">
        <v>18</v>
      </c>
      <c r="G16" s="55">
        <v>5293</v>
      </c>
      <c r="H16" s="16">
        <v>0</v>
      </c>
      <c r="I16" s="3" t="s">
        <v>15</v>
      </c>
      <c r="J16" s="5">
        <f t="shared" si="0"/>
        <v>46232</v>
      </c>
      <c r="K16" s="13" t="s">
        <v>115</v>
      </c>
    </row>
    <row r="17" spans="1:11" ht="15.75" x14ac:dyDescent="0.25">
      <c r="A17" s="3">
        <v>9</v>
      </c>
      <c r="B17" s="3" t="s">
        <v>873</v>
      </c>
      <c r="C17" s="80">
        <v>22300</v>
      </c>
      <c r="D17" s="5">
        <f t="shared" si="1"/>
        <v>46231</v>
      </c>
      <c r="E17" s="14">
        <v>0</v>
      </c>
      <c r="F17" s="13" t="s">
        <v>18</v>
      </c>
      <c r="G17" s="55">
        <v>70</v>
      </c>
      <c r="H17" s="16">
        <v>0</v>
      </c>
      <c r="I17" s="3" t="s">
        <v>15</v>
      </c>
      <c r="J17" s="5">
        <f t="shared" si="0"/>
        <v>46232</v>
      </c>
      <c r="K17" s="13" t="s">
        <v>102</v>
      </c>
    </row>
    <row r="18" spans="1:11" ht="15.75" x14ac:dyDescent="0.25">
      <c r="A18" s="3">
        <v>10</v>
      </c>
      <c r="B18" s="3" t="s">
        <v>235</v>
      </c>
      <c r="C18" s="80">
        <v>2800</v>
      </c>
      <c r="D18" s="5">
        <f t="shared" si="1"/>
        <v>46231</v>
      </c>
      <c r="E18" s="14">
        <v>0</v>
      </c>
      <c r="F18" s="13" t="s">
        <v>18</v>
      </c>
      <c r="G18" s="55">
        <v>5878</v>
      </c>
      <c r="H18" s="16">
        <v>0</v>
      </c>
      <c r="I18" s="3" t="s">
        <v>15</v>
      </c>
      <c r="J18" s="5">
        <f t="shared" si="0"/>
        <v>46232</v>
      </c>
      <c r="K18" s="13" t="s">
        <v>874</v>
      </c>
    </row>
    <row r="19" spans="1:11" ht="15.75" x14ac:dyDescent="0.25">
      <c r="A19" s="3">
        <v>11</v>
      </c>
      <c r="B19" s="3" t="s">
        <v>173</v>
      </c>
      <c r="C19" s="80">
        <v>530</v>
      </c>
      <c r="D19" s="5">
        <f t="shared" si="1"/>
        <v>46231</v>
      </c>
      <c r="E19" s="14">
        <v>0</v>
      </c>
      <c r="F19" s="13" t="s">
        <v>18</v>
      </c>
      <c r="G19" s="55">
        <v>2136</v>
      </c>
      <c r="H19" s="16">
        <v>0</v>
      </c>
      <c r="I19" s="3" t="s">
        <v>15</v>
      </c>
      <c r="J19" s="5">
        <f t="shared" si="0"/>
        <v>46232</v>
      </c>
      <c r="K19" s="13" t="s">
        <v>115</v>
      </c>
    </row>
    <row r="20" spans="1:11" ht="18.75" x14ac:dyDescent="0.3">
      <c r="A20" s="3"/>
      <c r="B20" s="17" t="s">
        <v>16</v>
      </c>
      <c r="C20" s="82">
        <f>SUM(C9:C19)</f>
        <v>35090</v>
      </c>
      <c r="D20" s="3"/>
      <c r="E20" s="3"/>
      <c r="F20" s="13"/>
      <c r="G20" s="13"/>
      <c r="H20" s="11"/>
      <c r="I20" s="3"/>
      <c r="J20" s="3"/>
      <c r="K20" s="3"/>
    </row>
    <row r="21" spans="1:11" ht="21" x14ac:dyDescent="0.35">
      <c r="A21" s="135" t="s">
        <v>20</v>
      </c>
      <c r="B21" s="136"/>
      <c r="C21" s="136"/>
      <c r="D21" s="136"/>
      <c r="E21" s="136"/>
      <c r="F21" s="136"/>
      <c r="G21" s="136"/>
      <c r="H21" s="136"/>
      <c r="I21" s="136"/>
      <c r="J21" s="136"/>
      <c r="K21" s="137"/>
    </row>
    <row r="22" spans="1:11" ht="18.75" x14ac:dyDescent="0.3">
      <c r="A22" s="19" t="s">
        <v>3</v>
      </c>
      <c r="B22" s="19" t="s">
        <v>21</v>
      </c>
      <c r="C22" s="50" t="s">
        <v>5</v>
      </c>
      <c r="D22" s="1" t="s">
        <v>22</v>
      </c>
      <c r="E22" s="19" t="s">
        <v>7</v>
      </c>
      <c r="F22" s="19" t="s">
        <v>8</v>
      </c>
      <c r="G22" s="19" t="s">
        <v>23</v>
      </c>
      <c r="H22" s="20" t="s">
        <v>24</v>
      </c>
      <c r="I22" s="19" t="s">
        <v>11</v>
      </c>
      <c r="J22" s="19" t="s">
        <v>25</v>
      </c>
      <c r="K22" s="21" t="s">
        <v>26</v>
      </c>
    </row>
    <row r="23" spans="1:11" ht="15.75" x14ac:dyDescent="0.25">
      <c r="A23" s="8">
        <v>1</v>
      </c>
      <c r="B23" s="8" t="s">
        <v>823</v>
      </c>
      <c r="C23" s="75">
        <v>16840</v>
      </c>
      <c r="D23" s="5">
        <v>46231</v>
      </c>
      <c r="E23" s="8"/>
      <c r="F23" s="8"/>
      <c r="G23" s="22">
        <v>4828</v>
      </c>
      <c r="H23" s="23"/>
      <c r="I23" s="24"/>
      <c r="J23" s="5">
        <v>46231</v>
      </c>
      <c r="K23" s="13" t="s">
        <v>115</v>
      </c>
    </row>
    <row r="24" spans="1:11" ht="15.75" x14ac:dyDescent="0.25">
      <c r="A24" s="8">
        <v>2</v>
      </c>
      <c r="B24" s="8" t="s">
        <v>862</v>
      </c>
      <c r="C24" s="75">
        <v>282</v>
      </c>
      <c r="D24" s="5">
        <v>46231</v>
      </c>
      <c r="E24" s="8"/>
      <c r="F24" s="8"/>
      <c r="G24" s="22">
        <v>7826</v>
      </c>
      <c r="H24" s="23"/>
      <c r="I24" s="24"/>
      <c r="J24" s="5">
        <v>46231</v>
      </c>
      <c r="K24" s="13" t="s">
        <v>886</v>
      </c>
    </row>
    <row r="25" spans="1:11" ht="15.75" x14ac:dyDescent="0.25">
      <c r="A25" s="8">
        <v>3</v>
      </c>
      <c r="B25" s="8" t="s">
        <v>863</v>
      </c>
      <c r="C25" s="75">
        <v>281</v>
      </c>
      <c r="D25" s="5">
        <v>46231</v>
      </c>
      <c r="E25" s="8"/>
      <c r="F25" s="8"/>
      <c r="G25" s="22">
        <v>3642</v>
      </c>
      <c r="H25" s="23"/>
      <c r="I25" s="24"/>
      <c r="J25" s="5">
        <v>46231</v>
      </c>
      <c r="K25" s="13" t="s">
        <v>886</v>
      </c>
    </row>
    <row r="26" spans="1:11" ht="15.75" x14ac:dyDescent="0.25">
      <c r="A26" s="8">
        <v>4</v>
      </c>
      <c r="B26" s="8" t="s">
        <v>864</v>
      </c>
      <c r="C26" s="75">
        <v>8000</v>
      </c>
      <c r="D26" s="5">
        <v>46231</v>
      </c>
      <c r="E26" s="8"/>
      <c r="F26" s="8"/>
      <c r="G26" s="22">
        <v>9876</v>
      </c>
      <c r="H26" s="23"/>
      <c r="I26" s="24"/>
      <c r="J26" s="5">
        <v>46231</v>
      </c>
      <c r="K26" s="13" t="s">
        <v>479</v>
      </c>
    </row>
    <row r="27" spans="1:11" ht="18.75" x14ac:dyDescent="0.25">
      <c r="A27" s="8"/>
      <c r="B27" s="25" t="s">
        <v>27</v>
      </c>
      <c r="C27" s="83">
        <f>SUM(C23:C26)</f>
        <v>25403</v>
      </c>
      <c r="D27" s="3"/>
      <c r="E27" s="8"/>
      <c r="F27" s="8"/>
      <c r="G27" s="8"/>
      <c r="H27" s="27">
        <v>0</v>
      </c>
      <c r="I27" s="24"/>
      <c r="J27" s="3"/>
      <c r="K27" s="28"/>
    </row>
    <row r="28" spans="1:11" x14ac:dyDescent="0.25">
      <c r="C28" s="29"/>
      <c r="H28" s="29"/>
    </row>
    <row r="29" spans="1:11" ht="16.5" x14ac:dyDescent="0.3">
      <c r="B29" s="30" t="s">
        <v>28</v>
      </c>
      <c r="C29" s="76">
        <f>SUM(C10,C11,C13,C15,C14,C17)</f>
        <v>28180</v>
      </c>
      <c r="E29" s="32"/>
      <c r="F29" s="32"/>
      <c r="G29" s="116"/>
      <c r="H29" s="116"/>
    </row>
    <row r="30" spans="1:11" ht="16.5" x14ac:dyDescent="0.3">
      <c r="B30" s="33" t="s">
        <v>29</v>
      </c>
      <c r="C30" s="77">
        <f>SUM(C16,C19,C12,C9)</f>
        <v>4110</v>
      </c>
      <c r="E30" s="35"/>
      <c r="F30" s="35"/>
      <c r="G30" s="36" t="s">
        <v>30</v>
      </c>
      <c r="H30" s="37"/>
    </row>
    <row r="31" spans="1:11" ht="24" x14ac:dyDescent="0.4">
      <c r="B31" s="38" t="s">
        <v>700</v>
      </c>
      <c r="C31" s="78">
        <f>SUM(C18)</f>
        <v>2800</v>
      </c>
      <c r="E31" s="40" t="s">
        <v>32</v>
      </c>
      <c r="F31" s="41"/>
      <c r="G31" s="42"/>
      <c r="H31" s="43"/>
      <c r="I31" s="42"/>
      <c r="J31" s="44"/>
    </row>
    <row r="32" spans="1:11" ht="18.75" x14ac:dyDescent="0.3">
      <c r="B32" s="45" t="s">
        <v>16</v>
      </c>
      <c r="C32" s="79">
        <f>SUM(C29:C31)</f>
        <v>35090</v>
      </c>
      <c r="G32" s="36"/>
      <c r="H32" s="37"/>
      <c r="I32" s="36"/>
      <c r="J32" s="36"/>
    </row>
  </sheetData>
  <mergeCells count="6">
    <mergeCell ref="G29:H29"/>
    <mergeCell ref="A1:K1"/>
    <mergeCell ref="A2:K2"/>
    <mergeCell ref="A3:K3"/>
    <mergeCell ref="A8:K8"/>
    <mergeCell ref="A21:K21"/>
  </mergeCells>
  <pageMargins left="0.59055118110236215" right="0.15748031496062992" top="0.47244094488188976" bottom="0.23622047244094488" header="0.31496062992125984" footer="0.31496062992125984"/>
  <pageSetup scale="86" orientation="landscape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B24F2-5979-4A80-A7F9-605554DEFCF0}">
  <sheetPr>
    <pageSetUpPr fitToPage="1"/>
  </sheetPr>
  <dimension ref="A1:K32"/>
  <sheetViews>
    <sheetView topLeftCell="A21" workbookViewId="0">
      <selection activeCell="A10" sqref="A10:K10"/>
    </sheetView>
  </sheetViews>
  <sheetFormatPr defaultRowHeight="15" x14ac:dyDescent="0.25"/>
  <cols>
    <col min="1" max="1" width="4.42578125" bestFit="1" customWidth="1"/>
    <col min="2" max="2" width="22" customWidth="1"/>
    <col min="3" max="3" width="14.42578125" bestFit="1" customWidth="1"/>
    <col min="4" max="4" width="13.85546875" bestFit="1" customWidth="1"/>
    <col min="5" max="5" width="11.42578125" bestFit="1" customWidth="1"/>
    <col min="6" max="6" width="9.5703125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30.7109375" customWidth="1"/>
  </cols>
  <sheetData>
    <row r="1" spans="1:11" ht="24.75" x14ac:dyDescent="0.25">
      <c r="A1" s="117" t="s">
        <v>829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834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786</v>
      </c>
      <c r="C5" s="80">
        <v>22300</v>
      </c>
      <c r="D5" s="5">
        <v>46232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46231</v>
      </c>
      <c r="K5" s="8" t="s">
        <v>881</v>
      </c>
    </row>
    <row r="6" spans="1:11" ht="15.75" x14ac:dyDescent="0.25">
      <c r="A6" s="3">
        <v>2</v>
      </c>
      <c r="B6" s="3" t="s">
        <v>501</v>
      </c>
      <c r="C6" s="80">
        <v>137000</v>
      </c>
      <c r="D6" s="5">
        <v>46232</v>
      </c>
      <c r="E6" s="6">
        <v>0</v>
      </c>
      <c r="F6" s="3" t="s">
        <v>14</v>
      </c>
      <c r="G6" s="49">
        <v>0</v>
      </c>
      <c r="H6" s="7">
        <v>0</v>
      </c>
      <c r="I6" s="3" t="s">
        <v>15</v>
      </c>
      <c r="J6" s="5">
        <f>+D6-1</f>
        <v>46231</v>
      </c>
      <c r="K6" s="8" t="s">
        <v>46</v>
      </c>
    </row>
    <row r="7" spans="1:11" ht="15.75" x14ac:dyDescent="0.25">
      <c r="A7" s="3">
        <v>3</v>
      </c>
      <c r="B7" s="3" t="s">
        <v>501</v>
      </c>
      <c r="C7" s="80">
        <v>400000</v>
      </c>
      <c r="D7" s="5">
        <v>46232</v>
      </c>
      <c r="E7" s="6">
        <v>0</v>
      </c>
      <c r="F7" s="3" t="s">
        <v>14</v>
      </c>
      <c r="G7" s="49">
        <v>0</v>
      </c>
      <c r="H7" s="7">
        <v>0</v>
      </c>
      <c r="I7" s="3" t="s">
        <v>15</v>
      </c>
      <c r="J7" s="5">
        <f>+D7-1</f>
        <v>46231</v>
      </c>
      <c r="K7" s="8" t="s">
        <v>46</v>
      </c>
    </row>
    <row r="8" spans="1:11" ht="18.75" x14ac:dyDescent="0.3">
      <c r="A8" s="9"/>
      <c r="B8" s="10" t="s">
        <v>16</v>
      </c>
      <c r="C8" s="81">
        <f>SUM(C5:C7)</f>
        <v>559300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4" x14ac:dyDescent="0.4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75" x14ac:dyDescent="0.25">
      <c r="A11" s="3">
        <v>1</v>
      </c>
      <c r="B11" s="3" t="s">
        <v>129</v>
      </c>
      <c r="C11" s="80">
        <v>4000</v>
      </c>
      <c r="D11" s="5">
        <v>46232</v>
      </c>
      <c r="E11" s="14">
        <v>0</v>
      </c>
      <c r="F11" s="13" t="s">
        <v>18</v>
      </c>
      <c r="G11" s="55">
        <v>3645</v>
      </c>
      <c r="H11" s="16">
        <v>0</v>
      </c>
      <c r="I11" s="3" t="s">
        <v>19</v>
      </c>
      <c r="J11" s="5">
        <f t="shared" ref="J11:J18" si="0">+D11+1</f>
        <v>46233</v>
      </c>
      <c r="K11" s="13" t="s">
        <v>887</v>
      </c>
    </row>
    <row r="12" spans="1:11" ht="15.75" x14ac:dyDescent="0.25">
      <c r="A12" s="3">
        <v>2</v>
      </c>
      <c r="B12" s="3" t="s">
        <v>875</v>
      </c>
      <c r="C12" s="80">
        <v>3855</v>
      </c>
      <c r="D12" s="5">
        <f t="shared" ref="D12:D18" si="1">+D11</f>
        <v>46232</v>
      </c>
      <c r="E12" s="14">
        <v>0</v>
      </c>
      <c r="F12" s="13" t="s">
        <v>18</v>
      </c>
      <c r="G12" s="55">
        <v>3319</v>
      </c>
      <c r="H12" s="16">
        <v>0</v>
      </c>
      <c r="I12" s="3" t="s">
        <v>15</v>
      </c>
      <c r="J12" s="5">
        <f t="shared" si="0"/>
        <v>46233</v>
      </c>
      <c r="K12" s="13" t="s">
        <v>115</v>
      </c>
    </row>
    <row r="13" spans="1:11" ht="15.75" x14ac:dyDescent="0.25">
      <c r="A13" s="3">
        <v>3</v>
      </c>
      <c r="B13" s="3" t="s">
        <v>876</v>
      </c>
      <c r="C13" s="80">
        <v>6160</v>
      </c>
      <c r="D13" s="5">
        <f t="shared" si="1"/>
        <v>46232</v>
      </c>
      <c r="E13" s="14">
        <v>0</v>
      </c>
      <c r="F13" s="13" t="s">
        <v>18</v>
      </c>
      <c r="G13" s="55">
        <v>6050</v>
      </c>
      <c r="H13" s="16">
        <v>0</v>
      </c>
      <c r="I13" s="3" t="s">
        <v>15</v>
      </c>
      <c r="J13" s="5">
        <f t="shared" si="0"/>
        <v>46233</v>
      </c>
      <c r="K13" s="13" t="s">
        <v>115</v>
      </c>
    </row>
    <row r="14" spans="1:11" ht="15.75" x14ac:dyDescent="0.25">
      <c r="A14" s="3">
        <v>4</v>
      </c>
      <c r="B14" s="3" t="s">
        <v>877</v>
      </c>
      <c r="C14" s="80">
        <v>5180</v>
      </c>
      <c r="D14" s="5">
        <f t="shared" si="1"/>
        <v>46232</v>
      </c>
      <c r="E14" s="14">
        <v>0</v>
      </c>
      <c r="F14" s="13" t="s">
        <v>18</v>
      </c>
      <c r="G14" s="55">
        <v>5821</v>
      </c>
      <c r="H14" s="16">
        <v>0</v>
      </c>
      <c r="I14" s="3" t="s">
        <v>15</v>
      </c>
      <c r="J14" s="5">
        <f t="shared" si="0"/>
        <v>46233</v>
      </c>
      <c r="K14" s="13" t="s">
        <v>115</v>
      </c>
    </row>
    <row r="15" spans="1:11" ht="15.75" x14ac:dyDescent="0.25">
      <c r="A15" s="3">
        <v>5</v>
      </c>
      <c r="B15" s="3" t="s">
        <v>878</v>
      </c>
      <c r="C15" s="80">
        <v>1000</v>
      </c>
      <c r="D15" s="5">
        <f t="shared" si="1"/>
        <v>46232</v>
      </c>
      <c r="E15" s="14">
        <v>0</v>
      </c>
      <c r="F15" s="13" t="s">
        <v>18</v>
      </c>
      <c r="G15" s="55">
        <v>73</v>
      </c>
      <c r="H15" s="16">
        <v>0</v>
      </c>
      <c r="I15" s="3" t="s">
        <v>15</v>
      </c>
      <c r="J15" s="5">
        <f t="shared" si="0"/>
        <v>46233</v>
      </c>
      <c r="K15" s="100" t="s">
        <v>882</v>
      </c>
    </row>
    <row r="16" spans="1:11" ht="15.75" x14ac:dyDescent="0.25">
      <c r="A16" s="3">
        <v>6</v>
      </c>
      <c r="B16" s="3" t="s">
        <v>879</v>
      </c>
      <c r="C16" s="80">
        <v>325</v>
      </c>
      <c r="D16" s="5">
        <f t="shared" si="1"/>
        <v>46232</v>
      </c>
      <c r="E16" s="14">
        <v>0</v>
      </c>
      <c r="F16" s="13" t="s">
        <v>18</v>
      </c>
      <c r="G16" s="55">
        <v>3073</v>
      </c>
      <c r="H16" s="16">
        <v>0</v>
      </c>
      <c r="I16" s="3" t="s">
        <v>15</v>
      </c>
      <c r="J16" s="5">
        <f t="shared" si="0"/>
        <v>46233</v>
      </c>
      <c r="K16" s="13" t="s">
        <v>745</v>
      </c>
    </row>
    <row r="17" spans="1:11" ht="15.75" x14ac:dyDescent="0.25">
      <c r="A17" s="3">
        <v>7</v>
      </c>
      <c r="B17" s="3" t="s">
        <v>880</v>
      </c>
      <c r="C17" s="80">
        <v>560</v>
      </c>
      <c r="D17" s="5">
        <f t="shared" si="1"/>
        <v>46232</v>
      </c>
      <c r="E17" s="14">
        <v>0</v>
      </c>
      <c r="F17" s="13" t="s">
        <v>18</v>
      </c>
      <c r="G17" s="55">
        <v>7139</v>
      </c>
      <c r="H17" s="16">
        <v>0</v>
      </c>
      <c r="I17" s="3" t="s">
        <v>15</v>
      </c>
      <c r="J17" s="5">
        <f t="shared" si="0"/>
        <v>46233</v>
      </c>
      <c r="K17" s="13" t="s">
        <v>204</v>
      </c>
    </row>
    <row r="18" spans="1:11" ht="15.75" x14ac:dyDescent="0.25">
      <c r="A18" s="3">
        <v>8</v>
      </c>
      <c r="B18" s="3" t="s">
        <v>455</v>
      </c>
      <c r="C18" s="80">
        <v>770</v>
      </c>
      <c r="D18" s="5">
        <f t="shared" si="1"/>
        <v>46232</v>
      </c>
      <c r="E18" s="14">
        <v>0</v>
      </c>
      <c r="F18" s="13" t="s">
        <v>18</v>
      </c>
      <c r="G18" s="55">
        <v>6037</v>
      </c>
      <c r="H18" s="16">
        <v>0</v>
      </c>
      <c r="I18" s="3" t="s">
        <v>15</v>
      </c>
      <c r="J18" s="5">
        <f t="shared" si="0"/>
        <v>46233</v>
      </c>
      <c r="K18" s="13" t="s">
        <v>115</v>
      </c>
    </row>
    <row r="19" spans="1:11" ht="18.75" x14ac:dyDescent="0.3">
      <c r="A19" s="3"/>
      <c r="B19" s="17" t="s">
        <v>16</v>
      </c>
      <c r="C19" s="82">
        <f>SUM(C11:C18)</f>
        <v>21850</v>
      </c>
      <c r="D19" s="3"/>
      <c r="E19" s="3"/>
      <c r="F19" s="13"/>
      <c r="G19" s="13"/>
      <c r="H19" s="11"/>
      <c r="I19" s="3"/>
      <c r="J19" s="3"/>
      <c r="K19" s="3"/>
    </row>
    <row r="20" spans="1:11" ht="21" x14ac:dyDescent="0.35">
      <c r="A20" s="135" t="s">
        <v>20</v>
      </c>
      <c r="B20" s="136"/>
      <c r="C20" s="136"/>
      <c r="D20" s="136"/>
      <c r="E20" s="136"/>
      <c r="F20" s="136"/>
      <c r="G20" s="136"/>
      <c r="H20" s="136"/>
      <c r="I20" s="136"/>
      <c r="J20" s="136"/>
      <c r="K20" s="137"/>
    </row>
    <row r="21" spans="1:11" ht="18.75" x14ac:dyDescent="0.3">
      <c r="A21" s="19" t="s">
        <v>3</v>
      </c>
      <c r="B21" s="19" t="s">
        <v>21</v>
      </c>
      <c r="C21" s="50" t="s">
        <v>5</v>
      </c>
      <c r="D21" s="1" t="s">
        <v>22</v>
      </c>
      <c r="E21" s="19" t="s">
        <v>7</v>
      </c>
      <c r="F21" s="19" t="s">
        <v>8</v>
      </c>
      <c r="G21" s="19" t="s">
        <v>23</v>
      </c>
      <c r="H21" s="20" t="s">
        <v>24</v>
      </c>
      <c r="I21" s="19" t="s">
        <v>11</v>
      </c>
      <c r="J21" s="19" t="s">
        <v>25</v>
      </c>
      <c r="K21" s="21" t="s">
        <v>26</v>
      </c>
    </row>
    <row r="22" spans="1:11" ht="15.75" x14ac:dyDescent="0.25">
      <c r="A22" s="8">
        <v>1</v>
      </c>
      <c r="B22" s="8" t="s">
        <v>883</v>
      </c>
      <c r="C22" s="75">
        <v>500000</v>
      </c>
      <c r="D22" s="5">
        <v>46232</v>
      </c>
      <c r="E22" s="8"/>
      <c r="F22" s="8"/>
      <c r="G22" s="22">
        <v>12</v>
      </c>
      <c r="H22" s="23"/>
      <c r="I22" s="24"/>
      <c r="J22" s="5">
        <v>46232</v>
      </c>
      <c r="K22" s="13" t="s">
        <v>888</v>
      </c>
    </row>
    <row r="23" spans="1:11" ht="15.75" x14ac:dyDescent="0.25">
      <c r="A23" s="8">
        <v>2</v>
      </c>
      <c r="B23" s="8" t="s">
        <v>884</v>
      </c>
      <c r="C23" s="75">
        <v>10000</v>
      </c>
      <c r="D23" s="5">
        <v>46232</v>
      </c>
      <c r="E23" s="8"/>
      <c r="F23" s="8"/>
      <c r="G23" s="22">
        <v>4696</v>
      </c>
      <c r="H23" s="23"/>
      <c r="I23" s="24"/>
      <c r="J23" s="5">
        <v>46232</v>
      </c>
      <c r="K23" s="13" t="s">
        <v>90</v>
      </c>
    </row>
    <row r="24" spans="1:11" ht="15.75" x14ac:dyDescent="0.25">
      <c r="A24" s="8">
        <v>3</v>
      </c>
      <c r="B24" s="8" t="s">
        <v>885</v>
      </c>
      <c r="C24" s="75">
        <v>2000</v>
      </c>
      <c r="D24" s="5">
        <v>46232</v>
      </c>
      <c r="E24" s="8"/>
      <c r="F24" s="8"/>
      <c r="G24" s="22">
        <v>3464</v>
      </c>
      <c r="H24" s="23"/>
      <c r="I24" s="24"/>
      <c r="J24" s="5">
        <v>46232</v>
      </c>
      <c r="K24" s="13" t="s">
        <v>889</v>
      </c>
    </row>
    <row r="25" spans="1:11" ht="15.75" x14ac:dyDescent="0.25">
      <c r="A25" s="8">
        <v>4</v>
      </c>
      <c r="B25" s="8" t="s">
        <v>885</v>
      </c>
      <c r="C25" s="75">
        <v>1000</v>
      </c>
      <c r="D25" s="5">
        <v>46232</v>
      </c>
      <c r="E25" s="8"/>
      <c r="F25" s="8"/>
      <c r="G25" s="22">
        <v>1832</v>
      </c>
      <c r="H25" s="23"/>
      <c r="I25" s="24"/>
      <c r="J25" s="5">
        <v>46232</v>
      </c>
      <c r="K25" s="13" t="s">
        <v>889</v>
      </c>
    </row>
    <row r="26" spans="1:11" ht="15.75" x14ac:dyDescent="0.25">
      <c r="A26" s="8">
        <v>5</v>
      </c>
      <c r="B26" s="8" t="s">
        <v>470</v>
      </c>
      <c r="C26" s="75">
        <v>1000</v>
      </c>
      <c r="D26" s="5">
        <v>46232</v>
      </c>
      <c r="E26" s="8"/>
      <c r="F26" s="8"/>
      <c r="G26" s="22">
        <v>4113</v>
      </c>
      <c r="H26" s="23"/>
      <c r="I26" s="24"/>
      <c r="J26" s="5">
        <v>46232</v>
      </c>
      <c r="K26" s="13" t="s">
        <v>890</v>
      </c>
    </row>
    <row r="27" spans="1:11" ht="18.75" x14ac:dyDescent="0.25">
      <c r="A27" s="8"/>
      <c r="B27" s="25" t="s">
        <v>27</v>
      </c>
      <c r="C27" s="83">
        <f>SUM(C22:C26)</f>
        <v>514000</v>
      </c>
      <c r="D27" s="3"/>
      <c r="E27" s="8"/>
      <c r="F27" s="8"/>
      <c r="G27" s="8"/>
      <c r="H27" s="27">
        <v>0</v>
      </c>
      <c r="I27" s="24"/>
      <c r="J27" s="3"/>
      <c r="K27" s="28"/>
    </row>
    <row r="28" spans="1:11" x14ac:dyDescent="0.25">
      <c r="C28" s="29"/>
      <c r="H28" s="29"/>
    </row>
    <row r="29" spans="1:11" ht="16.5" x14ac:dyDescent="0.3">
      <c r="B29" s="30" t="s">
        <v>28</v>
      </c>
      <c r="C29" s="76">
        <f>SUM(C17,C16,C15)</f>
        <v>1885</v>
      </c>
      <c r="E29" s="32"/>
      <c r="F29" s="32"/>
      <c r="G29" s="116"/>
      <c r="H29" s="116"/>
    </row>
    <row r="30" spans="1:11" ht="16.5" x14ac:dyDescent="0.3">
      <c r="B30" s="33" t="s">
        <v>29</v>
      </c>
      <c r="C30" s="77">
        <f>SUM(C18,C14,C13,C12)</f>
        <v>15965</v>
      </c>
      <c r="E30" s="35"/>
      <c r="F30" s="35"/>
      <c r="G30" s="36" t="s">
        <v>30</v>
      </c>
      <c r="H30" s="37"/>
    </row>
    <row r="31" spans="1:11" ht="24" x14ac:dyDescent="0.4">
      <c r="B31" s="38" t="s">
        <v>700</v>
      </c>
      <c r="C31" s="78">
        <f>SUM(C11)</f>
        <v>4000</v>
      </c>
      <c r="E31" s="40" t="s">
        <v>32</v>
      </c>
      <c r="F31" s="41"/>
      <c r="G31" s="42"/>
      <c r="H31" s="43"/>
      <c r="I31" s="42"/>
      <c r="J31" s="44"/>
    </row>
    <row r="32" spans="1:11" ht="18.75" x14ac:dyDescent="0.3">
      <c r="B32" s="45" t="s">
        <v>16</v>
      </c>
      <c r="C32" s="79">
        <f>SUM(C29:C31)</f>
        <v>21850</v>
      </c>
      <c r="G32" s="36"/>
      <c r="H32" s="37"/>
      <c r="I32" s="36"/>
      <c r="J32" s="36"/>
    </row>
  </sheetData>
  <mergeCells count="6">
    <mergeCell ref="G29:H29"/>
    <mergeCell ref="A1:K1"/>
    <mergeCell ref="A2:K2"/>
    <mergeCell ref="A3:K3"/>
    <mergeCell ref="A10:K10"/>
    <mergeCell ref="A20:K20"/>
  </mergeCells>
  <pageMargins left="0.59055118110236215" right="0.15748031496062992" top="0.47244094488188976" bottom="0.23622047244094488" header="0.31496062992125984" footer="0.31496062992125984"/>
  <pageSetup scale="83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8FC65-0E81-4F94-80D6-A4C11BEEF9F1}">
  <sheetPr>
    <pageSetUpPr fitToPage="1"/>
  </sheetPr>
  <dimension ref="A1:K34"/>
  <sheetViews>
    <sheetView topLeftCell="A15" workbookViewId="0">
      <selection activeCell="N25" sqref="N25"/>
    </sheetView>
  </sheetViews>
  <sheetFormatPr defaultRowHeight="15" x14ac:dyDescent="0.25"/>
  <cols>
    <col min="1" max="1" width="4.42578125" bestFit="1" customWidth="1"/>
    <col min="2" max="2" width="24.5703125" customWidth="1"/>
    <col min="3" max="3" width="14.4257812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34" bestFit="1" customWidth="1"/>
    <col min="14" max="14" width="13.140625" bestFit="1" customWidth="1"/>
  </cols>
  <sheetData>
    <row r="1" spans="1:11" ht="24.75" x14ac:dyDescent="0.25">
      <c r="A1" s="117" t="s">
        <v>829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835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786</v>
      </c>
      <c r="C5" s="80">
        <v>1000</v>
      </c>
      <c r="D5" s="5">
        <v>46233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 t="shared" ref="J5:J10" si="0">+D5-1</f>
        <v>46232</v>
      </c>
      <c r="K5" s="8" t="s">
        <v>901</v>
      </c>
    </row>
    <row r="6" spans="1:11" ht="15.75" x14ac:dyDescent="0.25">
      <c r="A6" s="3">
        <v>2</v>
      </c>
      <c r="B6" s="3" t="s">
        <v>45</v>
      </c>
      <c r="C6" s="80">
        <v>98500</v>
      </c>
      <c r="D6" s="5">
        <v>46233</v>
      </c>
      <c r="E6" s="6">
        <v>0</v>
      </c>
      <c r="F6" s="3" t="s">
        <v>14</v>
      </c>
      <c r="G6" s="49">
        <v>6823</v>
      </c>
      <c r="H6" s="7">
        <v>0</v>
      </c>
      <c r="I6" s="3" t="s">
        <v>15</v>
      </c>
      <c r="J6" s="5">
        <f t="shared" si="0"/>
        <v>46232</v>
      </c>
      <c r="K6" s="8" t="s">
        <v>46</v>
      </c>
    </row>
    <row r="7" spans="1:11" ht="15.75" x14ac:dyDescent="0.25">
      <c r="A7" s="3">
        <v>3</v>
      </c>
      <c r="B7" s="3" t="s">
        <v>45</v>
      </c>
      <c r="C7" s="80">
        <v>98500</v>
      </c>
      <c r="D7" s="5">
        <v>46233</v>
      </c>
      <c r="E7" s="6">
        <v>0</v>
      </c>
      <c r="F7" s="3" t="s">
        <v>14</v>
      </c>
      <c r="G7" s="49">
        <v>6826</v>
      </c>
      <c r="H7" s="7">
        <v>0</v>
      </c>
      <c r="I7" s="3" t="s">
        <v>15</v>
      </c>
      <c r="J7" s="5">
        <f t="shared" si="0"/>
        <v>46232</v>
      </c>
      <c r="K7" s="8" t="s">
        <v>46</v>
      </c>
    </row>
    <row r="8" spans="1:11" ht="15.75" x14ac:dyDescent="0.25">
      <c r="A8" s="3">
        <v>4</v>
      </c>
      <c r="B8" s="3" t="s">
        <v>45</v>
      </c>
      <c r="C8" s="80">
        <v>70000</v>
      </c>
      <c r="D8" s="5">
        <v>46233</v>
      </c>
      <c r="E8" s="6">
        <v>0</v>
      </c>
      <c r="F8" s="3" t="s">
        <v>14</v>
      </c>
      <c r="G8" s="49">
        <v>6829</v>
      </c>
      <c r="H8" s="7">
        <v>0</v>
      </c>
      <c r="I8" s="3" t="s">
        <v>15</v>
      </c>
      <c r="J8" s="5">
        <f t="shared" si="0"/>
        <v>46232</v>
      </c>
      <c r="K8" s="8" t="s">
        <v>46</v>
      </c>
    </row>
    <row r="9" spans="1:11" ht="15.75" x14ac:dyDescent="0.25">
      <c r="A9" s="3">
        <v>5</v>
      </c>
      <c r="B9" s="3" t="s">
        <v>45</v>
      </c>
      <c r="C9" s="80">
        <v>2500</v>
      </c>
      <c r="D9" s="5">
        <v>46233</v>
      </c>
      <c r="E9" s="6">
        <v>0</v>
      </c>
      <c r="F9" s="3" t="s">
        <v>14</v>
      </c>
      <c r="G9" s="49">
        <v>6832</v>
      </c>
      <c r="H9" s="7">
        <v>0</v>
      </c>
      <c r="I9" s="3" t="s">
        <v>15</v>
      </c>
      <c r="J9" s="5">
        <f t="shared" si="0"/>
        <v>46232</v>
      </c>
      <c r="K9" s="8" t="s">
        <v>46</v>
      </c>
    </row>
    <row r="10" spans="1:11" ht="15.75" x14ac:dyDescent="0.25">
      <c r="A10" s="3">
        <v>6</v>
      </c>
      <c r="B10" s="3" t="s">
        <v>45</v>
      </c>
      <c r="C10" s="80">
        <v>9300</v>
      </c>
      <c r="D10" s="5">
        <v>46233</v>
      </c>
      <c r="E10" s="6">
        <v>0</v>
      </c>
      <c r="F10" s="3" t="s">
        <v>14</v>
      </c>
      <c r="G10" s="49">
        <v>9835</v>
      </c>
      <c r="H10" s="7">
        <v>0</v>
      </c>
      <c r="I10" s="3" t="s">
        <v>15</v>
      </c>
      <c r="J10" s="5">
        <f t="shared" si="0"/>
        <v>46232</v>
      </c>
      <c r="K10" s="8" t="s">
        <v>46</v>
      </c>
    </row>
    <row r="11" spans="1:11" ht="18.75" x14ac:dyDescent="0.3">
      <c r="A11" s="9"/>
      <c r="B11" s="10" t="s">
        <v>16</v>
      </c>
      <c r="C11" s="81">
        <f>SUM(C5:C10)</f>
        <v>279800</v>
      </c>
      <c r="D11" s="3"/>
      <c r="E11" s="12"/>
      <c r="F11" s="9"/>
      <c r="G11" s="13"/>
      <c r="H11" s="11">
        <f>SUM(H5:H5)</f>
        <v>0</v>
      </c>
      <c r="I11" s="9"/>
      <c r="J11" s="9"/>
      <c r="K11" s="9"/>
    </row>
    <row r="13" spans="1:11" ht="24" x14ac:dyDescent="0.4">
      <c r="A13" s="122" t="s">
        <v>17</v>
      </c>
      <c r="B13" s="123"/>
      <c r="C13" s="123"/>
      <c r="D13" s="123"/>
      <c r="E13" s="123"/>
      <c r="F13" s="123"/>
      <c r="G13" s="123"/>
      <c r="H13" s="123"/>
      <c r="I13" s="123"/>
      <c r="J13" s="123"/>
      <c r="K13" s="124"/>
    </row>
    <row r="14" spans="1:11" ht="15.75" x14ac:dyDescent="0.25">
      <c r="A14" s="3">
        <v>1</v>
      </c>
      <c r="B14" s="3" t="s">
        <v>891</v>
      </c>
      <c r="C14" s="80">
        <v>1000</v>
      </c>
      <c r="D14" s="5">
        <v>46233</v>
      </c>
      <c r="E14" s="14">
        <v>0</v>
      </c>
      <c r="F14" s="13" t="s">
        <v>18</v>
      </c>
      <c r="G14" s="55">
        <v>9699</v>
      </c>
      <c r="H14" s="16">
        <v>0</v>
      </c>
      <c r="I14" s="3" t="s">
        <v>19</v>
      </c>
      <c r="J14" s="5">
        <f t="shared" ref="J14:J21" si="1">+D14+1</f>
        <v>46234</v>
      </c>
      <c r="K14" s="13" t="s">
        <v>203</v>
      </c>
    </row>
    <row r="15" spans="1:11" ht="15.75" x14ac:dyDescent="0.25">
      <c r="A15" s="3">
        <v>2</v>
      </c>
      <c r="B15" s="3" t="s">
        <v>891</v>
      </c>
      <c r="C15" s="80">
        <v>2000</v>
      </c>
      <c r="D15" s="5">
        <f t="shared" ref="D15:D21" si="2">+D14</f>
        <v>46233</v>
      </c>
      <c r="E15" s="14">
        <v>0</v>
      </c>
      <c r="F15" s="13" t="s">
        <v>18</v>
      </c>
      <c r="G15" s="55">
        <v>5280</v>
      </c>
      <c r="H15" s="16">
        <v>0</v>
      </c>
      <c r="I15" s="3" t="s">
        <v>15</v>
      </c>
      <c r="J15" s="5">
        <f t="shared" si="1"/>
        <v>46234</v>
      </c>
      <c r="K15" s="13" t="s">
        <v>203</v>
      </c>
    </row>
    <row r="16" spans="1:11" ht="15.75" x14ac:dyDescent="0.25">
      <c r="A16" s="3">
        <v>3</v>
      </c>
      <c r="B16" s="3" t="s">
        <v>892</v>
      </c>
      <c r="C16" s="80">
        <v>1900</v>
      </c>
      <c r="D16" s="5">
        <f t="shared" si="2"/>
        <v>46233</v>
      </c>
      <c r="E16" s="14">
        <v>0</v>
      </c>
      <c r="F16" s="13" t="s">
        <v>18</v>
      </c>
      <c r="G16" s="55">
        <v>7756</v>
      </c>
      <c r="H16" s="16">
        <v>0</v>
      </c>
      <c r="I16" s="3" t="s">
        <v>15</v>
      </c>
      <c r="J16" s="5">
        <f t="shared" si="1"/>
        <v>46234</v>
      </c>
      <c r="K16" s="13" t="s">
        <v>203</v>
      </c>
    </row>
    <row r="17" spans="1:11" ht="15.75" x14ac:dyDescent="0.25">
      <c r="A17" s="3">
        <v>4</v>
      </c>
      <c r="B17" s="3" t="s">
        <v>893</v>
      </c>
      <c r="C17" s="80">
        <v>135</v>
      </c>
      <c r="D17" s="5">
        <f t="shared" si="2"/>
        <v>46233</v>
      </c>
      <c r="E17" s="14">
        <v>0</v>
      </c>
      <c r="F17" s="13" t="s">
        <v>18</v>
      </c>
      <c r="G17" s="55">
        <v>6118</v>
      </c>
      <c r="H17" s="16">
        <v>0</v>
      </c>
      <c r="I17" s="3" t="s">
        <v>15</v>
      </c>
      <c r="J17" s="5">
        <f t="shared" si="1"/>
        <v>46234</v>
      </c>
      <c r="K17" s="13" t="s">
        <v>115</v>
      </c>
    </row>
    <row r="18" spans="1:11" ht="15.75" x14ac:dyDescent="0.25">
      <c r="A18" s="3">
        <v>5</v>
      </c>
      <c r="B18" s="3" t="s">
        <v>894</v>
      </c>
      <c r="C18" s="80">
        <v>1755</v>
      </c>
      <c r="D18" s="5">
        <f t="shared" si="2"/>
        <v>46233</v>
      </c>
      <c r="E18" s="14">
        <v>0</v>
      </c>
      <c r="F18" s="13" t="s">
        <v>18</v>
      </c>
      <c r="G18" s="55">
        <v>3347</v>
      </c>
      <c r="H18" s="16">
        <v>0</v>
      </c>
      <c r="I18" s="3" t="s">
        <v>15</v>
      </c>
      <c r="J18" s="5">
        <f t="shared" si="1"/>
        <v>46234</v>
      </c>
      <c r="K18" s="13" t="s">
        <v>115</v>
      </c>
    </row>
    <row r="19" spans="1:11" ht="15.75" x14ac:dyDescent="0.25">
      <c r="A19" s="3">
        <v>6</v>
      </c>
      <c r="B19" s="3" t="s">
        <v>895</v>
      </c>
      <c r="C19" s="80">
        <v>100000</v>
      </c>
      <c r="D19" s="5">
        <f t="shared" si="2"/>
        <v>46233</v>
      </c>
      <c r="E19" s="14">
        <v>0</v>
      </c>
      <c r="F19" s="13" t="s">
        <v>18</v>
      </c>
      <c r="G19" s="55">
        <v>1217</v>
      </c>
      <c r="H19" s="16">
        <v>0</v>
      </c>
      <c r="I19" s="3" t="s">
        <v>15</v>
      </c>
      <c r="J19" s="5">
        <f t="shared" si="1"/>
        <v>46234</v>
      </c>
      <c r="K19" s="13" t="s">
        <v>900</v>
      </c>
    </row>
    <row r="20" spans="1:11" ht="15.75" x14ac:dyDescent="0.25">
      <c r="A20" s="3">
        <v>7</v>
      </c>
      <c r="B20" s="3" t="s">
        <v>896</v>
      </c>
      <c r="C20" s="80">
        <v>1500</v>
      </c>
      <c r="D20" s="5">
        <f t="shared" si="2"/>
        <v>46233</v>
      </c>
      <c r="E20" s="14">
        <v>0</v>
      </c>
      <c r="F20" s="13" t="s">
        <v>18</v>
      </c>
      <c r="G20" s="55">
        <v>787</v>
      </c>
      <c r="H20" s="16">
        <v>0</v>
      </c>
      <c r="I20" s="3" t="s">
        <v>15</v>
      </c>
      <c r="J20" s="5">
        <f t="shared" si="1"/>
        <v>46234</v>
      </c>
      <c r="K20" s="13" t="s">
        <v>115</v>
      </c>
    </row>
    <row r="21" spans="1:11" ht="15.75" x14ac:dyDescent="0.25">
      <c r="A21" s="3">
        <v>8</v>
      </c>
      <c r="B21" s="3" t="s">
        <v>897</v>
      </c>
      <c r="C21" s="80">
        <v>1000</v>
      </c>
      <c r="D21" s="5">
        <f t="shared" si="2"/>
        <v>46233</v>
      </c>
      <c r="E21" s="14">
        <v>0</v>
      </c>
      <c r="F21" s="13" t="s">
        <v>18</v>
      </c>
      <c r="G21" s="55">
        <v>2817</v>
      </c>
      <c r="H21" s="16">
        <v>0</v>
      </c>
      <c r="I21" s="3" t="s">
        <v>15</v>
      </c>
      <c r="J21" s="5">
        <f t="shared" si="1"/>
        <v>46234</v>
      </c>
      <c r="K21" s="13" t="s">
        <v>115</v>
      </c>
    </row>
    <row r="22" spans="1:11" ht="18.75" x14ac:dyDescent="0.3">
      <c r="A22" s="3"/>
      <c r="B22" s="17" t="s">
        <v>16</v>
      </c>
      <c r="C22" s="82">
        <f>SUM(C14:C21)</f>
        <v>109290</v>
      </c>
      <c r="D22" s="3"/>
      <c r="E22" s="3"/>
      <c r="F22" s="13"/>
      <c r="G22" s="13"/>
      <c r="H22" s="11"/>
      <c r="I22" s="3"/>
      <c r="J22" s="3"/>
      <c r="K22" s="3"/>
    </row>
    <row r="23" spans="1:11" ht="21" x14ac:dyDescent="0.35">
      <c r="A23" s="135" t="s">
        <v>20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7"/>
    </row>
    <row r="24" spans="1:11" ht="18.75" x14ac:dyDescent="0.3">
      <c r="A24" s="19" t="s">
        <v>3</v>
      </c>
      <c r="B24" s="19" t="s">
        <v>21</v>
      </c>
      <c r="C24" s="5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75" x14ac:dyDescent="0.25">
      <c r="A25" s="8">
        <v>1</v>
      </c>
      <c r="B25" s="8" t="s">
        <v>41</v>
      </c>
      <c r="C25" s="75">
        <v>35001</v>
      </c>
      <c r="D25" s="5">
        <v>46233</v>
      </c>
      <c r="E25" s="8"/>
      <c r="F25" s="8"/>
      <c r="G25" s="22">
        <v>65</v>
      </c>
      <c r="H25" s="23"/>
      <c r="I25" s="24"/>
      <c r="J25" s="5">
        <v>46233</v>
      </c>
      <c r="K25" s="13" t="s">
        <v>115</v>
      </c>
    </row>
    <row r="26" spans="1:11" ht="15.75" x14ac:dyDescent="0.25">
      <c r="A26" s="8">
        <v>2</v>
      </c>
      <c r="B26" s="8" t="s">
        <v>898</v>
      </c>
      <c r="C26" s="75">
        <v>60000</v>
      </c>
      <c r="D26" s="5">
        <v>46233</v>
      </c>
      <c r="E26" s="8"/>
      <c r="F26" s="8"/>
      <c r="G26" s="22">
        <v>8452</v>
      </c>
      <c r="H26" s="23"/>
      <c r="I26" s="24"/>
      <c r="J26" s="5">
        <v>46233</v>
      </c>
      <c r="K26" s="13" t="s">
        <v>902</v>
      </c>
    </row>
    <row r="27" spans="1:11" ht="15.75" x14ac:dyDescent="0.25">
      <c r="A27" s="8">
        <v>3</v>
      </c>
      <c r="B27" s="8" t="s">
        <v>642</v>
      </c>
      <c r="C27" s="75">
        <v>200000</v>
      </c>
      <c r="D27" s="5">
        <v>46233</v>
      </c>
      <c r="E27" s="8"/>
      <c r="F27" s="8"/>
      <c r="G27" s="22">
        <v>7187</v>
      </c>
      <c r="H27" s="23"/>
      <c r="I27" s="24"/>
      <c r="J27" s="5">
        <v>46233</v>
      </c>
      <c r="K27" s="13" t="s">
        <v>703</v>
      </c>
    </row>
    <row r="28" spans="1:11" ht="15.75" x14ac:dyDescent="0.25">
      <c r="A28" s="8">
        <v>4</v>
      </c>
      <c r="B28" s="8" t="s">
        <v>899</v>
      </c>
      <c r="C28" s="75">
        <v>101228</v>
      </c>
      <c r="D28" s="5">
        <v>46233</v>
      </c>
      <c r="E28" s="8"/>
      <c r="F28" s="8"/>
      <c r="G28" s="22">
        <v>166</v>
      </c>
      <c r="H28" s="23"/>
      <c r="I28" s="24"/>
      <c r="J28" s="5">
        <v>46233</v>
      </c>
      <c r="K28" s="13" t="s">
        <v>903</v>
      </c>
    </row>
    <row r="29" spans="1:11" ht="18.75" x14ac:dyDescent="0.25">
      <c r="A29" s="8"/>
      <c r="B29" s="25" t="s">
        <v>27</v>
      </c>
      <c r="C29" s="83">
        <f>SUM(C25:C28)</f>
        <v>396229</v>
      </c>
      <c r="D29" s="3"/>
      <c r="E29" s="8"/>
      <c r="F29" s="8"/>
      <c r="G29" s="8"/>
      <c r="H29" s="27">
        <v>0</v>
      </c>
      <c r="I29" s="24"/>
      <c r="J29" s="3"/>
      <c r="K29" s="28"/>
    </row>
    <row r="30" spans="1:11" x14ac:dyDescent="0.25">
      <c r="C30" s="29"/>
      <c r="H30" s="29"/>
    </row>
    <row r="31" spans="1:11" ht="16.5" x14ac:dyDescent="0.3">
      <c r="B31" s="30" t="s">
        <v>28</v>
      </c>
      <c r="C31" s="76">
        <f>SUM(C14,C15,C16)</f>
        <v>4900</v>
      </c>
      <c r="E31" s="32"/>
      <c r="F31" s="32"/>
      <c r="G31" s="116"/>
      <c r="H31" s="116"/>
    </row>
    <row r="32" spans="1:11" ht="16.5" x14ac:dyDescent="0.3">
      <c r="B32" s="33" t="s">
        <v>29</v>
      </c>
      <c r="C32" s="77">
        <f>SUM(C21,C20,C18,C17)</f>
        <v>4390</v>
      </c>
      <c r="E32" s="35"/>
      <c r="F32" s="35"/>
      <c r="G32" s="36" t="s">
        <v>30</v>
      </c>
      <c r="H32" s="37"/>
    </row>
    <row r="33" spans="2:10" ht="24" x14ac:dyDescent="0.4">
      <c r="B33" s="38" t="s">
        <v>187</v>
      </c>
      <c r="C33" s="78">
        <v>100000</v>
      </c>
      <c r="E33" s="40" t="s">
        <v>32</v>
      </c>
      <c r="F33" s="41"/>
      <c r="G33" s="42"/>
      <c r="H33" s="43"/>
      <c r="I33" s="42"/>
      <c r="J33" s="44"/>
    </row>
    <row r="34" spans="2:10" ht="18.75" x14ac:dyDescent="0.3">
      <c r="B34" s="45" t="s">
        <v>16</v>
      </c>
      <c r="C34" s="79">
        <f>SUM(C31:C33)</f>
        <v>109290</v>
      </c>
      <c r="G34" s="36"/>
      <c r="H34" s="37"/>
      <c r="I34" s="36"/>
      <c r="J34" s="36"/>
    </row>
  </sheetData>
  <mergeCells count="6">
    <mergeCell ref="G31:H31"/>
    <mergeCell ref="A1:K1"/>
    <mergeCell ref="A2:K2"/>
    <mergeCell ref="A3:K3"/>
    <mergeCell ref="A13:K13"/>
    <mergeCell ref="A23:K23"/>
  </mergeCells>
  <pageMargins left="0.59055118110236215" right="0.15748031496062992" top="0.47244094488188976" bottom="0.23622047244094488" header="0.31496062992125984" footer="0.31496062992125984"/>
  <pageSetup scale="81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F0B12-D38A-4A6C-A884-37E80CF58FC7}">
  <sheetPr>
    <pageSetUpPr fitToPage="1"/>
  </sheetPr>
  <dimension ref="A1:K29"/>
  <sheetViews>
    <sheetView workbookViewId="0">
      <selection activeCell="A2" sqref="A2:K2"/>
    </sheetView>
  </sheetViews>
  <sheetFormatPr defaultRowHeight="15" x14ac:dyDescent="0.25"/>
  <cols>
    <col min="1" max="1" width="4.42578125" bestFit="1" customWidth="1"/>
    <col min="2" max="2" width="25.28515625" customWidth="1"/>
    <col min="3" max="3" width="15.5703125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34.28515625" customWidth="1"/>
  </cols>
  <sheetData>
    <row r="1" spans="1:11" ht="24.75" x14ac:dyDescent="0.25">
      <c r="A1" s="117" t="s">
        <v>829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836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46234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46233</v>
      </c>
      <c r="K5" s="8" t="s">
        <v>33</v>
      </c>
    </row>
    <row r="6" spans="1:11" ht="18.75" x14ac:dyDescent="0.3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4" x14ac:dyDescent="0.4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75" x14ac:dyDescent="0.25">
      <c r="A9" s="3">
        <v>1</v>
      </c>
      <c r="B9" s="3" t="s">
        <v>904</v>
      </c>
      <c r="C9" s="80">
        <v>450</v>
      </c>
      <c r="D9" s="5">
        <v>46234</v>
      </c>
      <c r="E9" s="14">
        <v>0</v>
      </c>
      <c r="F9" s="13" t="s">
        <v>18</v>
      </c>
      <c r="G9" s="55">
        <v>7636</v>
      </c>
      <c r="H9" s="16">
        <v>0</v>
      </c>
      <c r="I9" s="3" t="s">
        <v>19</v>
      </c>
      <c r="J9" s="5">
        <f t="shared" ref="J9:J18" si="0">+D9+1</f>
        <v>46235</v>
      </c>
      <c r="K9" s="13" t="s">
        <v>204</v>
      </c>
    </row>
    <row r="10" spans="1:11" ht="15.75" x14ac:dyDescent="0.25">
      <c r="A10" s="3">
        <v>2</v>
      </c>
      <c r="B10" s="3" t="s">
        <v>905</v>
      </c>
      <c r="C10" s="80">
        <v>4900</v>
      </c>
      <c r="D10" s="5">
        <f t="shared" ref="D10:D18" si="1">+D9</f>
        <v>46234</v>
      </c>
      <c r="E10" s="14">
        <v>0</v>
      </c>
      <c r="F10" s="13" t="s">
        <v>18</v>
      </c>
      <c r="G10" s="55">
        <v>3580</v>
      </c>
      <c r="H10" s="16">
        <v>0</v>
      </c>
      <c r="I10" s="3" t="s">
        <v>15</v>
      </c>
      <c r="J10" s="5">
        <f t="shared" si="0"/>
        <v>46235</v>
      </c>
      <c r="K10" s="13" t="s">
        <v>204</v>
      </c>
    </row>
    <row r="11" spans="1:11" ht="15.75" x14ac:dyDescent="0.25">
      <c r="A11" s="3">
        <v>3</v>
      </c>
      <c r="B11" s="3" t="s">
        <v>763</v>
      </c>
      <c r="C11" s="80">
        <v>2380</v>
      </c>
      <c r="D11" s="5">
        <f t="shared" si="1"/>
        <v>46234</v>
      </c>
      <c r="E11" s="14">
        <v>0</v>
      </c>
      <c r="F11" s="13" t="s">
        <v>18</v>
      </c>
      <c r="G11" s="55">
        <v>5096</v>
      </c>
      <c r="H11" s="16">
        <v>0</v>
      </c>
      <c r="I11" s="3" t="s">
        <v>15</v>
      </c>
      <c r="J11" s="5">
        <f t="shared" si="0"/>
        <v>46235</v>
      </c>
      <c r="K11" s="13" t="s">
        <v>115</v>
      </c>
    </row>
    <row r="12" spans="1:11" ht="15.75" x14ac:dyDescent="0.25">
      <c r="A12" s="3">
        <v>4</v>
      </c>
      <c r="B12" s="3" t="s">
        <v>906</v>
      </c>
      <c r="C12" s="80">
        <v>4740</v>
      </c>
      <c r="D12" s="5">
        <f t="shared" si="1"/>
        <v>46234</v>
      </c>
      <c r="E12" s="14">
        <v>0</v>
      </c>
      <c r="F12" s="13" t="s">
        <v>18</v>
      </c>
      <c r="G12" s="55">
        <v>5190</v>
      </c>
      <c r="H12" s="16">
        <v>0</v>
      </c>
      <c r="I12" s="3" t="s">
        <v>15</v>
      </c>
      <c r="J12" s="5">
        <f t="shared" si="0"/>
        <v>46235</v>
      </c>
      <c r="K12" s="13" t="s">
        <v>115</v>
      </c>
    </row>
    <row r="13" spans="1:11" ht="15.75" x14ac:dyDescent="0.25">
      <c r="A13" s="3">
        <v>5</v>
      </c>
      <c r="B13" s="3" t="s">
        <v>907</v>
      </c>
      <c r="C13" s="80">
        <v>4800</v>
      </c>
      <c r="D13" s="5">
        <f t="shared" si="1"/>
        <v>46234</v>
      </c>
      <c r="E13" s="14">
        <v>0</v>
      </c>
      <c r="F13" s="13" t="s">
        <v>18</v>
      </c>
      <c r="G13" s="55">
        <v>940</v>
      </c>
      <c r="H13" s="16">
        <v>0</v>
      </c>
      <c r="I13" s="3" t="s">
        <v>15</v>
      </c>
      <c r="J13" s="5">
        <f t="shared" si="0"/>
        <v>46235</v>
      </c>
      <c r="K13" s="13" t="s">
        <v>204</v>
      </c>
    </row>
    <row r="14" spans="1:11" ht="15.75" x14ac:dyDescent="0.25">
      <c r="A14" s="3">
        <v>6</v>
      </c>
      <c r="B14" s="3" t="s">
        <v>908</v>
      </c>
      <c r="C14" s="80">
        <v>9040</v>
      </c>
      <c r="D14" s="5">
        <f t="shared" si="1"/>
        <v>46234</v>
      </c>
      <c r="E14" s="14">
        <v>0</v>
      </c>
      <c r="F14" s="13" t="s">
        <v>18</v>
      </c>
      <c r="G14" s="55">
        <v>6566</v>
      </c>
      <c r="H14" s="16">
        <v>0</v>
      </c>
      <c r="I14" s="3" t="s">
        <v>15</v>
      </c>
      <c r="J14" s="5">
        <f t="shared" si="0"/>
        <v>46235</v>
      </c>
      <c r="K14" s="13" t="s">
        <v>115</v>
      </c>
    </row>
    <row r="15" spans="1:11" ht="15.75" x14ac:dyDescent="0.25">
      <c r="A15" s="3">
        <v>7</v>
      </c>
      <c r="B15" s="3" t="s">
        <v>455</v>
      </c>
      <c r="C15" s="80">
        <v>915</v>
      </c>
      <c r="D15" s="5">
        <f t="shared" si="1"/>
        <v>46234</v>
      </c>
      <c r="E15" s="14">
        <v>0</v>
      </c>
      <c r="F15" s="13" t="s">
        <v>18</v>
      </c>
      <c r="G15" s="55">
        <v>7790</v>
      </c>
      <c r="H15" s="16">
        <v>0</v>
      </c>
      <c r="I15" s="3" t="s">
        <v>15</v>
      </c>
      <c r="J15" s="5">
        <f t="shared" si="0"/>
        <v>46235</v>
      </c>
      <c r="K15" s="13" t="s">
        <v>115</v>
      </c>
    </row>
    <row r="16" spans="1:11" ht="15.75" x14ac:dyDescent="0.25">
      <c r="A16" s="3">
        <v>8</v>
      </c>
      <c r="B16" s="3" t="s">
        <v>909</v>
      </c>
      <c r="C16" s="80">
        <v>3850</v>
      </c>
      <c r="D16" s="5">
        <f t="shared" si="1"/>
        <v>46234</v>
      </c>
      <c r="E16" s="14">
        <v>0</v>
      </c>
      <c r="F16" s="13" t="s">
        <v>18</v>
      </c>
      <c r="G16" s="55">
        <v>1758</v>
      </c>
      <c r="H16" s="16">
        <v>0</v>
      </c>
      <c r="I16" s="3" t="s">
        <v>15</v>
      </c>
      <c r="J16" s="5">
        <f t="shared" si="0"/>
        <v>46235</v>
      </c>
      <c r="K16" s="13" t="s">
        <v>204</v>
      </c>
    </row>
    <row r="17" spans="1:11" ht="15.75" x14ac:dyDescent="0.25">
      <c r="A17" s="3">
        <v>9</v>
      </c>
      <c r="B17" s="3" t="s">
        <v>910</v>
      </c>
      <c r="C17" s="80">
        <v>2680</v>
      </c>
      <c r="D17" s="5">
        <f t="shared" si="1"/>
        <v>46234</v>
      </c>
      <c r="E17" s="14">
        <v>0</v>
      </c>
      <c r="F17" s="13" t="s">
        <v>18</v>
      </c>
      <c r="G17" s="55">
        <v>4954</v>
      </c>
      <c r="H17" s="16">
        <v>0</v>
      </c>
      <c r="I17" s="3" t="s">
        <v>15</v>
      </c>
      <c r="J17" s="5">
        <f t="shared" si="0"/>
        <v>46235</v>
      </c>
      <c r="K17" s="13" t="s">
        <v>115</v>
      </c>
    </row>
    <row r="18" spans="1:11" ht="15.75" x14ac:dyDescent="0.25">
      <c r="A18" s="3">
        <v>10</v>
      </c>
      <c r="B18" s="3" t="s">
        <v>575</v>
      </c>
      <c r="C18" s="80">
        <v>1380</v>
      </c>
      <c r="D18" s="5">
        <f t="shared" si="1"/>
        <v>46234</v>
      </c>
      <c r="E18" s="14">
        <v>0</v>
      </c>
      <c r="F18" s="13" t="s">
        <v>18</v>
      </c>
      <c r="G18" s="55">
        <v>4707</v>
      </c>
      <c r="H18" s="16">
        <v>0</v>
      </c>
      <c r="I18" s="3" t="s">
        <v>15</v>
      </c>
      <c r="J18" s="5">
        <f t="shared" si="0"/>
        <v>46235</v>
      </c>
      <c r="K18" s="13" t="s">
        <v>204</v>
      </c>
    </row>
    <row r="19" spans="1:11" ht="18.75" x14ac:dyDescent="0.3">
      <c r="A19" s="3"/>
      <c r="B19" s="17" t="s">
        <v>16</v>
      </c>
      <c r="C19" s="82">
        <f>SUM(C9:C18)</f>
        <v>35135</v>
      </c>
      <c r="D19" s="3"/>
      <c r="E19" s="3"/>
      <c r="F19" s="13"/>
      <c r="G19" s="13"/>
      <c r="H19" s="11"/>
      <c r="I19" s="3"/>
      <c r="J19" s="3"/>
      <c r="K19" s="3"/>
    </row>
    <row r="20" spans="1:11" ht="21" x14ac:dyDescent="0.35">
      <c r="A20" s="135" t="s">
        <v>20</v>
      </c>
      <c r="B20" s="136"/>
      <c r="C20" s="136"/>
      <c r="D20" s="136"/>
      <c r="E20" s="136"/>
      <c r="F20" s="136"/>
      <c r="G20" s="136"/>
      <c r="H20" s="136"/>
      <c r="I20" s="136"/>
      <c r="J20" s="136"/>
      <c r="K20" s="137"/>
    </row>
    <row r="21" spans="1:11" ht="18.75" x14ac:dyDescent="0.3">
      <c r="A21" s="19" t="s">
        <v>3</v>
      </c>
      <c r="B21" s="19" t="s">
        <v>21</v>
      </c>
      <c r="C21" s="50" t="s">
        <v>5</v>
      </c>
      <c r="D21" s="1" t="s">
        <v>22</v>
      </c>
      <c r="E21" s="19" t="s">
        <v>7</v>
      </c>
      <c r="F21" s="19" t="s">
        <v>8</v>
      </c>
      <c r="G21" s="19" t="s">
        <v>23</v>
      </c>
      <c r="H21" s="20" t="s">
        <v>24</v>
      </c>
      <c r="I21" s="19" t="s">
        <v>11</v>
      </c>
      <c r="J21" s="19" t="s">
        <v>25</v>
      </c>
      <c r="K21" s="21" t="s">
        <v>26</v>
      </c>
    </row>
    <row r="22" spans="1:11" ht="15.75" x14ac:dyDescent="0.25">
      <c r="A22" s="8">
        <v>1</v>
      </c>
      <c r="B22" s="8" t="s">
        <v>911</v>
      </c>
      <c r="C22" s="75">
        <v>1500</v>
      </c>
      <c r="D22" s="5">
        <v>46234</v>
      </c>
      <c r="E22" s="8"/>
      <c r="F22" s="8"/>
      <c r="G22" s="22">
        <v>9936</v>
      </c>
      <c r="H22" s="23"/>
      <c r="I22" s="24"/>
      <c r="J22" s="5">
        <v>46234</v>
      </c>
      <c r="K22" s="13" t="s">
        <v>913</v>
      </c>
    </row>
    <row r="23" spans="1:11" ht="15.75" x14ac:dyDescent="0.25">
      <c r="A23" s="8">
        <v>2</v>
      </c>
      <c r="B23" s="8" t="s">
        <v>44</v>
      </c>
      <c r="C23" s="75">
        <v>2262.81</v>
      </c>
      <c r="D23" s="5">
        <v>46234</v>
      </c>
      <c r="E23" s="8"/>
      <c r="F23" s="8"/>
      <c r="G23" s="22">
        <v>3758</v>
      </c>
      <c r="H23" s="23"/>
      <c r="I23" s="24"/>
      <c r="J23" s="5">
        <v>46234</v>
      </c>
      <c r="K23" s="13" t="s">
        <v>912</v>
      </c>
    </row>
    <row r="24" spans="1:11" ht="18.75" x14ac:dyDescent="0.25">
      <c r="A24" s="8"/>
      <c r="B24" s="25" t="s">
        <v>27</v>
      </c>
      <c r="C24" s="83">
        <f>SUM(C22:C23)</f>
        <v>3762.81</v>
      </c>
      <c r="D24" s="3"/>
      <c r="E24" s="8"/>
      <c r="F24" s="8"/>
      <c r="G24" s="8"/>
      <c r="H24" s="27">
        <v>0</v>
      </c>
      <c r="I24" s="24"/>
      <c r="J24" s="3"/>
      <c r="K24" s="28"/>
    </row>
    <row r="25" spans="1:11" x14ac:dyDescent="0.25">
      <c r="C25" s="29"/>
      <c r="H25" s="29"/>
    </row>
    <row r="26" spans="1:11" ht="16.5" x14ac:dyDescent="0.3">
      <c r="B26" s="30" t="s">
        <v>28</v>
      </c>
      <c r="C26" s="76">
        <f>SUM(C9,C10,C13,C16,C18)</f>
        <v>15380</v>
      </c>
      <c r="E26" s="32"/>
      <c r="F26" s="32"/>
      <c r="G26" s="116"/>
      <c r="H26" s="116"/>
    </row>
    <row r="27" spans="1:11" ht="16.5" x14ac:dyDescent="0.3">
      <c r="B27" s="33" t="s">
        <v>29</v>
      </c>
      <c r="C27" s="77">
        <f>SUM(C17,C15,C14,C12,C11)</f>
        <v>19755</v>
      </c>
      <c r="E27" s="35"/>
      <c r="F27" s="35"/>
      <c r="G27" s="36" t="s">
        <v>30</v>
      </c>
      <c r="H27" s="37"/>
    </row>
    <row r="28" spans="1:11" ht="24" x14ac:dyDescent="0.4">
      <c r="B28" s="38" t="s">
        <v>31</v>
      </c>
      <c r="C28" s="78"/>
      <c r="E28" s="40" t="s">
        <v>32</v>
      </c>
      <c r="F28" s="41"/>
      <c r="G28" s="42"/>
      <c r="H28" s="43"/>
      <c r="I28" s="42"/>
      <c r="J28" s="44"/>
    </row>
    <row r="29" spans="1:11" ht="18.75" x14ac:dyDescent="0.3">
      <c r="B29" s="45" t="s">
        <v>16</v>
      </c>
      <c r="C29" s="79">
        <f>SUM(C26:C28)</f>
        <v>35135</v>
      </c>
      <c r="G29" s="36"/>
      <c r="H29" s="37"/>
      <c r="I29" s="36"/>
      <c r="J29" s="36"/>
    </row>
  </sheetData>
  <mergeCells count="6">
    <mergeCell ref="G26:H26"/>
    <mergeCell ref="A1:K1"/>
    <mergeCell ref="A2:K2"/>
    <mergeCell ref="A3:K3"/>
    <mergeCell ref="A8:K8"/>
    <mergeCell ref="A20:K20"/>
  </mergeCells>
  <pageMargins left="0.59055118110236215" right="0.15748031496062992" top="0.47244094488188976" bottom="0.23622047244094488" header="0.31496062992125984" footer="0.31496062992125984"/>
  <pageSetup scale="80" orientation="landscape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BDD3F-CB6D-4DCE-A679-189927585377}">
  <sheetPr>
    <pageSetUpPr fitToPage="1"/>
  </sheetPr>
  <dimension ref="A1:K34"/>
  <sheetViews>
    <sheetView topLeftCell="A16" workbookViewId="0">
      <selection sqref="A1:K34"/>
    </sheetView>
  </sheetViews>
  <sheetFormatPr defaultRowHeight="15" x14ac:dyDescent="0.25"/>
  <cols>
    <col min="1" max="1" width="4.42578125" bestFit="1" customWidth="1"/>
    <col min="2" max="2" width="24.85546875" customWidth="1"/>
    <col min="3" max="3" width="14.4257812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9.85546875" customWidth="1"/>
  </cols>
  <sheetData>
    <row r="1" spans="1:11" ht="24.75" x14ac:dyDescent="0.25">
      <c r="A1" s="117" t="s">
        <v>829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914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45</v>
      </c>
      <c r="C5" s="80">
        <v>24500</v>
      </c>
      <c r="D5" s="5">
        <v>46235</v>
      </c>
      <c r="E5" s="6">
        <v>0</v>
      </c>
      <c r="F5" s="3" t="s">
        <v>14</v>
      </c>
      <c r="G5" s="49">
        <v>7002</v>
      </c>
      <c r="H5" s="7">
        <v>0</v>
      </c>
      <c r="I5" s="3" t="s">
        <v>15</v>
      </c>
      <c r="J5" s="5">
        <f>+D5-1</f>
        <v>46234</v>
      </c>
      <c r="K5" s="8" t="s">
        <v>46</v>
      </c>
    </row>
    <row r="6" spans="1:11" ht="15.75" x14ac:dyDescent="0.25">
      <c r="A6" s="3"/>
      <c r="B6" s="3" t="s">
        <v>34</v>
      </c>
      <c r="C6" s="80">
        <v>26000</v>
      </c>
      <c r="D6" s="5">
        <v>46235</v>
      </c>
      <c r="E6" s="6">
        <v>0</v>
      </c>
      <c r="F6" s="3" t="s">
        <v>14</v>
      </c>
      <c r="G6" s="49">
        <v>791</v>
      </c>
      <c r="H6" s="7">
        <v>0</v>
      </c>
      <c r="I6" s="3" t="s">
        <v>15</v>
      </c>
      <c r="J6" s="5">
        <f>+D6-1</f>
        <v>46234</v>
      </c>
      <c r="K6" s="8" t="s">
        <v>321</v>
      </c>
    </row>
    <row r="7" spans="1:11" ht="18.75" x14ac:dyDescent="0.3">
      <c r="A7" s="9"/>
      <c r="B7" s="10" t="s">
        <v>16</v>
      </c>
      <c r="C7" s="81">
        <f>SUM(C5:C6)</f>
        <v>50500</v>
      </c>
      <c r="D7" s="3"/>
      <c r="E7" s="12"/>
      <c r="F7" s="9"/>
      <c r="G7" s="13"/>
      <c r="H7" s="11">
        <f>SUM(H5:H5)</f>
        <v>0</v>
      </c>
      <c r="I7" s="9"/>
      <c r="J7" s="9"/>
      <c r="K7" s="9"/>
    </row>
    <row r="9" spans="1:11" ht="24" x14ac:dyDescent="0.4">
      <c r="A9" s="122" t="s">
        <v>17</v>
      </c>
      <c r="B9" s="123"/>
      <c r="C9" s="123"/>
      <c r="D9" s="123"/>
      <c r="E9" s="123"/>
      <c r="F9" s="123"/>
      <c r="G9" s="123"/>
      <c r="H9" s="123"/>
      <c r="I9" s="123"/>
      <c r="J9" s="123"/>
      <c r="K9" s="124"/>
    </row>
    <row r="10" spans="1:11" ht="15.75" x14ac:dyDescent="0.25">
      <c r="A10" s="3">
        <v>1</v>
      </c>
      <c r="B10" s="3" t="s">
        <v>915</v>
      </c>
      <c r="C10" s="80">
        <v>1545</v>
      </c>
      <c r="D10" s="5">
        <v>46235</v>
      </c>
      <c r="E10" s="14">
        <v>0</v>
      </c>
      <c r="F10" s="13" t="s">
        <v>18</v>
      </c>
      <c r="G10" s="55">
        <v>7539</v>
      </c>
      <c r="H10" s="16">
        <v>0</v>
      </c>
      <c r="I10" s="3" t="s">
        <v>19</v>
      </c>
      <c r="J10" s="5">
        <f t="shared" ref="J10:J21" si="0">+D10+1</f>
        <v>46236</v>
      </c>
      <c r="K10" s="13" t="s">
        <v>203</v>
      </c>
    </row>
    <row r="11" spans="1:11" ht="15.75" x14ac:dyDescent="0.25">
      <c r="A11" s="3">
        <v>2</v>
      </c>
      <c r="B11" s="3" t="s">
        <v>915</v>
      </c>
      <c r="C11" s="80">
        <v>2000</v>
      </c>
      <c r="D11" s="5">
        <f t="shared" ref="D11:D21" si="1">+D10</f>
        <v>46235</v>
      </c>
      <c r="E11" s="14">
        <v>0</v>
      </c>
      <c r="F11" s="13" t="s">
        <v>18</v>
      </c>
      <c r="G11" s="55">
        <v>5504</v>
      </c>
      <c r="H11" s="16">
        <v>0</v>
      </c>
      <c r="I11" s="3" t="s">
        <v>15</v>
      </c>
      <c r="J11" s="5">
        <f t="shared" si="0"/>
        <v>46236</v>
      </c>
      <c r="K11" s="13" t="s">
        <v>203</v>
      </c>
    </row>
    <row r="12" spans="1:11" ht="15.75" x14ac:dyDescent="0.25">
      <c r="A12" s="3">
        <v>3</v>
      </c>
      <c r="B12" s="3" t="s">
        <v>916</v>
      </c>
      <c r="C12" s="80">
        <v>1300</v>
      </c>
      <c r="D12" s="5">
        <f t="shared" si="1"/>
        <v>46235</v>
      </c>
      <c r="E12" s="14">
        <v>0</v>
      </c>
      <c r="F12" s="13" t="s">
        <v>18</v>
      </c>
      <c r="G12" s="55">
        <v>9817</v>
      </c>
      <c r="H12" s="16">
        <v>0</v>
      </c>
      <c r="I12" s="3" t="s">
        <v>15</v>
      </c>
      <c r="J12" s="5">
        <f t="shared" si="0"/>
        <v>46236</v>
      </c>
      <c r="K12" s="13" t="s">
        <v>203</v>
      </c>
    </row>
    <row r="13" spans="1:11" ht="15.75" x14ac:dyDescent="0.25">
      <c r="A13" s="3">
        <v>4</v>
      </c>
      <c r="B13" s="3" t="s">
        <v>917</v>
      </c>
      <c r="C13" s="80">
        <v>6195</v>
      </c>
      <c r="D13" s="5">
        <f t="shared" si="1"/>
        <v>46235</v>
      </c>
      <c r="E13" s="14">
        <v>0</v>
      </c>
      <c r="F13" s="13" t="s">
        <v>18</v>
      </c>
      <c r="G13" s="55">
        <v>5879</v>
      </c>
      <c r="H13" s="16">
        <v>0</v>
      </c>
      <c r="I13" s="3" t="s">
        <v>15</v>
      </c>
      <c r="J13" s="5">
        <f t="shared" si="0"/>
        <v>46236</v>
      </c>
      <c r="K13" s="13" t="s">
        <v>115</v>
      </c>
    </row>
    <row r="14" spans="1:11" ht="15.75" x14ac:dyDescent="0.25">
      <c r="A14" s="3">
        <v>5</v>
      </c>
      <c r="B14" s="3" t="s">
        <v>852</v>
      </c>
      <c r="C14" s="80">
        <v>1340</v>
      </c>
      <c r="D14" s="5">
        <f t="shared" si="1"/>
        <v>46235</v>
      </c>
      <c r="E14" s="14">
        <v>0</v>
      </c>
      <c r="F14" s="13" t="s">
        <v>18</v>
      </c>
      <c r="G14" s="55">
        <v>1090</v>
      </c>
      <c r="H14" s="16">
        <v>0</v>
      </c>
      <c r="I14" s="3" t="s">
        <v>15</v>
      </c>
      <c r="J14" s="5">
        <f t="shared" si="0"/>
        <v>46236</v>
      </c>
      <c r="K14" s="13" t="s">
        <v>115</v>
      </c>
    </row>
    <row r="15" spans="1:11" ht="15.75" x14ac:dyDescent="0.25">
      <c r="A15" s="3">
        <v>6</v>
      </c>
      <c r="B15" s="3" t="s">
        <v>918</v>
      </c>
      <c r="C15" s="80">
        <v>17200</v>
      </c>
      <c r="D15" s="5">
        <f t="shared" si="1"/>
        <v>46235</v>
      </c>
      <c r="E15" s="14">
        <v>0</v>
      </c>
      <c r="F15" s="13" t="s">
        <v>18</v>
      </c>
      <c r="G15" s="55">
        <v>5718</v>
      </c>
      <c r="H15" s="16">
        <v>0</v>
      </c>
      <c r="I15" s="3" t="s">
        <v>15</v>
      </c>
      <c r="J15" s="5">
        <f t="shared" si="0"/>
        <v>46236</v>
      </c>
      <c r="K15" s="13" t="s">
        <v>925</v>
      </c>
    </row>
    <row r="16" spans="1:11" ht="15.75" x14ac:dyDescent="0.25">
      <c r="A16" s="3">
        <v>7</v>
      </c>
      <c r="B16" s="3" t="s">
        <v>919</v>
      </c>
      <c r="C16" s="80">
        <v>505</v>
      </c>
      <c r="D16" s="5">
        <f t="shared" si="1"/>
        <v>46235</v>
      </c>
      <c r="E16" s="14">
        <v>0</v>
      </c>
      <c r="F16" s="13" t="s">
        <v>18</v>
      </c>
      <c r="G16" s="55">
        <v>7334</v>
      </c>
      <c r="H16" s="16">
        <v>0</v>
      </c>
      <c r="I16" s="3" t="s">
        <v>15</v>
      </c>
      <c r="J16" s="5">
        <f t="shared" si="0"/>
        <v>46236</v>
      </c>
      <c r="K16" s="13" t="s">
        <v>115</v>
      </c>
    </row>
    <row r="17" spans="1:11" ht="15.75" x14ac:dyDescent="0.25">
      <c r="A17" s="3">
        <v>8</v>
      </c>
      <c r="B17" s="3" t="s">
        <v>455</v>
      </c>
      <c r="C17" s="80">
        <v>110</v>
      </c>
      <c r="D17" s="5">
        <f t="shared" si="1"/>
        <v>46235</v>
      </c>
      <c r="E17" s="14">
        <v>0</v>
      </c>
      <c r="F17" s="13" t="s">
        <v>18</v>
      </c>
      <c r="G17" s="55">
        <v>5980</v>
      </c>
      <c r="H17" s="16">
        <v>0</v>
      </c>
      <c r="I17" s="3" t="s">
        <v>15</v>
      </c>
      <c r="J17" s="5">
        <f t="shared" si="0"/>
        <v>46236</v>
      </c>
      <c r="K17" s="13" t="s">
        <v>924</v>
      </c>
    </row>
    <row r="18" spans="1:11" ht="15.75" x14ac:dyDescent="0.25">
      <c r="A18" s="3">
        <v>9</v>
      </c>
      <c r="B18" s="3" t="s">
        <v>920</v>
      </c>
      <c r="C18" s="80">
        <v>2500</v>
      </c>
      <c r="D18" s="5">
        <f t="shared" si="1"/>
        <v>46235</v>
      </c>
      <c r="E18" s="14">
        <v>0</v>
      </c>
      <c r="F18" s="13" t="s">
        <v>18</v>
      </c>
      <c r="G18" s="55">
        <v>3801</v>
      </c>
      <c r="H18" s="16">
        <v>0</v>
      </c>
      <c r="I18" s="3" t="s">
        <v>15</v>
      </c>
      <c r="J18" s="5">
        <f t="shared" si="0"/>
        <v>46236</v>
      </c>
      <c r="K18" s="13" t="s">
        <v>115</v>
      </c>
    </row>
    <row r="19" spans="1:11" ht="15.75" x14ac:dyDescent="0.25">
      <c r="A19" s="3">
        <v>10</v>
      </c>
      <c r="B19" s="3" t="s">
        <v>921</v>
      </c>
      <c r="C19" s="80">
        <v>500</v>
      </c>
      <c r="D19" s="5">
        <f t="shared" si="1"/>
        <v>46235</v>
      </c>
      <c r="E19" s="14">
        <v>0</v>
      </c>
      <c r="F19" s="13" t="s">
        <v>18</v>
      </c>
      <c r="G19" s="55">
        <v>5383</v>
      </c>
      <c r="H19" s="16">
        <v>0</v>
      </c>
      <c r="I19" s="3" t="s">
        <v>15</v>
      </c>
      <c r="J19" s="5">
        <f t="shared" si="0"/>
        <v>46236</v>
      </c>
      <c r="K19" s="13" t="s">
        <v>115</v>
      </c>
    </row>
    <row r="20" spans="1:11" ht="15.75" x14ac:dyDescent="0.25">
      <c r="A20" s="3">
        <v>11</v>
      </c>
      <c r="B20" s="3" t="s">
        <v>922</v>
      </c>
      <c r="C20" s="80">
        <v>1200</v>
      </c>
      <c r="D20" s="5">
        <f t="shared" si="1"/>
        <v>46235</v>
      </c>
      <c r="E20" s="14">
        <v>0</v>
      </c>
      <c r="F20" s="13" t="s">
        <v>18</v>
      </c>
      <c r="G20" s="55">
        <v>8695</v>
      </c>
      <c r="H20" s="16">
        <v>0</v>
      </c>
      <c r="I20" s="3" t="s">
        <v>15</v>
      </c>
      <c r="J20" s="5">
        <f t="shared" si="0"/>
        <v>46236</v>
      </c>
      <c r="K20" s="13" t="s">
        <v>115</v>
      </c>
    </row>
    <row r="21" spans="1:11" ht="15.75" x14ac:dyDescent="0.25">
      <c r="A21" s="3">
        <v>12</v>
      </c>
      <c r="B21" s="3" t="s">
        <v>117</v>
      </c>
      <c r="C21" s="80">
        <v>1925</v>
      </c>
      <c r="D21" s="5">
        <f t="shared" si="1"/>
        <v>46235</v>
      </c>
      <c r="E21" s="14">
        <v>0</v>
      </c>
      <c r="F21" s="13" t="s">
        <v>18</v>
      </c>
      <c r="G21" s="55">
        <v>7659</v>
      </c>
      <c r="H21" s="16">
        <v>0</v>
      </c>
      <c r="I21" s="3" t="s">
        <v>15</v>
      </c>
      <c r="J21" s="5">
        <f t="shared" si="0"/>
        <v>46236</v>
      </c>
      <c r="K21" s="13" t="s">
        <v>115</v>
      </c>
    </row>
    <row r="22" spans="1:11" ht="18.75" x14ac:dyDescent="0.3">
      <c r="A22" s="3"/>
      <c r="B22" s="17" t="s">
        <v>16</v>
      </c>
      <c r="C22" s="82">
        <f>SUM(C10:C21)</f>
        <v>36320</v>
      </c>
      <c r="D22" s="3"/>
      <c r="E22" s="3"/>
      <c r="F22" s="13"/>
      <c r="G22" s="13"/>
      <c r="H22" s="11"/>
      <c r="I22" s="3"/>
      <c r="J22" s="3"/>
      <c r="K22" s="3"/>
    </row>
    <row r="23" spans="1:11" ht="21" x14ac:dyDescent="0.35">
      <c r="A23" s="135" t="s">
        <v>20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7"/>
    </row>
    <row r="24" spans="1:11" ht="18.75" x14ac:dyDescent="0.3">
      <c r="A24" s="19" t="s">
        <v>3</v>
      </c>
      <c r="B24" s="19" t="s">
        <v>21</v>
      </c>
      <c r="C24" s="5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75" x14ac:dyDescent="0.25">
      <c r="A25" s="8">
        <v>1</v>
      </c>
      <c r="B25" s="8" t="s">
        <v>823</v>
      </c>
      <c r="C25" s="75">
        <v>21490</v>
      </c>
      <c r="D25" s="5">
        <v>46235</v>
      </c>
      <c r="E25" s="8"/>
      <c r="F25" s="8"/>
      <c r="G25" s="22">
        <v>791</v>
      </c>
      <c r="H25" s="23"/>
      <c r="I25" s="24"/>
      <c r="J25" s="5">
        <v>46235</v>
      </c>
      <c r="K25" s="13" t="s">
        <v>115</v>
      </c>
    </row>
    <row r="26" spans="1:11" ht="15.75" x14ac:dyDescent="0.25">
      <c r="A26" s="8">
        <v>2</v>
      </c>
      <c r="B26" s="8" t="s">
        <v>41</v>
      </c>
      <c r="C26" s="75">
        <v>27886</v>
      </c>
      <c r="D26" s="5">
        <v>46235</v>
      </c>
      <c r="E26" s="8"/>
      <c r="F26" s="8"/>
      <c r="G26" s="22">
        <v>61</v>
      </c>
      <c r="H26" s="23"/>
      <c r="I26" s="24"/>
      <c r="J26" s="5">
        <v>46235</v>
      </c>
      <c r="K26" s="13" t="s">
        <v>115</v>
      </c>
    </row>
    <row r="27" spans="1:11" ht="15.75" x14ac:dyDescent="0.25">
      <c r="A27" s="8">
        <v>3</v>
      </c>
      <c r="B27" s="8" t="s">
        <v>923</v>
      </c>
      <c r="C27" s="75">
        <v>4176</v>
      </c>
      <c r="D27" s="5">
        <v>46235</v>
      </c>
      <c r="E27" s="8"/>
      <c r="F27" s="8"/>
      <c r="G27" s="22">
        <v>6679</v>
      </c>
      <c r="H27" s="23"/>
      <c r="I27" s="24"/>
      <c r="J27" s="5">
        <v>46235</v>
      </c>
      <c r="K27" s="13" t="s">
        <v>927</v>
      </c>
    </row>
    <row r="28" spans="1:11" ht="15.75" x14ac:dyDescent="0.25">
      <c r="A28" s="8">
        <v>4</v>
      </c>
      <c r="B28" s="8" t="s">
        <v>52</v>
      </c>
      <c r="C28" s="75">
        <v>100000</v>
      </c>
      <c r="D28" s="5">
        <v>46235</v>
      </c>
      <c r="E28" s="8"/>
      <c r="F28" s="8"/>
      <c r="G28" s="22">
        <v>126</v>
      </c>
      <c r="H28" s="23"/>
      <c r="I28" s="24"/>
      <c r="J28" s="5">
        <v>46235</v>
      </c>
      <c r="K28" s="13" t="s">
        <v>928</v>
      </c>
    </row>
    <row r="29" spans="1:11" ht="18.75" x14ac:dyDescent="0.25">
      <c r="A29" s="8"/>
      <c r="B29" s="25" t="s">
        <v>27</v>
      </c>
      <c r="C29" s="83">
        <f>SUM(C25:C28)</f>
        <v>153552</v>
      </c>
      <c r="D29" s="3"/>
      <c r="E29" s="8"/>
      <c r="F29" s="8"/>
      <c r="G29" s="8"/>
      <c r="H29" s="27">
        <v>0</v>
      </c>
      <c r="I29" s="24"/>
      <c r="J29" s="3"/>
      <c r="K29" s="28"/>
    </row>
    <row r="30" spans="1:11" x14ac:dyDescent="0.25">
      <c r="C30" s="29"/>
      <c r="H30" s="29"/>
    </row>
    <row r="31" spans="1:11" ht="16.5" x14ac:dyDescent="0.3">
      <c r="B31" s="30" t="s">
        <v>28</v>
      </c>
      <c r="C31" s="76">
        <f>SUM(C10,C11,C12,C17)</f>
        <v>4955</v>
      </c>
      <c r="E31" s="32"/>
      <c r="F31" s="32"/>
      <c r="G31" s="116"/>
      <c r="H31" s="116"/>
    </row>
    <row r="32" spans="1:11" ht="16.5" x14ac:dyDescent="0.3">
      <c r="B32" s="33" t="s">
        <v>29</v>
      </c>
      <c r="C32" s="77">
        <f>SUM(C21,C20,C19,C18,C16,C14,C13)</f>
        <v>14165</v>
      </c>
      <c r="E32" s="35"/>
      <c r="F32" s="35"/>
      <c r="G32" s="36" t="s">
        <v>30</v>
      </c>
      <c r="H32" s="37"/>
    </row>
    <row r="33" spans="2:10" ht="24" x14ac:dyDescent="0.4">
      <c r="B33" s="38" t="s">
        <v>926</v>
      </c>
      <c r="C33" s="78">
        <f>SUM(C15)</f>
        <v>17200</v>
      </c>
      <c r="E33" s="40" t="s">
        <v>32</v>
      </c>
      <c r="F33" s="41"/>
      <c r="G33" s="42"/>
      <c r="H33" s="43"/>
      <c r="I33" s="42"/>
      <c r="J33" s="44"/>
    </row>
    <row r="34" spans="2:10" ht="18.75" x14ac:dyDescent="0.3">
      <c r="B34" s="45" t="s">
        <v>16</v>
      </c>
      <c r="C34" s="79">
        <f>SUM(C31:C33)</f>
        <v>36320</v>
      </c>
      <c r="G34" s="36"/>
      <c r="H34" s="37"/>
      <c r="I34" s="36"/>
      <c r="J34" s="36"/>
    </row>
  </sheetData>
  <mergeCells count="6">
    <mergeCell ref="G31:H31"/>
    <mergeCell ref="A1:K1"/>
    <mergeCell ref="A2:K2"/>
    <mergeCell ref="A3:K3"/>
    <mergeCell ref="A9:K9"/>
    <mergeCell ref="A23:K23"/>
  </mergeCells>
  <pageMargins left="0" right="0" top="0.39370078740157483" bottom="0" header="0" footer="0"/>
  <pageSetup scale="87" orientation="landscape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1B561-3D2E-429C-8820-E916A50F4A91}">
  <sheetPr>
    <pageSetUpPr fitToPage="1"/>
  </sheetPr>
  <dimension ref="A1:K22"/>
  <sheetViews>
    <sheetView workbookViewId="0">
      <selection activeCell="A9" sqref="A9:K9"/>
    </sheetView>
  </sheetViews>
  <sheetFormatPr defaultRowHeight="15" x14ac:dyDescent="0.25"/>
  <cols>
    <col min="1" max="1" width="4.42578125" bestFit="1" customWidth="1"/>
    <col min="2" max="2" width="20.140625" bestFit="1" customWidth="1"/>
    <col min="3" max="3" width="12.710937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9" customWidth="1"/>
  </cols>
  <sheetData>
    <row r="1" spans="1:11" ht="24.75" x14ac:dyDescent="0.25">
      <c r="A1" s="117" t="s">
        <v>829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929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45</v>
      </c>
      <c r="C5" s="80">
        <v>32100</v>
      </c>
      <c r="D5" s="5">
        <v>46236</v>
      </c>
      <c r="E5" s="6">
        <v>0</v>
      </c>
      <c r="F5" s="3" t="s">
        <v>14</v>
      </c>
      <c r="G5" s="49">
        <v>7100</v>
      </c>
      <c r="H5" s="7">
        <v>0</v>
      </c>
      <c r="I5" s="3" t="s">
        <v>15</v>
      </c>
      <c r="J5" s="5">
        <f>+D5-1</f>
        <v>46235</v>
      </c>
      <c r="K5" s="8" t="s">
        <v>46</v>
      </c>
    </row>
    <row r="6" spans="1:11" ht="15.75" x14ac:dyDescent="0.25">
      <c r="A6" s="3">
        <v>2</v>
      </c>
      <c r="B6" s="3" t="s">
        <v>931</v>
      </c>
      <c r="C6" s="80">
        <v>1350</v>
      </c>
      <c r="D6" s="5">
        <v>46236</v>
      </c>
      <c r="E6" s="6">
        <v>0</v>
      </c>
      <c r="F6" s="3" t="s">
        <v>14</v>
      </c>
      <c r="G6" s="49">
        <v>7172</v>
      </c>
      <c r="H6" s="7">
        <v>0</v>
      </c>
      <c r="I6" s="3" t="s">
        <v>15</v>
      </c>
      <c r="J6" s="5">
        <f>+D6-1</f>
        <v>46235</v>
      </c>
      <c r="K6" s="8" t="s">
        <v>203</v>
      </c>
    </row>
    <row r="7" spans="1:11" ht="18.75" x14ac:dyDescent="0.3">
      <c r="A7" s="9"/>
      <c r="B7" s="10" t="s">
        <v>16</v>
      </c>
      <c r="C7" s="81">
        <f>SUM(C5:C6)</f>
        <v>33450</v>
      </c>
      <c r="D7" s="3"/>
      <c r="E7" s="12"/>
      <c r="F7" s="9"/>
      <c r="G7" s="13"/>
      <c r="H7" s="11">
        <f>SUM(H5:H5)</f>
        <v>0</v>
      </c>
      <c r="I7" s="9"/>
      <c r="J7" s="9"/>
      <c r="K7" s="9"/>
    </row>
    <row r="9" spans="1:11" ht="24" x14ac:dyDescent="0.4">
      <c r="A9" s="122" t="s">
        <v>17</v>
      </c>
      <c r="B9" s="123"/>
      <c r="C9" s="123"/>
      <c r="D9" s="123"/>
      <c r="E9" s="123"/>
      <c r="F9" s="123"/>
      <c r="G9" s="123"/>
      <c r="H9" s="123"/>
      <c r="I9" s="123"/>
      <c r="J9" s="123"/>
      <c r="K9" s="124"/>
    </row>
    <row r="10" spans="1:11" ht="15.75" x14ac:dyDescent="0.25">
      <c r="A10" s="3">
        <v>1</v>
      </c>
      <c r="B10" s="3" t="s">
        <v>930</v>
      </c>
      <c r="C10" s="80">
        <v>440</v>
      </c>
      <c r="D10" s="5">
        <v>46236</v>
      </c>
      <c r="E10" s="14">
        <v>0</v>
      </c>
      <c r="F10" s="13" t="s">
        <v>18</v>
      </c>
      <c r="G10" s="55">
        <v>3726</v>
      </c>
      <c r="H10" s="16">
        <v>0</v>
      </c>
      <c r="I10" s="3" t="s">
        <v>19</v>
      </c>
      <c r="J10" s="5">
        <f t="shared" ref="J10:J11" si="0">+D10+1</f>
        <v>46237</v>
      </c>
      <c r="K10" s="13" t="s">
        <v>115</v>
      </c>
    </row>
    <row r="11" spans="1:11" ht="15.75" x14ac:dyDescent="0.25">
      <c r="A11" s="3">
        <v>2</v>
      </c>
      <c r="B11" s="3" t="s">
        <v>930</v>
      </c>
      <c r="C11" s="80">
        <v>2000</v>
      </c>
      <c r="D11" s="5">
        <f t="shared" ref="D11" si="1">+D10</f>
        <v>46236</v>
      </c>
      <c r="E11" s="14">
        <v>0</v>
      </c>
      <c r="F11" s="13" t="s">
        <v>18</v>
      </c>
      <c r="G11" s="55">
        <v>2509</v>
      </c>
      <c r="H11" s="16">
        <v>0</v>
      </c>
      <c r="I11" s="3" t="s">
        <v>15</v>
      </c>
      <c r="J11" s="5">
        <f t="shared" si="0"/>
        <v>46237</v>
      </c>
      <c r="K11" s="13" t="s">
        <v>115</v>
      </c>
    </row>
    <row r="12" spans="1:11" ht="18.75" x14ac:dyDescent="0.3">
      <c r="A12" s="3"/>
      <c r="B12" s="17" t="s">
        <v>16</v>
      </c>
      <c r="C12" s="82">
        <f>SUM(C10:C11)</f>
        <v>2440</v>
      </c>
      <c r="D12" s="3"/>
      <c r="E12" s="3"/>
      <c r="F12" s="13"/>
      <c r="G12" s="13"/>
      <c r="H12" s="11"/>
      <c r="I12" s="3"/>
      <c r="J12" s="3"/>
      <c r="K12" s="3"/>
    </row>
    <row r="13" spans="1:11" ht="21" x14ac:dyDescent="0.35">
      <c r="A13" s="135" t="s">
        <v>20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7"/>
    </row>
    <row r="14" spans="1:11" ht="18.75" x14ac:dyDescent="0.3">
      <c r="A14" s="19" t="s">
        <v>3</v>
      </c>
      <c r="B14" s="19" t="s">
        <v>21</v>
      </c>
      <c r="C14" s="50" t="s">
        <v>5</v>
      </c>
      <c r="D14" s="1" t="s">
        <v>22</v>
      </c>
      <c r="E14" s="19" t="s">
        <v>7</v>
      </c>
      <c r="F14" s="19" t="s">
        <v>8</v>
      </c>
      <c r="G14" s="19" t="s">
        <v>23</v>
      </c>
      <c r="H14" s="20" t="s">
        <v>24</v>
      </c>
      <c r="I14" s="19" t="s">
        <v>11</v>
      </c>
      <c r="J14" s="19" t="s">
        <v>25</v>
      </c>
      <c r="K14" s="21" t="s">
        <v>26</v>
      </c>
    </row>
    <row r="15" spans="1:11" ht="15.75" x14ac:dyDescent="0.25">
      <c r="A15" s="8">
        <v>1</v>
      </c>
      <c r="B15" s="8" t="s">
        <v>823</v>
      </c>
      <c r="C15" s="75">
        <v>19755</v>
      </c>
      <c r="D15" s="5">
        <v>46236</v>
      </c>
      <c r="E15" s="8"/>
      <c r="F15" s="8"/>
      <c r="G15" s="22">
        <v>2191</v>
      </c>
      <c r="H15" s="23"/>
      <c r="I15" s="24"/>
      <c r="J15" s="5">
        <v>46236</v>
      </c>
      <c r="K15" s="13" t="s">
        <v>115</v>
      </c>
    </row>
    <row r="16" spans="1:11" ht="15.75" x14ac:dyDescent="0.25">
      <c r="A16" s="8">
        <v>2</v>
      </c>
      <c r="B16" s="8" t="s">
        <v>932</v>
      </c>
      <c r="C16" s="75">
        <v>8185</v>
      </c>
      <c r="D16" s="5">
        <v>46236</v>
      </c>
      <c r="E16" s="8"/>
      <c r="F16" s="8"/>
      <c r="G16" s="22">
        <v>9002</v>
      </c>
      <c r="H16" s="23"/>
      <c r="I16" s="24"/>
      <c r="J16" s="5">
        <v>46236</v>
      </c>
      <c r="K16" s="13" t="s">
        <v>933</v>
      </c>
    </row>
    <row r="17" spans="1:11" ht="18.75" x14ac:dyDescent="0.25">
      <c r="A17" s="8"/>
      <c r="B17" s="25" t="s">
        <v>27</v>
      </c>
      <c r="C17" s="83">
        <f>SUM(C15:C16)</f>
        <v>27940</v>
      </c>
      <c r="D17" s="3"/>
      <c r="E17" s="8"/>
      <c r="F17" s="8"/>
      <c r="G17" s="8"/>
      <c r="H17" s="27">
        <v>0</v>
      </c>
      <c r="I17" s="24"/>
      <c r="J17" s="3"/>
      <c r="K17" s="28"/>
    </row>
    <row r="18" spans="1:11" x14ac:dyDescent="0.25">
      <c r="C18" s="29"/>
      <c r="H18" s="29"/>
    </row>
    <row r="19" spans="1:11" ht="16.5" x14ac:dyDescent="0.3">
      <c r="B19" s="30" t="s">
        <v>28</v>
      </c>
      <c r="C19" s="76"/>
      <c r="E19" s="32"/>
      <c r="F19" s="32"/>
      <c r="G19" s="116"/>
      <c r="H19" s="116"/>
    </row>
    <row r="20" spans="1:11" ht="16.5" x14ac:dyDescent="0.3">
      <c r="B20" s="33" t="s">
        <v>29</v>
      </c>
      <c r="C20" s="77">
        <f>SUM(C10,C11)</f>
        <v>2440</v>
      </c>
      <c r="E20" s="35"/>
      <c r="F20" s="35"/>
      <c r="G20" s="36" t="s">
        <v>30</v>
      </c>
      <c r="H20" s="37"/>
    </row>
    <row r="21" spans="1:11" ht="24" x14ac:dyDescent="0.4">
      <c r="B21" s="38" t="s">
        <v>31</v>
      </c>
      <c r="C21" s="78"/>
      <c r="E21" s="40" t="s">
        <v>32</v>
      </c>
      <c r="F21" s="41"/>
      <c r="G21" s="42"/>
      <c r="H21" s="43"/>
      <c r="I21" s="42"/>
      <c r="J21" s="44"/>
    </row>
    <row r="22" spans="1:11" ht="18.75" x14ac:dyDescent="0.3">
      <c r="B22" s="45" t="s">
        <v>16</v>
      </c>
      <c r="C22" s="79">
        <f>SUM(C19:C21)</f>
        <v>2440</v>
      </c>
      <c r="G22" s="36"/>
      <c r="H22" s="37"/>
      <c r="I22" s="36"/>
      <c r="J22" s="36"/>
    </row>
  </sheetData>
  <mergeCells count="6">
    <mergeCell ref="G19:H19"/>
    <mergeCell ref="A1:K1"/>
    <mergeCell ref="A2:K2"/>
    <mergeCell ref="A3:K3"/>
    <mergeCell ref="A9:K9"/>
    <mergeCell ref="A13:K13"/>
  </mergeCells>
  <pageMargins left="0.59055118110236215" right="0.15748031496062992" top="0.47244094488188976" bottom="0.23622047244094488" header="0.31496062992125984" footer="0.31496062992125984"/>
  <pageSetup scale="87" orientation="landscape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13986-FF85-4928-851C-109C61897182}">
  <sheetPr>
    <pageSetUpPr fitToPage="1"/>
  </sheetPr>
  <dimension ref="A1:M31"/>
  <sheetViews>
    <sheetView topLeftCell="A8" workbookViewId="0">
      <selection activeCell="A22" sqref="A22:K22"/>
    </sheetView>
  </sheetViews>
  <sheetFormatPr defaultRowHeight="15" x14ac:dyDescent="0.25"/>
  <cols>
    <col min="1" max="1" width="4.42578125" bestFit="1" customWidth="1"/>
    <col min="2" max="2" width="27.5703125" customWidth="1"/>
    <col min="3" max="3" width="14.4257812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30.7109375" customWidth="1"/>
    <col min="13" max="13" width="13.140625" bestFit="1" customWidth="1"/>
  </cols>
  <sheetData>
    <row r="1" spans="1:13" ht="48.75" x14ac:dyDescent="0.25">
      <c r="A1" s="128" t="s">
        <v>458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3" ht="28.5" x14ac:dyDescent="0.45">
      <c r="A2" s="129" t="s">
        <v>934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3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3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3" ht="15.75" x14ac:dyDescent="0.25">
      <c r="A5" s="3">
        <v>1</v>
      </c>
      <c r="B5" s="3" t="s">
        <v>34</v>
      </c>
      <c r="C5" s="80">
        <v>500000</v>
      </c>
      <c r="D5" s="5">
        <v>46237</v>
      </c>
      <c r="E5" s="6">
        <v>0</v>
      </c>
      <c r="F5" s="3" t="s">
        <v>14</v>
      </c>
      <c r="G5" s="49">
        <v>301</v>
      </c>
      <c r="H5" s="7">
        <v>0</v>
      </c>
      <c r="I5" s="3" t="s">
        <v>15</v>
      </c>
      <c r="J5" s="5">
        <f>+D5-1</f>
        <v>46236</v>
      </c>
      <c r="K5" s="8" t="s">
        <v>262</v>
      </c>
    </row>
    <row r="6" spans="1:13" ht="15.75" x14ac:dyDescent="0.25">
      <c r="A6" s="3">
        <v>2</v>
      </c>
      <c r="B6" s="3" t="s">
        <v>45</v>
      </c>
      <c r="C6" s="80">
        <v>52700</v>
      </c>
      <c r="D6" s="5">
        <v>46237</v>
      </c>
      <c r="E6" s="6">
        <v>0</v>
      </c>
      <c r="F6" s="3" t="s">
        <v>14</v>
      </c>
      <c r="G6" s="49">
        <v>7214</v>
      </c>
      <c r="H6" s="7">
        <v>0</v>
      </c>
      <c r="I6" s="3" t="s">
        <v>15</v>
      </c>
      <c r="J6" s="5">
        <f>+D6-1</f>
        <v>46236</v>
      </c>
      <c r="K6" s="8" t="s">
        <v>46</v>
      </c>
      <c r="M6" s="98"/>
    </row>
    <row r="7" spans="1:13" ht="18.75" x14ac:dyDescent="0.3">
      <c r="A7" s="9"/>
      <c r="B7" s="10" t="s">
        <v>16</v>
      </c>
      <c r="C7" s="81">
        <f>SUM(C5:C6)</f>
        <v>552700</v>
      </c>
      <c r="D7" s="3"/>
      <c r="E7" s="12"/>
      <c r="F7" s="9"/>
      <c r="G7" s="13"/>
      <c r="H7" s="11">
        <f>SUM(H5:H5)</f>
        <v>0</v>
      </c>
      <c r="I7" s="9"/>
      <c r="J7" s="9"/>
      <c r="K7" s="9"/>
    </row>
    <row r="9" spans="1:13" ht="24" x14ac:dyDescent="0.4">
      <c r="A9" s="122" t="s">
        <v>17</v>
      </c>
      <c r="B9" s="123"/>
      <c r="C9" s="123"/>
      <c r="D9" s="123"/>
      <c r="E9" s="123"/>
      <c r="F9" s="123"/>
      <c r="G9" s="123"/>
      <c r="H9" s="123"/>
      <c r="I9" s="123"/>
      <c r="J9" s="123"/>
      <c r="K9" s="124"/>
    </row>
    <row r="10" spans="1:13" ht="15.75" x14ac:dyDescent="0.25">
      <c r="A10" s="3">
        <v>1</v>
      </c>
      <c r="B10" s="3" t="s">
        <v>935</v>
      </c>
      <c r="C10" s="80">
        <v>3270</v>
      </c>
      <c r="D10" s="5">
        <v>46237</v>
      </c>
      <c r="E10" s="14">
        <v>0</v>
      </c>
      <c r="F10" s="13" t="s">
        <v>18</v>
      </c>
      <c r="G10" s="55">
        <v>1429</v>
      </c>
      <c r="H10" s="16">
        <v>0</v>
      </c>
      <c r="I10" s="3" t="s">
        <v>19</v>
      </c>
      <c r="J10" s="5">
        <f t="shared" ref="J10:J20" si="0">+D10+1</f>
        <v>46238</v>
      </c>
      <c r="K10" s="13" t="s">
        <v>115</v>
      </c>
    </row>
    <row r="11" spans="1:13" ht="15.75" x14ac:dyDescent="0.25">
      <c r="A11" s="3">
        <v>2</v>
      </c>
      <c r="B11" s="3" t="s">
        <v>936</v>
      </c>
      <c r="C11" s="80">
        <v>4350</v>
      </c>
      <c r="D11" s="5">
        <f t="shared" ref="D11:D20" si="1">+D10</f>
        <v>46237</v>
      </c>
      <c r="E11" s="14">
        <v>0</v>
      </c>
      <c r="F11" s="13" t="s">
        <v>18</v>
      </c>
      <c r="G11" s="55">
        <v>7549</v>
      </c>
      <c r="H11" s="16">
        <v>0</v>
      </c>
      <c r="I11" s="3" t="s">
        <v>15</v>
      </c>
      <c r="J11" s="5">
        <f t="shared" si="0"/>
        <v>46238</v>
      </c>
      <c r="K11" s="13" t="s">
        <v>203</v>
      </c>
    </row>
    <row r="12" spans="1:13" ht="15.75" x14ac:dyDescent="0.25">
      <c r="A12" s="3">
        <v>3</v>
      </c>
      <c r="B12" s="3" t="s">
        <v>937</v>
      </c>
      <c r="C12" s="80">
        <v>1300</v>
      </c>
      <c r="D12" s="5">
        <f t="shared" si="1"/>
        <v>46237</v>
      </c>
      <c r="E12" s="14">
        <v>0</v>
      </c>
      <c r="F12" s="13" t="s">
        <v>18</v>
      </c>
      <c r="G12" s="55">
        <v>5598</v>
      </c>
      <c r="H12" s="16">
        <v>0</v>
      </c>
      <c r="I12" s="3" t="s">
        <v>15</v>
      </c>
      <c r="J12" s="5">
        <f t="shared" si="0"/>
        <v>46238</v>
      </c>
      <c r="K12" s="13" t="s">
        <v>745</v>
      </c>
    </row>
    <row r="13" spans="1:13" ht="15.75" x14ac:dyDescent="0.25">
      <c r="A13" s="3">
        <v>4</v>
      </c>
      <c r="B13" s="3" t="s">
        <v>938</v>
      </c>
      <c r="C13" s="80">
        <v>200</v>
      </c>
      <c r="D13" s="5">
        <f t="shared" si="1"/>
        <v>46237</v>
      </c>
      <c r="E13" s="14">
        <v>0</v>
      </c>
      <c r="F13" s="13" t="s">
        <v>18</v>
      </c>
      <c r="G13" s="55">
        <v>1922</v>
      </c>
      <c r="H13" s="16">
        <v>0</v>
      </c>
      <c r="I13" s="3" t="s">
        <v>15</v>
      </c>
      <c r="J13" s="5">
        <f t="shared" si="0"/>
        <v>46238</v>
      </c>
      <c r="K13" s="13" t="s">
        <v>115</v>
      </c>
    </row>
    <row r="14" spans="1:13" ht="15.75" x14ac:dyDescent="0.25">
      <c r="A14" s="3">
        <v>5</v>
      </c>
      <c r="B14" s="3" t="s">
        <v>939</v>
      </c>
      <c r="C14" s="80">
        <v>2200</v>
      </c>
      <c r="D14" s="5">
        <f t="shared" si="1"/>
        <v>46237</v>
      </c>
      <c r="E14" s="14">
        <v>0</v>
      </c>
      <c r="F14" s="13" t="s">
        <v>18</v>
      </c>
      <c r="G14" s="104">
        <v>7483</v>
      </c>
      <c r="H14" s="16">
        <v>0</v>
      </c>
      <c r="I14" s="3" t="s">
        <v>15</v>
      </c>
      <c r="J14" s="5">
        <f t="shared" si="0"/>
        <v>46238</v>
      </c>
      <c r="K14" s="13" t="s">
        <v>203</v>
      </c>
    </row>
    <row r="15" spans="1:13" ht="15.75" x14ac:dyDescent="0.25">
      <c r="A15" s="3">
        <v>6</v>
      </c>
      <c r="B15" s="3" t="s">
        <v>939</v>
      </c>
      <c r="C15" s="80">
        <v>1</v>
      </c>
      <c r="D15" s="5">
        <f t="shared" si="1"/>
        <v>46237</v>
      </c>
      <c r="E15" s="14">
        <v>0</v>
      </c>
      <c r="F15" s="13" t="s">
        <v>18</v>
      </c>
      <c r="G15" s="55">
        <v>1635</v>
      </c>
      <c r="H15" s="16">
        <v>0</v>
      </c>
      <c r="I15" s="3" t="s">
        <v>15</v>
      </c>
      <c r="J15" s="5">
        <f t="shared" si="0"/>
        <v>46238</v>
      </c>
      <c r="K15" s="13" t="s">
        <v>204</v>
      </c>
    </row>
    <row r="16" spans="1:13" ht="15.75" x14ac:dyDescent="0.25">
      <c r="A16" s="3">
        <v>7</v>
      </c>
      <c r="B16" s="3" t="s">
        <v>940</v>
      </c>
      <c r="C16" s="80">
        <v>1030</v>
      </c>
      <c r="D16" s="5">
        <f t="shared" si="1"/>
        <v>46237</v>
      </c>
      <c r="E16" s="14">
        <v>0</v>
      </c>
      <c r="F16" s="13" t="s">
        <v>18</v>
      </c>
      <c r="G16" s="55">
        <v>5809</v>
      </c>
      <c r="H16" s="16">
        <v>0</v>
      </c>
      <c r="I16" s="3" t="s">
        <v>15</v>
      </c>
      <c r="J16" s="5">
        <f t="shared" si="0"/>
        <v>46238</v>
      </c>
      <c r="K16" s="13" t="s">
        <v>115</v>
      </c>
    </row>
    <row r="17" spans="1:11" ht="15.75" x14ac:dyDescent="0.25">
      <c r="A17" s="3">
        <v>8</v>
      </c>
      <c r="B17" s="3" t="s">
        <v>941</v>
      </c>
      <c r="C17" s="80">
        <v>505</v>
      </c>
      <c r="D17" s="5">
        <f t="shared" si="1"/>
        <v>46237</v>
      </c>
      <c r="E17" s="14">
        <v>0</v>
      </c>
      <c r="F17" s="13" t="s">
        <v>18</v>
      </c>
      <c r="G17" s="55">
        <v>1775</v>
      </c>
      <c r="H17" s="16">
        <v>0</v>
      </c>
      <c r="I17" s="3" t="s">
        <v>15</v>
      </c>
      <c r="J17" s="5">
        <f t="shared" si="0"/>
        <v>46238</v>
      </c>
      <c r="K17" s="13" t="s">
        <v>115</v>
      </c>
    </row>
    <row r="18" spans="1:11" ht="15.75" x14ac:dyDescent="0.25">
      <c r="A18" s="3">
        <v>9</v>
      </c>
      <c r="B18" s="3" t="s">
        <v>941</v>
      </c>
      <c r="C18" s="80">
        <v>14063</v>
      </c>
      <c r="D18" s="5">
        <f t="shared" si="1"/>
        <v>46237</v>
      </c>
      <c r="E18" s="14">
        <v>0</v>
      </c>
      <c r="F18" s="13" t="s">
        <v>18</v>
      </c>
      <c r="G18" s="55">
        <v>8509</v>
      </c>
      <c r="H18" s="16">
        <v>0</v>
      </c>
      <c r="I18" s="3" t="s">
        <v>15</v>
      </c>
      <c r="J18" s="5">
        <f t="shared" si="0"/>
        <v>46238</v>
      </c>
      <c r="K18" s="13" t="s">
        <v>102</v>
      </c>
    </row>
    <row r="19" spans="1:11" ht="15.75" x14ac:dyDescent="0.25">
      <c r="A19" s="3">
        <v>10</v>
      </c>
      <c r="B19" s="3" t="s">
        <v>942</v>
      </c>
      <c r="C19" s="80">
        <v>23200</v>
      </c>
      <c r="D19" s="5">
        <f t="shared" si="1"/>
        <v>46237</v>
      </c>
      <c r="E19" s="14">
        <v>0</v>
      </c>
      <c r="F19" s="13" t="s">
        <v>18</v>
      </c>
      <c r="G19" s="55">
        <v>5313</v>
      </c>
      <c r="H19" s="16">
        <v>0</v>
      </c>
      <c r="I19" s="3" t="s">
        <v>15</v>
      </c>
      <c r="J19" s="5">
        <f t="shared" si="0"/>
        <v>46238</v>
      </c>
      <c r="K19" s="13" t="s">
        <v>945</v>
      </c>
    </row>
    <row r="20" spans="1:11" ht="15.75" x14ac:dyDescent="0.25">
      <c r="A20" s="3">
        <v>11</v>
      </c>
      <c r="B20" s="3" t="s">
        <v>943</v>
      </c>
      <c r="C20" s="80">
        <v>820</v>
      </c>
      <c r="D20" s="5">
        <f t="shared" si="1"/>
        <v>46237</v>
      </c>
      <c r="E20" s="14">
        <v>0</v>
      </c>
      <c r="F20" s="13" t="s">
        <v>18</v>
      </c>
      <c r="G20" s="55">
        <v>35</v>
      </c>
      <c r="H20" s="16">
        <v>0</v>
      </c>
      <c r="I20" s="3" t="s">
        <v>15</v>
      </c>
      <c r="J20" s="5">
        <f t="shared" si="0"/>
        <v>46238</v>
      </c>
      <c r="K20" s="13" t="s">
        <v>115</v>
      </c>
    </row>
    <row r="21" spans="1:11" ht="18.75" x14ac:dyDescent="0.3">
      <c r="A21" s="3"/>
      <c r="B21" s="17" t="s">
        <v>16</v>
      </c>
      <c r="C21" s="82">
        <f>SUM(C10:C20)</f>
        <v>50939</v>
      </c>
      <c r="D21" s="3"/>
      <c r="E21" s="3"/>
      <c r="F21" s="13"/>
      <c r="G21" s="13"/>
      <c r="H21" s="11"/>
      <c r="I21" s="3"/>
      <c r="J21" s="3"/>
      <c r="K21" s="3"/>
    </row>
    <row r="22" spans="1:11" ht="24.75" x14ac:dyDescent="0.5">
      <c r="A22" s="125" t="s">
        <v>20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7"/>
    </row>
    <row r="23" spans="1:11" ht="18.75" x14ac:dyDescent="0.3">
      <c r="A23" s="19" t="s">
        <v>3</v>
      </c>
      <c r="B23" s="19" t="s">
        <v>21</v>
      </c>
      <c r="C23" s="50" t="s">
        <v>5</v>
      </c>
      <c r="D23" s="1" t="s">
        <v>22</v>
      </c>
      <c r="E23" s="19" t="s">
        <v>7</v>
      </c>
      <c r="F23" s="19" t="s">
        <v>8</v>
      </c>
      <c r="G23" s="19" t="s">
        <v>23</v>
      </c>
      <c r="H23" s="20" t="s">
        <v>24</v>
      </c>
      <c r="I23" s="19" t="s">
        <v>11</v>
      </c>
      <c r="J23" s="19" t="s">
        <v>25</v>
      </c>
      <c r="K23" s="21" t="s">
        <v>26</v>
      </c>
    </row>
    <row r="24" spans="1:11" ht="15.75" x14ac:dyDescent="0.25">
      <c r="A24" s="8">
        <v>1</v>
      </c>
      <c r="B24" s="8" t="s">
        <v>944</v>
      </c>
      <c r="C24" s="75">
        <v>500000</v>
      </c>
      <c r="D24" s="5">
        <v>46237</v>
      </c>
      <c r="E24" s="8"/>
      <c r="F24" s="8"/>
      <c r="G24" s="22">
        <v>28</v>
      </c>
      <c r="H24" s="23"/>
      <c r="I24" s="24"/>
      <c r="J24" s="5">
        <v>46237</v>
      </c>
      <c r="K24" s="13" t="s">
        <v>498</v>
      </c>
    </row>
    <row r="25" spans="1:11" ht="15" customHeight="1" x14ac:dyDescent="0.25">
      <c r="A25" s="8">
        <v>2</v>
      </c>
      <c r="B25" s="8" t="s">
        <v>41</v>
      </c>
      <c r="C25" s="75">
        <v>34846</v>
      </c>
      <c r="D25" s="5">
        <v>46237</v>
      </c>
      <c r="E25" s="8"/>
      <c r="F25" s="8"/>
      <c r="G25" s="22">
        <v>156</v>
      </c>
      <c r="H25" s="23"/>
      <c r="I25" s="24"/>
      <c r="J25" s="5">
        <v>46237</v>
      </c>
      <c r="K25" s="13" t="s">
        <v>115</v>
      </c>
    </row>
    <row r="26" spans="1:11" ht="18.75" x14ac:dyDescent="0.25">
      <c r="A26" s="8"/>
      <c r="B26" s="25" t="s">
        <v>27</v>
      </c>
      <c r="C26" s="83">
        <f>SUM(C24:C25)</f>
        <v>534846</v>
      </c>
      <c r="D26" s="3"/>
      <c r="E26" s="8"/>
      <c r="F26" s="8"/>
      <c r="G26" s="8"/>
      <c r="H26" s="27">
        <v>0</v>
      </c>
      <c r="I26" s="24"/>
      <c r="J26" s="3"/>
      <c r="K26" s="28"/>
    </row>
    <row r="27" spans="1:11" x14ac:dyDescent="0.25">
      <c r="C27" s="29"/>
      <c r="H27" s="29"/>
    </row>
    <row r="28" spans="1:11" ht="16.5" x14ac:dyDescent="0.3">
      <c r="B28" s="30" t="s">
        <v>28</v>
      </c>
      <c r="C28" s="76">
        <f>SUM(C11,C12,C14,C15,C18)</f>
        <v>21914</v>
      </c>
      <c r="E28" s="32"/>
      <c r="F28" s="32"/>
      <c r="G28" s="116"/>
      <c r="H28" s="116"/>
    </row>
    <row r="29" spans="1:11" ht="16.5" x14ac:dyDescent="0.3">
      <c r="B29" s="33" t="s">
        <v>29</v>
      </c>
      <c r="C29" s="77">
        <f>SUM(C20,C17,C16,C13,C10)</f>
        <v>5825</v>
      </c>
      <c r="E29" s="35"/>
      <c r="F29" s="35"/>
      <c r="G29" s="36" t="s">
        <v>30</v>
      </c>
      <c r="H29" s="37"/>
    </row>
    <row r="30" spans="1:11" ht="24" x14ac:dyDescent="0.4">
      <c r="B30" s="38" t="s">
        <v>946</v>
      </c>
      <c r="C30" s="78">
        <f>SUM(C19)</f>
        <v>23200</v>
      </c>
      <c r="E30" s="40" t="s">
        <v>32</v>
      </c>
      <c r="F30" s="41"/>
      <c r="G30" s="42"/>
      <c r="H30" s="43"/>
      <c r="I30" s="42"/>
      <c r="J30" s="44"/>
    </row>
    <row r="31" spans="1:11" ht="18.75" x14ac:dyDescent="0.3">
      <c r="B31" s="45" t="s">
        <v>16</v>
      </c>
      <c r="C31" s="79">
        <f>SUM(C28:C30)</f>
        <v>50939</v>
      </c>
      <c r="G31" s="36"/>
      <c r="H31" s="37"/>
      <c r="I31" s="36"/>
      <c r="J31" s="36"/>
    </row>
  </sheetData>
  <mergeCells count="6">
    <mergeCell ref="G28:H28"/>
    <mergeCell ref="A1:K1"/>
    <mergeCell ref="A2:K2"/>
    <mergeCell ref="A3:K3"/>
    <mergeCell ref="A9:K9"/>
    <mergeCell ref="A22:K22"/>
  </mergeCells>
  <pageMargins left="0" right="0" top="0" bottom="0" header="0" footer="0"/>
  <pageSetup scale="85" orientation="landscape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22AC5-E87C-4B9E-BA21-7A272AA4A9E3}">
  <sheetPr>
    <pageSetUpPr fitToPage="1"/>
  </sheetPr>
  <dimension ref="A1:K26"/>
  <sheetViews>
    <sheetView topLeftCell="A10" workbookViewId="0">
      <selection activeCell="R20" sqref="R20"/>
    </sheetView>
  </sheetViews>
  <sheetFormatPr defaultRowHeight="15" x14ac:dyDescent="0.25"/>
  <cols>
    <col min="1" max="1" width="4.42578125" bestFit="1" customWidth="1"/>
    <col min="2" max="2" width="25.28515625" bestFit="1" customWidth="1"/>
    <col min="3" max="3" width="12.710937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32.28515625" customWidth="1"/>
  </cols>
  <sheetData>
    <row r="1" spans="1:11" ht="48.75" x14ac:dyDescent="0.25">
      <c r="A1" s="128" t="s">
        <v>458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947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46238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46237</v>
      </c>
      <c r="K5" s="8" t="s">
        <v>33</v>
      </c>
    </row>
    <row r="6" spans="1:11" ht="18.75" x14ac:dyDescent="0.3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4" x14ac:dyDescent="0.4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75" x14ac:dyDescent="0.25">
      <c r="A9" s="3">
        <v>1</v>
      </c>
      <c r="B9" s="3" t="s">
        <v>948</v>
      </c>
      <c r="C9" s="80">
        <v>1800</v>
      </c>
      <c r="D9" s="5">
        <v>46238</v>
      </c>
      <c r="E9" s="14">
        <v>0</v>
      </c>
      <c r="F9" s="13" t="s">
        <v>18</v>
      </c>
      <c r="G9" s="55">
        <v>4644</v>
      </c>
      <c r="H9" s="16">
        <v>0</v>
      </c>
      <c r="I9" s="3" t="s">
        <v>19</v>
      </c>
      <c r="J9" s="5">
        <f t="shared" ref="J9:J14" si="0">+D9+1</f>
        <v>46239</v>
      </c>
      <c r="K9" s="13" t="s">
        <v>954</v>
      </c>
    </row>
    <row r="10" spans="1:11" ht="15.75" x14ac:dyDescent="0.25">
      <c r="A10" s="3">
        <v>2</v>
      </c>
      <c r="B10" s="3" t="s">
        <v>949</v>
      </c>
      <c r="C10" s="80">
        <v>1350</v>
      </c>
      <c r="D10" s="5">
        <f t="shared" ref="D10:D14" si="1">+D9</f>
        <v>46238</v>
      </c>
      <c r="E10" s="14">
        <v>0</v>
      </c>
      <c r="F10" s="13" t="s">
        <v>18</v>
      </c>
      <c r="G10" s="55">
        <v>677</v>
      </c>
      <c r="H10" s="16">
        <v>0</v>
      </c>
      <c r="I10" s="3" t="s">
        <v>15</v>
      </c>
      <c r="J10" s="5">
        <f t="shared" si="0"/>
        <v>46239</v>
      </c>
      <c r="K10" s="13" t="s">
        <v>955</v>
      </c>
    </row>
    <row r="11" spans="1:11" ht="15.75" x14ac:dyDescent="0.25">
      <c r="A11" s="3">
        <v>3</v>
      </c>
      <c r="B11" s="3" t="s">
        <v>949</v>
      </c>
      <c r="C11" s="80">
        <v>5</v>
      </c>
      <c r="D11" s="5">
        <f t="shared" si="1"/>
        <v>46238</v>
      </c>
      <c r="E11" s="14">
        <v>0</v>
      </c>
      <c r="F11" s="13" t="s">
        <v>18</v>
      </c>
      <c r="G11" s="55">
        <v>8997</v>
      </c>
      <c r="H11" s="16">
        <v>0</v>
      </c>
      <c r="I11" s="3" t="s">
        <v>15</v>
      </c>
      <c r="J11" s="5">
        <f t="shared" si="0"/>
        <v>46239</v>
      </c>
      <c r="K11" s="13" t="s">
        <v>955</v>
      </c>
    </row>
    <row r="12" spans="1:11" ht="15.75" x14ac:dyDescent="0.25">
      <c r="A12" s="3">
        <v>4</v>
      </c>
      <c r="B12" s="3" t="s">
        <v>950</v>
      </c>
      <c r="C12" s="80">
        <v>940</v>
      </c>
      <c r="D12" s="5">
        <f t="shared" si="1"/>
        <v>46238</v>
      </c>
      <c r="E12" s="14">
        <v>0</v>
      </c>
      <c r="F12" s="13" t="s">
        <v>18</v>
      </c>
      <c r="G12" s="55">
        <v>3280</v>
      </c>
      <c r="H12" s="16">
        <v>0</v>
      </c>
      <c r="I12" s="3" t="s">
        <v>15</v>
      </c>
      <c r="J12" s="5">
        <f t="shared" si="0"/>
        <v>46239</v>
      </c>
      <c r="K12" s="13" t="s">
        <v>115</v>
      </c>
    </row>
    <row r="13" spans="1:11" ht="15.75" x14ac:dyDescent="0.25">
      <c r="A13" s="3">
        <v>5</v>
      </c>
      <c r="B13" s="3" t="s">
        <v>951</v>
      </c>
      <c r="C13" s="80">
        <v>2900</v>
      </c>
      <c r="D13" s="5">
        <f t="shared" si="1"/>
        <v>46238</v>
      </c>
      <c r="E13" s="14">
        <v>0</v>
      </c>
      <c r="F13" s="13" t="s">
        <v>18</v>
      </c>
      <c r="G13" s="55">
        <v>1143</v>
      </c>
      <c r="H13" s="16">
        <v>0</v>
      </c>
      <c r="I13" s="3" t="s">
        <v>15</v>
      </c>
      <c r="J13" s="5">
        <f t="shared" si="0"/>
        <v>46239</v>
      </c>
      <c r="K13" s="13" t="s">
        <v>115</v>
      </c>
    </row>
    <row r="14" spans="1:11" ht="15.75" x14ac:dyDescent="0.25">
      <c r="A14" s="3">
        <v>6</v>
      </c>
      <c r="B14" s="3" t="s">
        <v>952</v>
      </c>
      <c r="C14" s="80">
        <v>1280</v>
      </c>
      <c r="D14" s="5">
        <f t="shared" si="1"/>
        <v>46238</v>
      </c>
      <c r="E14" s="14">
        <v>0</v>
      </c>
      <c r="F14" s="13" t="s">
        <v>18</v>
      </c>
      <c r="G14" s="55">
        <v>7445</v>
      </c>
      <c r="H14" s="16">
        <v>0</v>
      </c>
      <c r="I14" s="3" t="s">
        <v>15</v>
      </c>
      <c r="J14" s="5">
        <f t="shared" si="0"/>
        <v>46239</v>
      </c>
      <c r="K14" s="13" t="s">
        <v>204</v>
      </c>
    </row>
    <row r="15" spans="1:11" ht="18.75" x14ac:dyDescent="0.3">
      <c r="A15" s="3"/>
      <c r="B15" s="17" t="s">
        <v>16</v>
      </c>
      <c r="C15" s="82">
        <f>SUM(C9:C14)</f>
        <v>8275</v>
      </c>
      <c r="D15" s="3"/>
      <c r="E15" s="3"/>
      <c r="F15" s="13"/>
      <c r="G15" s="13"/>
      <c r="H15" s="11"/>
      <c r="I15" s="3"/>
      <c r="J15" s="3"/>
      <c r="K15" s="3"/>
    </row>
    <row r="16" spans="1:11" ht="24.75" x14ac:dyDescent="0.5">
      <c r="A16" s="125" t="s">
        <v>20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7"/>
    </row>
    <row r="17" spans="1:11" ht="18.75" x14ac:dyDescent="0.3">
      <c r="A17" s="19" t="s">
        <v>3</v>
      </c>
      <c r="B17" s="19" t="s">
        <v>21</v>
      </c>
      <c r="C17" s="50" t="s">
        <v>5</v>
      </c>
      <c r="D17" s="1" t="s">
        <v>22</v>
      </c>
      <c r="E17" s="19" t="s">
        <v>7</v>
      </c>
      <c r="F17" s="19" t="s">
        <v>8</v>
      </c>
      <c r="G17" s="19" t="s">
        <v>23</v>
      </c>
      <c r="H17" s="20" t="s">
        <v>24</v>
      </c>
      <c r="I17" s="19" t="s">
        <v>11</v>
      </c>
      <c r="J17" s="19" t="s">
        <v>25</v>
      </c>
      <c r="K17" s="21" t="s">
        <v>26</v>
      </c>
    </row>
    <row r="18" spans="1:11" ht="15.75" x14ac:dyDescent="0.25">
      <c r="A18" s="8">
        <v>1</v>
      </c>
      <c r="B18" s="8" t="s">
        <v>823</v>
      </c>
      <c r="C18" s="75">
        <v>22720</v>
      </c>
      <c r="D18" s="5">
        <v>46238</v>
      </c>
      <c r="E18" s="8"/>
      <c r="F18" s="8"/>
      <c r="G18" s="22">
        <v>9894</v>
      </c>
      <c r="H18" s="23"/>
      <c r="I18" s="24"/>
      <c r="J18" s="5">
        <v>46238</v>
      </c>
      <c r="K18" s="13" t="s">
        <v>115</v>
      </c>
    </row>
    <row r="19" spans="1:11" ht="15.75" x14ac:dyDescent="0.25">
      <c r="A19" s="8">
        <v>2</v>
      </c>
      <c r="B19" s="8" t="s">
        <v>953</v>
      </c>
      <c r="C19" s="75">
        <v>6453.47</v>
      </c>
      <c r="D19" s="5">
        <v>46238</v>
      </c>
      <c r="E19" s="8"/>
      <c r="F19" s="8"/>
      <c r="G19" s="22">
        <v>6427</v>
      </c>
      <c r="H19" s="23"/>
      <c r="I19" s="24"/>
      <c r="J19" s="5">
        <v>46238</v>
      </c>
      <c r="K19" s="13" t="s">
        <v>956</v>
      </c>
    </row>
    <row r="20" spans="1:11" ht="15.75" x14ac:dyDescent="0.25">
      <c r="A20" s="8">
        <v>3</v>
      </c>
      <c r="B20" s="8" t="s">
        <v>823</v>
      </c>
      <c r="C20" s="75">
        <v>25080</v>
      </c>
      <c r="D20" s="5">
        <v>46238</v>
      </c>
      <c r="E20" s="8"/>
      <c r="F20" s="8"/>
      <c r="G20" s="22">
        <v>4028</v>
      </c>
      <c r="H20" s="23"/>
      <c r="I20" s="24"/>
      <c r="J20" s="5">
        <v>46238</v>
      </c>
      <c r="K20" s="13" t="s">
        <v>115</v>
      </c>
    </row>
    <row r="21" spans="1:11" ht="18.75" x14ac:dyDescent="0.25">
      <c r="A21" s="8"/>
      <c r="B21" s="25" t="s">
        <v>27</v>
      </c>
      <c r="C21" s="83">
        <f>SUM(C18:C20)</f>
        <v>54253.47</v>
      </c>
      <c r="D21" s="3"/>
      <c r="E21" s="8"/>
      <c r="F21" s="8"/>
      <c r="G21" s="8"/>
      <c r="H21" s="27">
        <v>0</v>
      </c>
      <c r="I21" s="24"/>
      <c r="J21" s="3"/>
      <c r="K21" s="28"/>
    </row>
    <row r="22" spans="1:11" x14ac:dyDescent="0.25">
      <c r="C22" s="29"/>
      <c r="H22" s="29"/>
    </row>
    <row r="23" spans="1:11" ht="16.5" x14ac:dyDescent="0.3">
      <c r="B23" s="30" t="s">
        <v>28</v>
      </c>
      <c r="C23" s="76">
        <f>SUM(C10,C11,C14)</f>
        <v>2635</v>
      </c>
      <c r="E23" s="32"/>
      <c r="F23" s="32"/>
      <c r="G23" s="116"/>
      <c r="H23" s="116"/>
    </row>
    <row r="24" spans="1:11" ht="16.5" x14ac:dyDescent="0.3">
      <c r="B24" s="33" t="s">
        <v>29</v>
      </c>
      <c r="C24" s="77">
        <f>SUM(C12,C13,C9)</f>
        <v>5640</v>
      </c>
      <c r="E24" s="35"/>
      <c r="F24" s="35"/>
      <c r="G24" s="36" t="s">
        <v>30</v>
      </c>
      <c r="H24" s="37"/>
    </row>
    <row r="25" spans="1:11" ht="24" x14ac:dyDescent="0.4">
      <c r="B25" s="38" t="s">
        <v>31</v>
      </c>
      <c r="C25" s="78"/>
      <c r="E25" s="40" t="s">
        <v>32</v>
      </c>
      <c r="F25" s="41"/>
      <c r="G25" s="42"/>
      <c r="H25" s="43"/>
      <c r="I25" s="42"/>
      <c r="J25" s="44"/>
    </row>
    <row r="26" spans="1:11" ht="18.75" x14ac:dyDescent="0.3">
      <c r="B26" s="45" t="s">
        <v>16</v>
      </c>
      <c r="C26" s="79">
        <f>SUM(C23:C25)</f>
        <v>8275</v>
      </c>
      <c r="G26" s="36"/>
      <c r="H26" s="37"/>
      <c r="I26" s="36"/>
      <c r="J26" s="36"/>
    </row>
  </sheetData>
  <mergeCells count="6">
    <mergeCell ref="G23:H23"/>
    <mergeCell ref="A1:K1"/>
    <mergeCell ref="A2:K2"/>
    <mergeCell ref="A3:K3"/>
    <mergeCell ref="A8:K8"/>
    <mergeCell ref="A16:K16"/>
  </mergeCells>
  <pageMargins left="0" right="0" top="0" bottom="0" header="0" footer="0"/>
  <pageSetup scale="86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710B5-B096-4F2E-8795-2EFFEA753FFE}">
  <dimension ref="A1:M30"/>
  <sheetViews>
    <sheetView topLeftCell="A17" workbookViewId="0">
      <selection activeCell="A21" sqref="A21:K21"/>
    </sheetView>
  </sheetViews>
  <sheetFormatPr defaultRowHeight="15" x14ac:dyDescent="0.25"/>
  <cols>
    <col min="1" max="1" width="4.42578125" bestFit="1" customWidth="1"/>
    <col min="2" max="2" width="23.5703125" customWidth="1"/>
    <col min="3" max="3" width="14.4257812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34.28515625" customWidth="1"/>
    <col min="13" max="13" width="13.140625" bestFit="1" customWidth="1"/>
  </cols>
  <sheetData>
    <row r="1" spans="1:13" ht="24.75" x14ac:dyDescent="0.25">
      <c r="A1" s="117" t="s">
        <v>829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3" ht="21" x14ac:dyDescent="0.35">
      <c r="A2" s="118" t="s">
        <v>957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3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3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3" ht="15.75" x14ac:dyDescent="0.25">
      <c r="A5" s="3">
        <v>1</v>
      </c>
      <c r="B5" s="3" t="s">
        <v>45</v>
      </c>
      <c r="C5" s="80">
        <v>73500</v>
      </c>
      <c r="D5" s="5">
        <v>46239</v>
      </c>
      <c r="E5" s="6">
        <v>0</v>
      </c>
      <c r="F5" s="3" t="s">
        <v>14</v>
      </c>
      <c r="G5" s="49">
        <v>2948</v>
      </c>
      <c r="H5" s="7">
        <v>0</v>
      </c>
      <c r="I5" s="3" t="s">
        <v>15</v>
      </c>
      <c r="J5" s="5">
        <f>+D5-1</f>
        <v>46238</v>
      </c>
      <c r="K5" s="8" t="s">
        <v>965</v>
      </c>
    </row>
    <row r="6" spans="1:13" ht="15.75" x14ac:dyDescent="0.25">
      <c r="A6" s="3">
        <v>2</v>
      </c>
      <c r="B6" s="3" t="s">
        <v>45</v>
      </c>
      <c r="C6" s="80">
        <v>1000</v>
      </c>
      <c r="D6" s="5">
        <v>46239</v>
      </c>
      <c r="E6" s="6">
        <v>0</v>
      </c>
      <c r="F6" s="3" t="s">
        <v>14</v>
      </c>
      <c r="G6" s="49">
        <v>2951</v>
      </c>
      <c r="H6" s="7">
        <v>0</v>
      </c>
      <c r="I6" s="3" t="s">
        <v>15</v>
      </c>
      <c r="J6" s="5">
        <f>+D6-1</f>
        <v>46238</v>
      </c>
      <c r="K6" s="8" t="s">
        <v>965</v>
      </c>
    </row>
    <row r="7" spans="1:13" ht="15.75" x14ac:dyDescent="0.25">
      <c r="A7" s="3">
        <v>3</v>
      </c>
      <c r="B7" s="3" t="s">
        <v>45</v>
      </c>
      <c r="C7" s="80">
        <v>500</v>
      </c>
      <c r="D7" s="5">
        <v>46239</v>
      </c>
      <c r="E7" s="6">
        <v>0</v>
      </c>
      <c r="F7" s="3" t="s">
        <v>14</v>
      </c>
      <c r="G7" s="49">
        <v>2954</v>
      </c>
      <c r="H7" s="7">
        <v>0</v>
      </c>
      <c r="I7" s="3" t="s">
        <v>15</v>
      </c>
      <c r="J7" s="5">
        <f>+D7-1</f>
        <v>46238</v>
      </c>
      <c r="K7" s="8" t="s">
        <v>965</v>
      </c>
    </row>
    <row r="8" spans="1:13" ht="15.75" x14ac:dyDescent="0.25">
      <c r="A8" s="3">
        <v>4</v>
      </c>
      <c r="B8" s="3" t="s">
        <v>45</v>
      </c>
      <c r="C8" s="80">
        <v>89500</v>
      </c>
      <c r="D8" s="5">
        <v>46239</v>
      </c>
      <c r="E8" s="6">
        <v>0</v>
      </c>
      <c r="F8" s="3" t="s">
        <v>14</v>
      </c>
      <c r="G8" s="49">
        <v>7388</v>
      </c>
      <c r="H8" s="7">
        <v>0</v>
      </c>
      <c r="I8" s="3" t="s">
        <v>15</v>
      </c>
      <c r="J8" s="5">
        <f>+D8-1</f>
        <v>46238</v>
      </c>
      <c r="K8" s="8" t="s">
        <v>46</v>
      </c>
    </row>
    <row r="9" spans="1:13" ht="15.75" x14ac:dyDescent="0.25">
      <c r="A9" s="3"/>
      <c r="B9" s="3" t="s">
        <v>45</v>
      </c>
      <c r="C9" s="80">
        <v>4000</v>
      </c>
      <c r="D9" s="5">
        <v>46239</v>
      </c>
      <c r="E9" s="6">
        <v>0</v>
      </c>
      <c r="F9" s="3" t="s">
        <v>14</v>
      </c>
      <c r="G9" s="49">
        <v>7391</v>
      </c>
      <c r="H9" s="7">
        <v>0</v>
      </c>
      <c r="I9" s="3" t="s">
        <v>15</v>
      </c>
      <c r="J9" s="5">
        <f>+D9-1</f>
        <v>46238</v>
      </c>
      <c r="K9" s="8" t="s">
        <v>46</v>
      </c>
    </row>
    <row r="10" spans="1:13" ht="18.75" x14ac:dyDescent="0.3">
      <c r="A10" s="9"/>
      <c r="B10" s="10" t="s">
        <v>16</v>
      </c>
      <c r="C10" s="81">
        <f>SUM(C5:C9)</f>
        <v>168500</v>
      </c>
      <c r="D10" s="3"/>
      <c r="E10" s="12"/>
      <c r="F10" s="3"/>
      <c r="G10" s="13"/>
      <c r="H10" s="11">
        <f>SUM(H5:H5)</f>
        <v>0</v>
      </c>
      <c r="I10" s="9"/>
      <c r="J10" s="9"/>
      <c r="K10" s="9"/>
      <c r="M10" s="98"/>
    </row>
    <row r="11" spans="1:13" x14ac:dyDescent="0.25">
      <c r="M11" s="98"/>
    </row>
    <row r="12" spans="1:13" ht="24" x14ac:dyDescent="0.4">
      <c r="A12" s="122" t="s">
        <v>17</v>
      </c>
      <c r="B12" s="123"/>
      <c r="C12" s="123"/>
      <c r="D12" s="123"/>
      <c r="E12" s="123"/>
      <c r="F12" s="123"/>
      <c r="G12" s="123"/>
      <c r="H12" s="123"/>
      <c r="I12" s="123"/>
      <c r="J12" s="123"/>
      <c r="K12" s="124"/>
    </row>
    <row r="13" spans="1:13" ht="15.75" x14ac:dyDescent="0.25">
      <c r="A13" s="3">
        <v>1</v>
      </c>
      <c r="B13" s="3" t="s">
        <v>958</v>
      </c>
      <c r="C13" s="80">
        <v>19013</v>
      </c>
      <c r="D13" s="5">
        <v>46239</v>
      </c>
      <c r="E13" s="14">
        <v>0</v>
      </c>
      <c r="F13" s="13" t="s">
        <v>18</v>
      </c>
      <c r="G13" s="55">
        <v>2598</v>
      </c>
      <c r="H13" s="16">
        <v>0</v>
      </c>
      <c r="I13" s="3" t="s">
        <v>19</v>
      </c>
      <c r="J13" s="5">
        <f t="shared" ref="J13:J19" si="0">+D13+1</f>
        <v>46240</v>
      </c>
      <c r="K13" s="13" t="s">
        <v>964</v>
      </c>
    </row>
    <row r="14" spans="1:13" ht="15.75" x14ac:dyDescent="0.25">
      <c r="A14" s="3">
        <v>2</v>
      </c>
      <c r="B14" s="3" t="s">
        <v>97</v>
      </c>
      <c r="C14" s="80">
        <v>1150</v>
      </c>
      <c r="D14" s="5">
        <f t="shared" ref="D14:D19" si="1">+D13</f>
        <v>46239</v>
      </c>
      <c r="E14" s="14">
        <v>0</v>
      </c>
      <c r="F14" s="13" t="s">
        <v>18</v>
      </c>
      <c r="G14" s="55">
        <v>6947</v>
      </c>
      <c r="H14" s="16">
        <v>0</v>
      </c>
      <c r="I14" s="3" t="s">
        <v>15</v>
      </c>
      <c r="J14" s="5">
        <f t="shared" si="0"/>
        <v>46240</v>
      </c>
      <c r="K14" s="13" t="s">
        <v>204</v>
      </c>
    </row>
    <row r="15" spans="1:13" ht="15.75" x14ac:dyDescent="0.25">
      <c r="A15" s="3">
        <v>3</v>
      </c>
      <c r="B15" s="3" t="s">
        <v>97</v>
      </c>
      <c r="C15" s="80">
        <v>2000</v>
      </c>
      <c r="D15" s="5">
        <f t="shared" si="1"/>
        <v>46239</v>
      </c>
      <c r="E15" s="14">
        <v>0</v>
      </c>
      <c r="F15" s="13" t="s">
        <v>18</v>
      </c>
      <c r="G15" s="55">
        <v>7470</v>
      </c>
      <c r="H15" s="16">
        <v>0</v>
      </c>
      <c r="I15" s="3" t="s">
        <v>15</v>
      </c>
      <c r="J15" s="5">
        <f t="shared" si="0"/>
        <v>46240</v>
      </c>
      <c r="K15" s="13" t="s">
        <v>204</v>
      </c>
    </row>
    <row r="16" spans="1:13" ht="15.75" x14ac:dyDescent="0.25">
      <c r="A16" s="3">
        <v>4</v>
      </c>
      <c r="B16" s="3" t="s">
        <v>959</v>
      </c>
      <c r="C16" s="80">
        <v>11300</v>
      </c>
      <c r="D16" s="5">
        <f t="shared" si="1"/>
        <v>46239</v>
      </c>
      <c r="E16" s="14">
        <v>0</v>
      </c>
      <c r="F16" s="13" t="s">
        <v>18</v>
      </c>
      <c r="G16" s="55">
        <v>79</v>
      </c>
      <c r="H16" s="16">
        <v>0</v>
      </c>
      <c r="I16" s="3" t="s">
        <v>15</v>
      </c>
      <c r="J16" s="5">
        <f t="shared" si="0"/>
        <v>46240</v>
      </c>
      <c r="K16" s="13" t="s">
        <v>945</v>
      </c>
    </row>
    <row r="17" spans="1:11" ht="15.75" x14ac:dyDescent="0.25">
      <c r="A17" s="3">
        <v>5</v>
      </c>
      <c r="B17" s="3" t="s">
        <v>960</v>
      </c>
      <c r="C17" s="80">
        <v>550</v>
      </c>
      <c r="D17" s="5">
        <f t="shared" si="1"/>
        <v>46239</v>
      </c>
      <c r="E17" s="14">
        <v>0</v>
      </c>
      <c r="F17" s="13" t="s">
        <v>18</v>
      </c>
      <c r="G17" s="55">
        <v>4392</v>
      </c>
      <c r="H17" s="16">
        <v>0</v>
      </c>
      <c r="I17" s="3" t="s">
        <v>15</v>
      </c>
      <c r="J17" s="5">
        <f t="shared" si="0"/>
        <v>46240</v>
      </c>
      <c r="K17" s="13" t="s">
        <v>204</v>
      </c>
    </row>
    <row r="18" spans="1:11" ht="15.75" x14ac:dyDescent="0.25">
      <c r="A18" s="3">
        <v>6</v>
      </c>
      <c r="B18" s="3" t="s">
        <v>961</v>
      </c>
      <c r="C18" s="80">
        <v>920</v>
      </c>
      <c r="D18" s="5">
        <f t="shared" si="1"/>
        <v>46239</v>
      </c>
      <c r="E18" s="14">
        <v>0</v>
      </c>
      <c r="F18" s="13" t="s">
        <v>18</v>
      </c>
      <c r="G18" s="55">
        <v>4723</v>
      </c>
      <c r="H18" s="16">
        <v>0</v>
      </c>
      <c r="I18" s="3" t="s">
        <v>15</v>
      </c>
      <c r="J18" s="5">
        <f t="shared" si="0"/>
        <v>46240</v>
      </c>
      <c r="K18" s="13" t="s">
        <v>963</v>
      </c>
    </row>
    <row r="19" spans="1:11" ht="15.75" x14ac:dyDescent="0.25">
      <c r="A19" s="3">
        <v>7</v>
      </c>
      <c r="B19" s="3" t="s">
        <v>573</v>
      </c>
      <c r="C19" s="80">
        <v>1395</v>
      </c>
      <c r="D19" s="5">
        <f t="shared" si="1"/>
        <v>46239</v>
      </c>
      <c r="E19" s="14">
        <v>0</v>
      </c>
      <c r="F19" s="13" t="s">
        <v>18</v>
      </c>
      <c r="G19" s="55">
        <v>6378</v>
      </c>
      <c r="H19" s="16">
        <v>0</v>
      </c>
      <c r="I19" s="3" t="s">
        <v>15</v>
      </c>
      <c r="J19" s="5">
        <f t="shared" si="0"/>
        <v>46240</v>
      </c>
      <c r="K19" s="13" t="s">
        <v>115</v>
      </c>
    </row>
    <row r="20" spans="1:11" ht="18.75" x14ac:dyDescent="0.3">
      <c r="A20" s="3"/>
      <c r="B20" s="17" t="s">
        <v>16</v>
      </c>
      <c r="C20" s="82">
        <f>SUM(C13:C19)</f>
        <v>36328</v>
      </c>
      <c r="D20" s="3"/>
      <c r="E20" s="3"/>
      <c r="F20" s="13"/>
      <c r="G20" s="13"/>
      <c r="H20" s="11"/>
      <c r="I20" s="3"/>
      <c r="J20" s="3"/>
      <c r="K20" s="3"/>
    </row>
    <row r="21" spans="1:11" ht="21" x14ac:dyDescent="0.35">
      <c r="A21" s="135" t="s">
        <v>20</v>
      </c>
      <c r="B21" s="136"/>
      <c r="C21" s="136"/>
      <c r="D21" s="136"/>
      <c r="E21" s="136"/>
      <c r="F21" s="136"/>
      <c r="G21" s="136"/>
      <c r="H21" s="136"/>
      <c r="I21" s="136"/>
      <c r="J21" s="136"/>
      <c r="K21" s="137"/>
    </row>
    <row r="22" spans="1:11" ht="18.75" x14ac:dyDescent="0.3">
      <c r="A22" s="19" t="s">
        <v>3</v>
      </c>
      <c r="B22" s="19" t="s">
        <v>21</v>
      </c>
      <c r="C22" s="50" t="s">
        <v>5</v>
      </c>
      <c r="D22" s="1" t="s">
        <v>22</v>
      </c>
      <c r="E22" s="19" t="s">
        <v>7</v>
      </c>
      <c r="F22" s="19" t="s">
        <v>8</v>
      </c>
      <c r="G22" s="19" t="s">
        <v>23</v>
      </c>
      <c r="H22" s="20" t="s">
        <v>24</v>
      </c>
      <c r="I22" s="19" t="s">
        <v>11</v>
      </c>
      <c r="J22" s="19" t="s">
        <v>25</v>
      </c>
      <c r="K22" s="21" t="s">
        <v>26</v>
      </c>
    </row>
    <row r="23" spans="1:11" ht="15.75" x14ac:dyDescent="0.25">
      <c r="A23" s="8">
        <v>1</v>
      </c>
      <c r="B23" s="8" t="s">
        <v>642</v>
      </c>
      <c r="C23" s="75">
        <v>200000</v>
      </c>
      <c r="D23" s="5">
        <v>46239</v>
      </c>
      <c r="E23" s="8"/>
      <c r="F23" s="8"/>
      <c r="G23" s="22">
        <v>6458</v>
      </c>
      <c r="H23" s="23"/>
      <c r="I23" s="24"/>
      <c r="J23" s="5">
        <v>46239</v>
      </c>
      <c r="K23" s="13" t="s">
        <v>430</v>
      </c>
    </row>
    <row r="24" spans="1:11" ht="15.75" x14ac:dyDescent="0.25">
      <c r="A24" s="8">
        <v>2</v>
      </c>
      <c r="B24" s="8" t="s">
        <v>962</v>
      </c>
      <c r="C24" s="75">
        <v>4.72</v>
      </c>
      <c r="D24" s="5">
        <v>46239</v>
      </c>
      <c r="E24" s="8"/>
      <c r="F24" s="8"/>
      <c r="G24" s="22">
        <v>0</v>
      </c>
      <c r="H24" s="23"/>
      <c r="I24" s="24"/>
      <c r="J24" s="5">
        <v>46239</v>
      </c>
      <c r="K24" s="13" t="s">
        <v>962</v>
      </c>
    </row>
    <row r="25" spans="1:11" ht="18.75" x14ac:dyDescent="0.25">
      <c r="A25" s="8"/>
      <c r="B25" s="25" t="s">
        <v>27</v>
      </c>
      <c r="C25" s="83">
        <f>SUM(C23:C24)</f>
        <v>200004.72</v>
      </c>
      <c r="D25" s="3"/>
      <c r="E25" s="8"/>
      <c r="F25" s="8"/>
      <c r="G25" s="8"/>
      <c r="H25" s="27">
        <v>0</v>
      </c>
      <c r="I25" s="24"/>
      <c r="J25" s="3"/>
      <c r="K25" s="28"/>
    </row>
    <row r="26" spans="1:11" x14ac:dyDescent="0.25">
      <c r="C26" s="29"/>
      <c r="H26" s="29"/>
    </row>
    <row r="27" spans="1:11" ht="16.5" x14ac:dyDescent="0.3">
      <c r="B27" s="30" t="s">
        <v>28</v>
      </c>
      <c r="C27" s="76">
        <f>SUM(C14,C15,C17,C18,C13)</f>
        <v>23633</v>
      </c>
      <c r="E27" s="32"/>
      <c r="F27" s="32"/>
      <c r="G27" s="116"/>
      <c r="H27" s="116"/>
    </row>
    <row r="28" spans="1:11" ht="16.5" x14ac:dyDescent="0.3">
      <c r="B28" s="33" t="s">
        <v>29</v>
      </c>
      <c r="C28" s="77">
        <f>SUM(C19)</f>
        <v>1395</v>
      </c>
      <c r="E28" s="35"/>
      <c r="F28" s="35"/>
      <c r="G28" s="36" t="s">
        <v>30</v>
      </c>
      <c r="H28" s="37"/>
    </row>
    <row r="29" spans="1:11" ht="24" x14ac:dyDescent="0.4">
      <c r="B29" s="38" t="s">
        <v>946</v>
      </c>
      <c r="C29" s="78">
        <f>SUM(C16)</f>
        <v>11300</v>
      </c>
      <c r="E29" s="40" t="s">
        <v>32</v>
      </c>
      <c r="F29" s="41"/>
      <c r="G29" s="42"/>
      <c r="H29" s="43"/>
      <c r="I29" s="42"/>
      <c r="J29" s="44"/>
    </row>
    <row r="30" spans="1:11" ht="18.75" x14ac:dyDescent="0.3">
      <c r="B30" s="45" t="s">
        <v>16</v>
      </c>
      <c r="C30" s="79">
        <f>SUM(C27:C29)</f>
        <v>36328</v>
      </c>
      <c r="G30" s="36"/>
      <c r="H30" s="37"/>
      <c r="I30" s="36"/>
      <c r="J30" s="36"/>
    </row>
  </sheetData>
  <mergeCells count="6">
    <mergeCell ref="G27:H27"/>
    <mergeCell ref="A1:K1"/>
    <mergeCell ref="A2:K2"/>
    <mergeCell ref="A3:K3"/>
    <mergeCell ref="A12:K12"/>
    <mergeCell ref="A21:K21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B94B9-EE32-4D5B-9D03-4AA8EB4C5E95}">
  <sheetPr>
    <pageSetUpPr fitToPage="1"/>
  </sheetPr>
  <dimension ref="A1:K36"/>
  <sheetViews>
    <sheetView topLeftCell="A15" workbookViewId="0">
      <selection activeCell="K9" sqref="K9"/>
    </sheetView>
  </sheetViews>
  <sheetFormatPr defaultRowHeight="15" x14ac:dyDescent="0.25"/>
  <cols>
    <col min="1" max="1" width="4.42578125" bestFit="1" customWidth="1"/>
    <col min="2" max="2" width="22.5703125" bestFit="1" customWidth="1"/>
    <col min="3" max="3" width="14.4257812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30.42578125" customWidth="1"/>
  </cols>
  <sheetData>
    <row r="1" spans="1:11" ht="24.75" x14ac:dyDescent="0.25">
      <c r="A1" s="117" t="s">
        <v>829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983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901</v>
      </c>
      <c r="C5" s="80">
        <v>11126.66</v>
      </c>
      <c r="D5" s="5">
        <v>46240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46239</v>
      </c>
      <c r="K5" s="8" t="s">
        <v>966</v>
      </c>
    </row>
    <row r="6" spans="1:11" ht="18.75" x14ac:dyDescent="0.3">
      <c r="A6" s="9"/>
      <c r="B6" s="10" t="s">
        <v>16</v>
      </c>
      <c r="C6" s="81">
        <f>SUM(C5:C5)</f>
        <v>11126.66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4" x14ac:dyDescent="0.4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75" x14ac:dyDescent="0.25">
      <c r="A9" s="3">
        <v>1</v>
      </c>
      <c r="B9" s="3" t="s">
        <v>967</v>
      </c>
      <c r="C9" s="80">
        <v>1000</v>
      </c>
      <c r="D9" s="5">
        <v>46240</v>
      </c>
      <c r="E9" s="14">
        <v>0</v>
      </c>
      <c r="F9" s="13" t="s">
        <v>18</v>
      </c>
      <c r="G9" s="55">
        <v>1116</v>
      </c>
      <c r="H9" s="16">
        <v>0</v>
      </c>
      <c r="I9" s="3" t="s">
        <v>19</v>
      </c>
      <c r="J9" s="5">
        <f t="shared" ref="J9:J25" si="0">+D9+1</f>
        <v>46241</v>
      </c>
      <c r="K9" s="13" t="s">
        <v>984</v>
      </c>
    </row>
    <row r="10" spans="1:11" ht="15.75" x14ac:dyDescent="0.25">
      <c r="A10" s="3">
        <v>2</v>
      </c>
      <c r="B10" s="3" t="s">
        <v>968</v>
      </c>
      <c r="C10" s="80">
        <v>1100</v>
      </c>
      <c r="D10" s="5">
        <f t="shared" ref="D10:D18" si="1">+D9</f>
        <v>46240</v>
      </c>
      <c r="E10" s="14">
        <v>0</v>
      </c>
      <c r="F10" s="13" t="s">
        <v>18</v>
      </c>
      <c r="G10" s="55">
        <v>3725</v>
      </c>
      <c r="H10" s="16">
        <v>0</v>
      </c>
      <c r="I10" s="3" t="s">
        <v>15</v>
      </c>
      <c r="J10" s="5">
        <f t="shared" si="0"/>
        <v>46241</v>
      </c>
      <c r="K10" s="13" t="s">
        <v>981</v>
      </c>
    </row>
    <row r="11" spans="1:11" ht="15.75" x14ac:dyDescent="0.25">
      <c r="A11" s="3">
        <v>3</v>
      </c>
      <c r="B11" s="3" t="s">
        <v>968</v>
      </c>
      <c r="C11" s="80">
        <v>150</v>
      </c>
      <c r="D11" s="5">
        <f t="shared" si="1"/>
        <v>46240</v>
      </c>
      <c r="E11" s="14">
        <v>0</v>
      </c>
      <c r="F11" s="13" t="s">
        <v>18</v>
      </c>
      <c r="G11" s="55">
        <v>6726</v>
      </c>
      <c r="H11" s="16">
        <v>0</v>
      </c>
      <c r="I11" s="3" t="s">
        <v>15</v>
      </c>
      <c r="J11" s="5">
        <f t="shared" si="0"/>
        <v>46241</v>
      </c>
      <c r="K11" s="13" t="s">
        <v>981</v>
      </c>
    </row>
    <row r="12" spans="1:11" ht="15.75" x14ac:dyDescent="0.25">
      <c r="A12" s="3">
        <v>4</v>
      </c>
      <c r="B12" s="3" t="s">
        <v>495</v>
      </c>
      <c r="C12" s="80">
        <v>3000</v>
      </c>
      <c r="D12" s="5">
        <f t="shared" si="1"/>
        <v>46240</v>
      </c>
      <c r="E12" s="14">
        <v>0</v>
      </c>
      <c r="F12" s="13" t="s">
        <v>18</v>
      </c>
      <c r="G12" s="55">
        <v>4946</v>
      </c>
      <c r="H12" s="16">
        <v>0</v>
      </c>
      <c r="I12" s="3" t="s">
        <v>15</v>
      </c>
      <c r="J12" s="5">
        <f t="shared" si="0"/>
        <v>46241</v>
      </c>
      <c r="K12" s="13" t="s">
        <v>115</v>
      </c>
    </row>
    <row r="13" spans="1:11" ht="15.75" x14ac:dyDescent="0.25">
      <c r="A13" s="3">
        <v>5</v>
      </c>
      <c r="B13" s="3" t="s">
        <v>969</v>
      </c>
      <c r="C13" s="80">
        <v>30600</v>
      </c>
      <c r="D13" s="5">
        <f t="shared" si="1"/>
        <v>46240</v>
      </c>
      <c r="E13" s="14">
        <v>0</v>
      </c>
      <c r="F13" s="13" t="s">
        <v>18</v>
      </c>
      <c r="G13" s="55">
        <v>168</v>
      </c>
      <c r="H13" s="16">
        <v>0</v>
      </c>
      <c r="I13" s="3" t="s">
        <v>15</v>
      </c>
      <c r="J13" s="5">
        <f t="shared" si="0"/>
        <v>46241</v>
      </c>
      <c r="K13" s="13" t="s">
        <v>102</v>
      </c>
    </row>
    <row r="14" spans="1:11" ht="15.75" x14ac:dyDescent="0.25">
      <c r="A14" s="3">
        <v>6</v>
      </c>
      <c r="B14" s="3" t="s">
        <v>971</v>
      </c>
      <c r="C14" s="80">
        <v>505</v>
      </c>
      <c r="D14" s="5">
        <f t="shared" si="1"/>
        <v>46240</v>
      </c>
      <c r="E14" s="14">
        <v>0</v>
      </c>
      <c r="F14" s="13" t="s">
        <v>18</v>
      </c>
      <c r="G14" s="55">
        <v>2597</v>
      </c>
      <c r="H14" s="16">
        <v>0</v>
      </c>
      <c r="I14" s="3" t="s">
        <v>15</v>
      </c>
      <c r="J14" s="5">
        <f t="shared" si="0"/>
        <v>46241</v>
      </c>
      <c r="K14" s="13" t="s">
        <v>115</v>
      </c>
    </row>
    <row r="15" spans="1:11" ht="15.75" x14ac:dyDescent="0.25">
      <c r="A15" s="3">
        <v>7</v>
      </c>
      <c r="B15" s="3" t="s">
        <v>970</v>
      </c>
      <c r="C15" s="80">
        <v>2000</v>
      </c>
      <c r="D15" s="5">
        <f t="shared" si="1"/>
        <v>46240</v>
      </c>
      <c r="E15" s="14">
        <v>0</v>
      </c>
      <c r="F15" s="13" t="s">
        <v>18</v>
      </c>
      <c r="G15" s="55">
        <v>6239</v>
      </c>
      <c r="H15" s="16">
        <v>0</v>
      </c>
      <c r="I15" s="3" t="s">
        <v>15</v>
      </c>
      <c r="J15" s="5">
        <f t="shared" si="0"/>
        <v>46241</v>
      </c>
      <c r="K15" s="13" t="s">
        <v>204</v>
      </c>
    </row>
    <row r="16" spans="1:11" ht="15.75" x14ac:dyDescent="0.25">
      <c r="A16" s="3">
        <v>8</v>
      </c>
      <c r="B16" s="3" t="s">
        <v>362</v>
      </c>
      <c r="C16" s="80">
        <v>105</v>
      </c>
      <c r="D16" s="5">
        <f t="shared" si="1"/>
        <v>46240</v>
      </c>
      <c r="E16" s="14">
        <v>0</v>
      </c>
      <c r="F16" s="13" t="s">
        <v>18</v>
      </c>
      <c r="G16" s="55">
        <v>9772</v>
      </c>
      <c r="H16" s="16">
        <v>0</v>
      </c>
      <c r="I16" s="3" t="s">
        <v>15</v>
      </c>
      <c r="J16" s="5">
        <f t="shared" si="0"/>
        <v>46241</v>
      </c>
      <c r="K16" s="13" t="s">
        <v>115</v>
      </c>
    </row>
    <row r="17" spans="1:11" ht="15.75" x14ac:dyDescent="0.25">
      <c r="A17" s="3">
        <v>9</v>
      </c>
      <c r="B17" s="3" t="s">
        <v>972</v>
      </c>
      <c r="C17" s="80">
        <v>6425</v>
      </c>
      <c r="D17" s="5">
        <f t="shared" si="1"/>
        <v>46240</v>
      </c>
      <c r="E17" s="14">
        <v>0</v>
      </c>
      <c r="F17" s="13" t="s">
        <v>18</v>
      </c>
      <c r="G17" s="55">
        <v>6781</v>
      </c>
      <c r="H17" s="16">
        <v>0</v>
      </c>
      <c r="I17" s="3" t="s">
        <v>15</v>
      </c>
      <c r="J17" s="5">
        <f t="shared" si="0"/>
        <v>46241</v>
      </c>
      <c r="K17" s="13" t="s">
        <v>115</v>
      </c>
    </row>
    <row r="18" spans="1:11" ht="15.75" x14ac:dyDescent="0.25">
      <c r="A18" s="3">
        <v>10</v>
      </c>
      <c r="B18" s="3" t="s">
        <v>973</v>
      </c>
      <c r="C18" s="80">
        <v>1450</v>
      </c>
      <c r="D18" s="5">
        <f t="shared" si="1"/>
        <v>46240</v>
      </c>
      <c r="E18" s="14">
        <v>0</v>
      </c>
      <c r="F18" s="13" t="s">
        <v>18</v>
      </c>
      <c r="G18" s="55">
        <v>5066</v>
      </c>
      <c r="H18" s="16">
        <v>0</v>
      </c>
      <c r="I18" s="3" t="s">
        <v>15</v>
      </c>
      <c r="J18" s="5">
        <f t="shared" si="0"/>
        <v>46241</v>
      </c>
      <c r="K18" s="13" t="s">
        <v>115</v>
      </c>
    </row>
    <row r="19" spans="1:11" ht="15.75" x14ac:dyDescent="0.25">
      <c r="A19" s="3">
        <v>11</v>
      </c>
      <c r="B19" s="3" t="s">
        <v>974</v>
      </c>
      <c r="C19" s="80">
        <v>455</v>
      </c>
      <c r="D19" s="5">
        <f t="shared" ref="D19:D25" si="2">+D18</f>
        <v>46240</v>
      </c>
      <c r="E19" s="14">
        <v>0</v>
      </c>
      <c r="F19" s="13" t="s">
        <v>18</v>
      </c>
      <c r="G19" s="55">
        <v>2275</v>
      </c>
      <c r="H19" s="16">
        <v>0</v>
      </c>
      <c r="I19" s="3" t="s">
        <v>15</v>
      </c>
      <c r="J19" s="5">
        <f t="shared" si="0"/>
        <v>46241</v>
      </c>
      <c r="K19" s="13" t="s">
        <v>115</v>
      </c>
    </row>
    <row r="20" spans="1:11" ht="15.75" x14ac:dyDescent="0.25">
      <c r="A20" s="3">
        <v>12</v>
      </c>
      <c r="B20" s="3" t="s">
        <v>975</v>
      </c>
      <c r="C20" s="80">
        <v>630</v>
      </c>
      <c r="D20" s="5">
        <f t="shared" si="2"/>
        <v>46240</v>
      </c>
      <c r="E20" s="14">
        <v>0</v>
      </c>
      <c r="F20" s="13" t="s">
        <v>18</v>
      </c>
      <c r="G20" s="55">
        <v>9861</v>
      </c>
      <c r="H20" s="16">
        <v>0</v>
      </c>
      <c r="I20" s="3" t="s">
        <v>15</v>
      </c>
      <c r="J20" s="5">
        <f t="shared" si="0"/>
        <v>46241</v>
      </c>
      <c r="K20" s="13" t="s">
        <v>115</v>
      </c>
    </row>
    <row r="21" spans="1:11" ht="15.75" x14ac:dyDescent="0.25">
      <c r="A21" s="3">
        <v>13</v>
      </c>
      <c r="B21" s="3" t="s">
        <v>976</v>
      </c>
      <c r="C21" s="80">
        <v>1280</v>
      </c>
      <c r="D21" s="5">
        <f t="shared" si="2"/>
        <v>46240</v>
      </c>
      <c r="E21" s="14">
        <v>0</v>
      </c>
      <c r="F21" s="13" t="s">
        <v>18</v>
      </c>
      <c r="G21" s="55">
        <v>4012</v>
      </c>
      <c r="H21" s="16">
        <v>0</v>
      </c>
      <c r="I21" s="3" t="s">
        <v>15</v>
      </c>
      <c r="J21" s="5">
        <f t="shared" si="0"/>
        <v>46241</v>
      </c>
      <c r="K21" s="13" t="s">
        <v>204</v>
      </c>
    </row>
    <row r="22" spans="1:11" ht="15.75" x14ac:dyDescent="0.25">
      <c r="A22" s="3">
        <v>14</v>
      </c>
      <c r="B22" s="3" t="s">
        <v>977</v>
      </c>
      <c r="C22" s="80">
        <v>6275</v>
      </c>
      <c r="D22" s="5">
        <f t="shared" si="2"/>
        <v>46240</v>
      </c>
      <c r="E22" s="14">
        <v>0</v>
      </c>
      <c r="F22" s="13" t="s">
        <v>18</v>
      </c>
      <c r="G22" s="55">
        <v>575</v>
      </c>
      <c r="H22" s="16">
        <v>0</v>
      </c>
      <c r="I22" s="3" t="s">
        <v>15</v>
      </c>
      <c r="J22" s="5">
        <f t="shared" si="0"/>
        <v>46241</v>
      </c>
      <c r="K22" s="13" t="s">
        <v>115</v>
      </c>
    </row>
    <row r="23" spans="1:11" ht="15.75" x14ac:dyDescent="0.25">
      <c r="A23" s="3">
        <v>15</v>
      </c>
      <c r="B23" s="3" t="s">
        <v>978</v>
      </c>
      <c r="C23" s="80">
        <v>23900</v>
      </c>
      <c r="D23" s="5">
        <f t="shared" si="2"/>
        <v>46240</v>
      </c>
      <c r="E23" s="14">
        <v>0</v>
      </c>
      <c r="F23" s="13" t="s">
        <v>18</v>
      </c>
      <c r="G23" s="55">
        <v>7752</v>
      </c>
      <c r="H23" s="16">
        <v>0</v>
      </c>
      <c r="I23" s="3" t="s">
        <v>15</v>
      </c>
      <c r="J23" s="5">
        <f t="shared" si="0"/>
        <v>46241</v>
      </c>
      <c r="K23" s="13" t="s">
        <v>102</v>
      </c>
    </row>
    <row r="24" spans="1:11" ht="15.75" x14ac:dyDescent="0.25">
      <c r="A24" s="3">
        <v>16</v>
      </c>
      <c r="B24" s="3" t="s">
        <v>979</v>
      </c>
      <c r="C24" s="80">
        <v>640</v>
      </c>
      <c r="D24" s="5">
        <f t="shared" si="2"/>
        <v>46240</v>
      </c>
      <c r="E24" s="14">
        <v>0</v>
      </c>
      <c r="F24" s="13" t="s">
        <v>18</v>
      </c>
      <c r="G24" s="55">
        <v>8879</v>
      </c>
      <c r="H24" s="16">
        <v>0</v>
      </c>
      <c r="I24" s="3" t="s">
        <v>15</v>
      </c>
      <c r="J24" s="5">
        <f t="shared" si="0"/>
        <v>46241</v>
      </c>
      <c r="K24" s="13" t="s">
        <v>115</v>
      </c>
    </row>
    <row r="25" spans="1:11" ht="15.75" x14ac:dyDescent="0.25">
      <c r="A25" s="3">
        <v>17</v>
      </c>
      <c r="B25" s="3" t="s">
        <v>960</v>
      </c>
      <c r="C25" s="80">
        <v>570</v>
      </c>
      <c r="D25" s="5">
        <f t="shared" si="2"/>
        <v>46240</v>
      </c>
      <c r="E25" s="14">
        <v>0</v>
      </c>
      <c r="F25" s="13" t="s">
        <v>18</v>
      </c>
      <c r="G25" s="55">
        <v>5464</v>
      </c>
      <c r="H25" s="16">
        <v>0</v>
      </c>
      <c r="I25" s="3" t="s">
        <v>15</v>
      </c>
      <c r="J25" s="5">
        <f t="shared" si="0"/>
        <v>46241</v>
      </c>
      <c r="K25" s="13" t="s">
        <v>980</v>
      </c>
    </row>
    <row r="26" spans="1:11" ht="18.75" x14ac:dyDescent="0.3">
      <c r="A26" s="3"/>
      <c r="B26" s="17" t="s">
        <v>16</v>
      </c>
      <c r="C26" s="82">
        <f>SUM(C9:C25)</f>
        <v>80085</v>
      </c>
      <c r="D26" s="3"/>
      <c r="E26" s="3"/>
      <c r="F26" s="13"/>
      <c r="G26" s="13"/>
      <c r="H26" s="11"/>
      <c r="I26" s="3"/>
      <c r="J26" s="3"/>
      <c r="K26" s="3"/>
    </row>
    <row r="27" spans="1:11" ht="21" x14ac:dyDescent="0.35">
      <c r="A27" s="135" t="s">
        <v>20</v>
      </c>
      <c r="B27" s="136"/>
      <c r="C27" s="136"/>
      <c r="D27" s="136"/>
      <c r="E27" s="136"/>
      <c r="F27" s="136"/>
      <c r="G27" s="136"/>
      <c r="H27" s="136"/>
      <c r="I27" s="136"/>
      <c r="J27" s="136"/>
      <c r="K27" s="137"/>
    </row>
    <row r="28" spans="1:11" ht="18.75" x14ac:dyDescent="0.3">
      <c r="A28" s="19" t="s">
        <v>3</v>
      </c>
      <c r="B28" s="19" t="s">
        <v>21</v>
      </c>
      <c r="C28" s="50" t="s">
        <v>5</v>
      </c>
      <c r="D28" s="1" t="s">
        <v>22</v>
      </c>
      <c r="E28" s="19" t="s">
        <v>7</v>
      </c>
      <c r="F28" s="19" t="s">
        <v>8</v>
      </c>
      <c r="G28" s="19" t="s">
        <v>23</v>
      </c>
      <c r="H28" s="20" t="s">
        <v>24</v>
      </c>
      <c r="I28" s="19" t="s">
        <v>11</v>
      </c>
      <c r="J28" s="19" t="s">
        <v>25</v>
      </c>
      <c r="K28" s="21" t="s">
        <v>26</v>
      </c>
    </row>
    <row r="29" spans="1:11" ht="15.75" x14ac:dyDescent="0.25">
      <c r="A29" s="8">
        <v>1</v>
      </c>
      <c r="B29" s="8" t="s">
        <v>823</v>
      </c>
      <c r="C29" s="75">
        <v>38230</v>
      </c>
      <c r="D29" s="5">
        <v>46240</v>
      </c>
      <c r="E29" s="8"/>
      <c r="F29" s="8"/>
      <c r="G29" s="22">
        <v>399</v>
      </c>
      <c r="H29" s="23"/>
      <c r="I29" s="24"/>
      <c r="J29" s="5">
        <v>46240</v>
      </c>
      <c r="K29" s="13" t="s">
        <v>115</v>
      </c>
    </row>
    <row r="30" spans="1:11" ht="15.75" x14ac:dyDescent="0.25">
      <c r="A30" s="8">
        <v>2</v>
      </c>
      <c r="B30" s="8" t="s">
        <v>517</v>
      </c>
      <c r="C30" s="75">
        <v>100000</v>
      </c>
      <c r="D30" s="5">
        <v>46240</v>
      </c>
      <c r="E30" s="8"/>
      <c r="F30" s="8"/>
      <c r="G30" s="22">
        <v>4072</v>
      </c>
      <c r="H30" s="23"/>
      <c r="I30" s="24"/>
      <c r="J30" s="5">
        <v>46240</v>
      </c>
      <c r="K30" s="13" t="s">
        <v>928</v>
      </c>
    </row>
    <row r="31" spans="1:11" ht="18.75" x14ac:dyDescent="0.25">
      <c r="A31" s="8"/>
      <c r="B31" s="25" t="s">
        <v>27</v>
      </c>
      <c r="C31" s="83">
        <f>SUM(C29:C30)</f>
        <v>138230</v>
      </c>
      <c r="D31" s="3"/>
      <c r="E31" s="8"/>
      <c r="F31" s="8"/>
      <c r="G31" s="8"/>
      <c r="H31" s="27">
        <v>0</v>
      </c>
      <c r="I31" s="24"/>
      <c r="J31" s="3"/>
      <c r="K31" s="28"/>
    </row>
    <row r="32" spans="1:11" x14ac:dyDescent="0.25">
      <c r="C32" s="29"/>
      <c r="H32" s="29"/>
    </row>
    <row r="33" spans="2:10" ht="16.5" x14ac:dyDescent="0.3">
      <c r="B33" s="30" t="s">
        <v>28</v>
      </c>
      <c r="C33" s="76">
        <f>SUM(C21,C23,C25,C15,C13)</f>
        <v>58350</v>
      </c>
      <c r="E33" s="32"/>
      <c r="F33" s="32"/>
      <c r="G33" s="116"/>
      <c r="H33" s="116"/>
    </row>
    <row r="34" spans="2:10" ht="16.5" x14ac:dyDescent="0.3">
      <c r="B34" s="33" t="s">
        <v>29</v>
      </c>
      <c r="C34" s="77">
        <f>SUM(C24,C22,C20,C19,C18,C17,C16,C14,C12,C9)</f>
        <v>20485</v>
      </c>
      <c r="E34" s="35"/>
      <c r="F34" s="35"/>
      <c r="G34" s="36" t="s">
        <v>30</v>
      </c>
      <c r="H34" s="37"/>
    </row>
    <row r="35" spans="2:10" ht="24" x14ac:dyDescent="0.4">
      <c r="B35" s="38" t="s">
        <v>982</v>
      </c>
      <c r="C35" s="78">
        <f>SUM(C11,C10)</f>
        <v>1250</v>
      </c>
      <c r="E35" s="40" t="s">
        <v>32</v>
      </c>
      <c r="F35" s="41"/>
      <c r="G35" s="42"/>
      <c r="H35" s="43"/>
      <c r="I35" s="42"/>
      <c r="J35" s="44"/>
    </row>
    <row r="36" spans="2:10" ht="18.75" x14ac:dyDescent="0.3">
      <c r="B36" s="45" t="s">
        <v>16</v>
      </c>
      <c r="C36" s="79">
        <f>SUM(C33:C35)</f>
        <v>80085</v>
      </c>
      <c r="G36" s="36"/>
      <c r="H36" s="37"/>
      <c r="I36" s="36"/>
      <c r="J36" s="36"/>
    </row>
  </sheetData>
  <mergeCells count="6">
    <mergeCell ref="G33:H33"/>
    <mergeCell ref="A1:K1"/>
    <mergeCell ref="A2:K2"/>
    <mergeCell ref="A3:K3"/>
    <mergeCell ref="A8:K8"/>
    <mergeCell ref="A27:K27"/>
  </mergeCells>
  <pageMargins left="0" right="0" top="0" bottom="0" header="0" footer="0"/>
  <pageSetup scale="88" orientation="landscape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471A9-4691-4A38-9F1E-21916D817D97}">
  <sheetPr>
    <pageSetUpPr fitToPage="1"/>
  </sheetPr>
  <dimension ref="A1:K31"/>
  <sheetViews>
    <sheetView topLeftCell="A19" workbookViewId="0">
      <selection sqref="A1:K31"/>
    </sheetView>
  </sheetViews>
  <sheetFormatPr defaultRowHeight="15" x14ac:dyDescent="0.25"/>
  <cols>
    <col min="1" max="1" width="4.42578125" bestFit="1" customWidth="1"/>
    <col min="2" max="2" width="18.5703125" bestFit="1" customWidth="1"/>
    <col min="3" max="3" width="12.710937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7.5703125" customWidth="1"/>
  </cols>
  <sheetData>
    <row r="1" spans="1:11" ht="24.75" x14ac:dyDescent="0.25">
      <c r="A1" s="117" t="s">
        <v>829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994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46241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46240</v>
      </c>
      <c r="K5" s="8" t="s">
        <v>33</v>
      </c>
    </row>
    <row r="6" spans="1:11" ht="18.75" x14ac:dyDescent="0.3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4" x14ac:dyDescent="0.4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75" x14ac:dyDescent="0.25">
      <c r="A9" s="3">
        <v>1</v>
      </c>
      <c r="B9" s="3" t="s">
        <v>985</v>
      </c>
      <c r="C9" s="80">
        <v>1000</v>
      </c>
      <c r="D9" s="5">
        <v>46241</v>
      </c>
      <c r="E9" s="14">
        <v>0</v>
      </c>
      <c r="F9" s="13" t="s">
        <v>18</v>
      </c>
      <c r="G9" s="55">
        <v>9894</v>
      </c>
      <c r="H9" s="16">
        <v>0</v>
      </c>
      <c r="I9" s="3" t="s">
        <v>19</v>
      </c>
      <c r="J9" s="5">
        <f t="shared" ref="J9:J18" si="0">+D9+1</f>
        <v>46242</v>
      </c>
      <c r="K9" s="13" t="s">
        <v>984</v>
      </c>
    </row>
    <row r="10" spans="1:11" ht="15.75" x14ac:dyDescent="0.25">
      <c r="A10" s="3">
        <v>2</v>
      </c>
      <c r="B10" s="3" t="s">
        <v>986</v>
      </c>
      <c r="C10" s="80">
        <v>1755</v>
      </c>
      <c r="D10" s="5">
        <f t="shared" ref="D10:D18" si="1">+D9</f>
        <v>46241</v>
      </c>
      <c r="E10" s="14">
        <v>0</v>
      </c>
      <c r="F10" s="13" t="s">
        <v>18</v>
      </c>
      <c r="G10" s="55">
        <v>9498</v>
      </c>
      <c r="H10" s="16">
        <v>0</v>
      </c>
      <c r="I10" s="3" t="s">
        <v>15</v>
      </c>
      <c r="J10" s="5">
        <f t="shared" si="0"/>
        <v>46242</v>
      </c>
      <c r="K10" s="13" t="s">
        <v>115</v>
      </c>
    </row>
    <row r="11" spans="1:11" ht="15.75" x14ac:dyDescent="0.25">
      <c r="A11" s="3">
        <v>3</v>
      </c>
      <c r="B11" s="3" t="s">
        <v>379</v>
      </c>
      <c r="C11" s="80">
        <v>43500</v>
      </c>
      <c r="D11" s="5">
        <f t="shared" si="1"/>
        <v>46241</v>
      </c>
      <c r="E11" s="14">
        <v>0</v>
      </c>
      <c r="F11" s="13" t="s">
        <v>18</v>
      </c>
      <c r="G11" s="55">
        <v>3445</v>
      </c>
      <c r="H11" s="16">
        <v>0</v>
      </c>
      <c r="I11" s="3" t="s">
        <v>15</v>
      </c>
      <c r="J11" s="5">
        <f t="shared" si="0"/>
        <v>46242</v>
      </c>
      <c r="K11" s="13" t="s">
        <v>993</v>
      </c>
    </row>
    <row r="12" spans="1:11" ht="15.75" x14ac:dyDescent="0.25">
      <c r="A12" s="3">
        <v>4</v>
      </c>
      <c r="B12" s="3" t="s">
        <v>379</v>
      </c>
      <c r="C12" s="80">
        <v>2000</v>
      </c>
      <c r="D12" s="5">
        <f t="shared" si="1"/>
        <v>46241</v>
      </c>
      <c r="E12" s="14">
        <v>0</v>
      </c>
      <c r="F12" s="13" t="s">
        <v>18</v>
      </c>
      <c r="G12" s="55">
        <v>9606</v>
      </c>
      <c r="H12" s="16">
        <v>0</v>
      </c>
      <c r="I12" s="3" t="s">
        <v>15</v>
      </c>
      <c r="J12" s="5">
        <f t="shared" si="0"/>
        <v>46242</v>
      </c>
      <c r="K12" s="13" t="s">
        <v>992</v>
      </c>
    </row>
    <row r="13" spans="1:11" ht="15.75" x14ac:dyDescent="0.25">
      <c r="A13" s="3">
        <v>5</v>
      </c>
      <c r="B13" s="3" t="s">
        <v>987</v>
      </c>
      <c r="C13" s="80">
        <v>680</v>
      </c>
      <c r="D13" s="5">
        <f t="shared" si="1"/>
        <v>46241</v>
      </c>
      <c r="E13" s="14">
        <v>0</v>
      </c>
      <c r="F13" s="13" t="s">
        <v>18</v>
      </c>
      <c r="G13" s="55">
        <v>6236</v>
      </c>
      <c r="H13" s="16">
        <v>0</v>
      </c>
      <c r="I13" s="3" t="s">
        <v>15</v>
      </c>
      <c r="J13" s="5">
        <f t="shared" si="0"/>
        <v>46242</v>
      </c>
      <c r="K13" s="13" t="s">
        <v>115</v>
      </c>
    </row>
    <row r="14" spans="1:11" ht="15.75" x14ac:dyDescent="0.25">
      <c r="A14" s="3">
        <v>6</v>
      </c>
      <c r="B14" s="3" t="s">
        <v>987</v>
      </c>
      <c r="C14" s="80">
        <v>2000</v>
      </c>
      <c r="D14" s="5">
        <f t="shared" si="1"/>
        <v>46241</v>
      </c>
      <c r="E14" s="14">
        <v>0</v>
      </c>
      <c r="F14" s="13" t="s">
        <v>18</v>
      </c>
      <c r="G14" s="55">
        <v>5825</v>
      </c>
      <c r="H14" s="16">
        <v>0</v>
      </c>
      <c r="I14" s="3" t="s">
        <v>15</v>
      </c>
      <c r="J14" s="5">
        <f t="shared" si="0"/>
        <v>46242</v>
      </c>
      <c r="K14" s="13" t="s">
        <v>115</v>
      </c>
    </row>
    <row r="15" spans="1:11" ht="15.75" x14ac:dyDescent="0.25">
      <c r="A15" s="3">
        <v>7</v>
      </c>
      <c r="B15" s="3" t="s">
        <v>603</v>
      </c>
      <c r="C15" s="80">
        <v>10697</v>
      </c>
      <c r="D15" s="5">
        <f t="shared" si="1"/>
        <v>46241</v>
      </c>
      <c r="E15" s="14">
        <v>0</v>
      </c>
      <c r="F15" s="13" t="s">
        <v>18</v>
      </c>
      <c r="G15" s="55">
        <v>9755</v>
      </c>
      <c r="H15" s="16">
        <v>0</v>
      </c>
      <c r="I15" s="3" t="s">
        <v>15</v>
      </c>
      <c r="J15" s="5">
        <f t="shared" si="0"/>
        <v>46242</v>
      </c>
      <c r="K15" s="13" t="s">
        <v>102</v>
      </c>
    </row>
    <row r="16" spans="1:11" ht="15.75" x14ac:dyDescent="0.25">
      <c r="A16" s="3">
        <v>8</v>
      </c>
      <c r="B16" s="3" t="s">
        <v>988</v>
      </c>
      <c r="C16" s="80">
        <v>4475</v>
      </c>
      <c r="D16" s="5">
        <f t="shared" si="1"/>
        <v>46241</v>
      </c>
      <c r="E16" s="14">
        <v>0</v>
      </c>
      <c r="F16" s="13" t="s">
        <v>18</v>
      </c>
      <c r="G16" s="55">
        <v>6794</v>
      </c>
      <c r="H16" s="16">
        <v>0</v>
      </c>
      <c r="I16" s="3" t="s">
        <v>15</v>
      </c>
      <c r="J16" s="5">
        <f t="shared" si="0"/>
        <v>46242</v>
      </c>
      <c r="K16" s="13" t="s">
        <v>115</v>
      </c>
    </row>
    <row r="17" spans="1:11" ht="15.75" x14ac:dyDescent="0.25">
      <c r="A17" s="3">
        <v>9</v>
      </c>
      <c r="B17" s="3" t="s">
        <v>603</v>
      </c>
      <c r="C17" s="80">
        <v>22292</v>
      </c>
      <c r="D17" s="5">
        <f t="shared" si="1"/>
        <v>46241</v>
      </c>
      <c r="E17" s="14">
        <v>0</v>
      </c>
      <c r="F17" s="13" t="s">
        <v>18</v>
      </c>
      <c r="G17" s="55">
        <v>8267</v>
      </c>
      <c r="H17" s="16">
        <v>0</v>
      </c>
      <c r="I17" s="3" t="s">
        <v>15</v>
      </c>
      <c r="J17" s="5">
        <f t="shared" si="0"/>
        <v>46242</v>
      </c>
      <c r="K17" s="13" t="s">
        <v>102</v>
      </c>
    </row>
    <row r="18" spans="1:11" ht="15.75" x14ac:dyDescent="0.25">
      <c r="A18" s="3">
        <v>10</v>
      </c>
      <c r="B18" s="3" t="s">
        <v>989</v>
      </c>
      <c r="C18" s="80">
        <v>810</v>
      </c>
      <c r="D18" s="5">
        <f t="shared" si="1"/>
        <v>46241</v>
      </c>
      <c r="E18" s="14">
        <v>0</v>
      </c>
      <c r="F18" s="13" t="s">
        <v>18</v>
      </c>
      <c r="G18" s="55">
        <v>5282</v>
      </c>
      <c r="H18" s="16">
        <v>0</v>
      </c>
      <c r="I18" s="3" t="s">
        <v>15</v>
      </c>
      <c r="J18" s="5">
        <f t="shared" si="0"/>
        <v>46242</v>
      </c>
      <c r="K18" s="13" t="s">
        <v>115</v>
      </c>
    </row>
    <row r="19" spans="1:11" ht="18.75" x14ac:dyDescent="0.3">
      <c r="A19" s="3"/>
      <c r="B19" s="17" t="s">
        <v>16</v>
      </c>
      <c r="C19" s="82">
        <f>SUM(C9:C18)</f>
        <v>89209</v>
      </c>
      <c r="D19" s="3"/>
      <c r="E19" s="3"/>
      <c r="F19" s="13"/>
      <c r="G19" s="13"/>
      <c r="H19" s="11"/>
      <c r="I19" s="3"/>
      <c r="J19" s="3"/>
      <c r="K19" s="3"/>
    </row>
    <row r="20" spans="1:11" ht="24.75" x14ac:dyDescent="0.5">
      <c r="A20" s="125" t="s">
        <v>20</v>
      </c>
      <c r="B20" s="126"/>
      <c r="C20" s="126"/>
      <c r="D20" s="126"/>
      <c r="E20" s="126"/>
      <c r="F20" s="126"/>
      <c r="G20" s="126"/>
      <c r="H20" s="126"/>
      <c r="I20" s="126"/>
      <c r="J20" s="126"/>
      <c r="K20" s="127"/>
    </row>
    <row r="21" spans="1:11" ht="18.75" x14ac:dyDescent="0.3">
      <c r="A21" s="19" t="s">
        <v>3</v>
      </c>
      <c r="B21" s="19" t="s">
        <v>21</v>
      </c>
      <c r="C21" s="50" t="s">
        <v>5</v>
      </c>
      <c r="D21" s="1" t="s">
        <v>22</v>
      </c>
      <c r="E21" s="19" t="s">
        <v>7</v>
      </c>
      <c r="F21" s="19" t="s">
        <v>8</v>
      </c>
      <c r="G21" s="19" t="s">
        <v>23</v>
      </c>
      <c r="H21" s="20" t="s">
        <v>24</v>
      </c>
      <c r="I21" s="19" t="s">
        <v>11</v>
      </c>
      <c r="J21" s="19" t="s">
        <v>25</v>
      </c>
      <c r="K21" s="21" t="s">
        <v>26</v>
      </c>
    </row>
    <row r="22" spans="1:11" ht="15.75" x14ac:dyDescent="0.25">
      <c r="A22" s="8">
        <v>1</v>
      </c>
      <c r="B22" s="8" t="s">
        <v>823</v>
      </c>
      <c r="C22" s="75">
        <v>7435</v>
      </c>
      <c r="D22" s="5">
        <v>46241</v>
      </c>
      <c r="E22" s="8"/>
      <c r="F22" s="8"/>
      <c r="G22" s="22">
        <v>6208</v>
      </c>
      <c r="H22" s="23"/>
      <c r="I22" s="24"/>
      <c r="J22" s="5">
        <v>46241</v>
      </c>
      <c r="K22" s="13" t="s">
        <v>115</v>
      </c>
    </row>
    <row r="23" spans="1:11" ht="15.75" x14ac:dyDescent="0.25">
      <c r="A23" s="8">
        <v>2</v>
      </c>
      <c r="B23" s="8" t="s">
        <v>990</v>
      </c>
      <c r="C23" s="75">
        <v>18500</v>
      </c>
      <c r="D23" s="5">
        <v>46241</v>
      </c>
      <c r="E23" s="8"/>
      <c r="F23" s="8"/>
      <c r="G23" s="22">
        <v>4161</v>
      </c>
      <c r="H23" s="23"/>
      <c r="I23" s="24"/>
      <c r="J23" s="5">
        <v>46241</v>
      </c>
      <c r="K23" s="13" t="s">
        <v>995</v>
      </c>
    </row>
    <row r="24" spans="1:11" ht="15.75" x14ac:dyDescent="0.25">
      <c r="A24" s="8">
        <v>3</v>
      </c>
      <c r="B24" s="8" t="s">
        <v>823</v>
      </c>
      <c r="C24" s="75">
        <v>51725</v>
      </c>
      <c r="D24" s="5">
        <v>46241</v>
      </c>
      <c r="E24" s="8"/>
      <c r="F24" s="8"/>
      <c r="G24" s="22">
        <v>2573</v>
      </c>
      <c r="H24" s="23"/>
      <c r="I24" s="24"/>
      <c r="J24" s="5">
        <v>46241</v>
      </c>
      <c r="K24" s="13" t="s">
        <v>115</v>
      </c>
    </row>
    <row r="25" spans="1:11" ht="15.75" x14ac:dyDescent="0.25">
      <c r="A25" s="8">
        <v>4</v>
      </c>
      <c r="B25" s="8" t="s">
        <v>991</v>
      </c>
      <c r="C25" s="75">
        <v>700</v>
      </c>
      <c r="D25" s="5">
        <v>46241</v>
      </c>
      <c r="E25" s="8"/>
      <c r="F25" s="8"/>
      <c r="G25" s="22">
        <v>6649</v>
      </c>
      <c r="H25" s="23"/>
      <c r="I25" s="24"/>
      <c r="J25" s="5">
        <v>46241</v>
      </c>
      <c r="K25" s="13" t="s">
        <v>996</v>
      </c>
    </row>
    <row r="26" spans="1:11" ht="18.75" x14ac:dyDescent="0.25">
      <c r="A26" s="8"/>
      <c r="B26" s="25" t="s">
        <v>27</v>
      </c>
      <c r="C26" s="83">
        <f>SUM(C22:C25)</f>
        <v>78360</v>
      </c>
      <c r="D26" s="3"/>
      <c r="E26" s="8"/>
      <c r="F26" s="8"/>
      <c r="G26" s="8"/>
      <c r="H26" s="27">
        <v>0</v>
      </c>
      <c r="I26" s="24"/>
      <c r="J26" s="3"/>
      <c r="K26" s="28"/>
    </row>
    <row r="27" spans="1:11" x14ac:dyDescent="0.25">
      <c r="C27" s="29"/>
      <c r="H27" s="29"/>
    </row>
    <row r="28" spans="1:11" ht="16.5" x14ac:dyDescent="0.3">
      <c r="B28" s="30" t="s">
        <v>28</v>
      </c>
      <c r="C28" s="76">
        <f>SUM(C15,C17)</f>
        <v>32989</v>
      </c>
      <c r="E28" s="32"/>
      <c r="F28" s="32"/>
      <c r="G28" s="116"/>
      <c r="H28" s="116"/>
    </row>
    <row r="29" spans="1:11" ht="16.5" x14ac:dyDescent="0.3">
      <c r="B29" s="33" t="s">
        <v>29</v>
      </c>
      <c r="C29" s="77">
        <f>SUM(C18,C16,C14,C13,C10,C9)</f>
        <v>10720</v>
      </c>
      <c r="E29" s="35"/>
      <c r="F29" s="35"/>
      <c r="G29" s="36" t="s">
        <v>30</v>
      </c>
      <c r="H29" s="37"/>
    </row>
    <row r="30" spans="1:11" ht="24" x14ac:dyDescent="0.4">
      <c r="B30" s="38" t="s">
        <v>997</v>
      </c>
      <c r="C30" s="78">
        <f>SUM(C11,C12)</f>
        <v>45500</v>
      </c>
      <c r="E30" s="40" t="s">
        <v>32</v>
      </c>
      <c r="F30" s="41"/>
      <c r="G30" s="42"/>
      <c r="H30" s="43"/>
      <c r="I30" s="42"/>
      <c r="J30" s="44"/>
    </row>
    <row r="31" spans="1:11" ht="18.75" x14ac:dyDescent="0.3">
      <c r="B31" s="45" t="s">
        <v>16</v>
      </c>
      <c r="C31" s="79">
        <f>SUM(C28:C30)</f>
        <v>89209</v>
      </c>
      <c r="G31" s="36"/>
      <c r="H31" s="37"/>
      <c r="I31" s="36"/>
      <c r="J31" s="36"/>
    </row>
  </sheetData>
  <mergeCells count="6">
    <mergeCell ref="G28:H28"/>
    <mergeCell ref="A1:K1"/>
    <mergeCell ref="A2:K2"/>
    <mergeCell ref="A3:K3"/>
    <mergeCell ref="A8:K8"/>
    <mergeCell ref="A20:K20"/>
  </mergeCells>
  <pageMargins left="0" right="0" top="0" bottom="0" header="0" footer="0"/>
  <pageSetup scale="93" orientation="landscape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81DBD-6DCD-4F52-992C-5840FDD747F6}">
  <sheetPr>
    <pageSetUpPr fitToPage="1"/>
  </sheetPr>
  <dimension ref="A1:K31"/>
  <sheetViews>
    <sheetView workbookViewId="0">
      <selection activeCell="M19" sqref="M19"/>
    </sheetView>
  </sheetViews>
  <sheetFormatPr defaultRowHeight="15" x14ac:dyDescent="0.25"/>
  <cols>
    <col min="1" max="1" width="4.42578125" bestFit="1" customWidth="1"/>
    <col min="2" max="2" width="23.85546875" bestFit="1" customWidth="1"/>
    <col min="3" max="3" width="12.710937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7.7109375" customWidth="1"/>
  </cols>
  <sheetData>
    <row r="1" spans="1:11" ht="24.75" x14ac:dyDescent="0.25">
      <c r="A1" s="117" t="s">
        <v>829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998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45</v>
      </c>
      <c r="C5" s="80">
        <v>14100</v>
      </c>
      <c r="D5" s="5">
        <v>46242</v>
      </c>
      <c r="E5" s="6">
        <v>0</v>
      </c>
      <c r="F5" s="3" t="s">
        <v>14</v>
      </c>
      <c r="G5" s="49">
        <v>7646</v>
      </c>
      <c r="H5" s="7">
        <v>0</v>
      </c>
      <c r="I5" s="3" t="s">
        <v>15</v>
      </c>
      <c r="J5" s="5">
        <f>+D5-1</f>
        <v>46241</v>
      </c>
      <c r="K5" s="8" t="s">
        <v>46</v>
      </c>
    </row>
    <row r="6" spans="1:11" ht="15.75" x14ac:dyDescent="0.25">
      <c r="A6" s="3">
        <v>2</v>
      </c>
      <c r="B6" s="3" t="s">
        <v>45</v>
      </c>
      <c r="C6" s="80">
        <v>69800</v>
      </c>
      <c r="D6" s="5">
        <v>46242</v>
      </c>
      <c r="E6" s="6">
        <v>0</v>
      </c>
      <c r="F6" s="3" t="s">
        <v>14</v>
      </c>
      <c r="G6" s="49">
        <v>7650</v>
      </c>
      <c r="H6" s="7">
        <v>0</v>
      </c>
      <c r="I6" s="3" t="s">
        <v>15</v>
      </c>
      <c r="J6" s="5">
        <f>+D6-1</f>
        <v>46241</v>
      </c>
      <c r="K6" s="8" t="s">
        <v>46</v>
      </c>
    </row>
    <row r="7" spans="1:11" ht="18.75" x14ac:dyDescent="0.3">
      <c r="A7" s="9"/>
      <c r="B7" s="10" t="s">
        <v>16</v>
      </c>
      <c r="C7" s="81">
        <f>SUM(C5:C6)</f>
        <v>83900</v>
      </c>
      <c r="D7" s="3"/>
      <c r="E7" s="12"/>
      <c r="F7" s="9"/>
      <c r="G7" s="13"/>
      <c r="H7" s="11">
        <f>SUM(H5:H5)</f>
        <v>0</v>
      </c>
      <c r="I7" s="9"/>
      <c r="J7" s="9"/>
      <c r="K7" s="9"/>
    </row>
    <row r="9" spans="1:11" ht="24" x14ac:dyDescent="0.4">
      <c r="A9" s="122" t="s">
        <v>17</v>
      </c>
      <c r="B9" s="123"/>
      <c r="C9" s="123"/>
      <c r="D9" s="123"/>
      <c r="E9" s="123"/>
      <c r="F9" s="123"/>
      <c r="G9" s="123"/>
      <c r="H9" s="123"/>
      <c r="I9" s="123"/>
      <c r="J9" s="123"/>
      <c r="K9" s="124"/>
    </row>
    <row r="10" spans="1:11" ht="16.5" x14ac:dyDescent="0.3">
      <c r="A10" s="3">
        <v>1</v>
      </c>
      <c r="B10" s="3" t="s">
        <v>960</v>
      </c>
      <c r="C10" s="80">
        <v>5880</v>
      </c>
      <c r="D10" s="5">
        <v>46242</v>
      </c>
      <c r="E10" s="14">
        <v>0</v>
      </c>
      <c r="F10" s="13" t="s">
        <v>18</v>
      </c>
      <c r="G10" s="55">
        <v>2322</v>
      </c>
      <c r="H10" s="16">
        <v>0</v>
      </c>
      <c r="I10" s="3" t="s">
        <v>19</v>
      </c>
      <c r="J10" s="5">
        <f t="shared" ref="J10:J21" si="0">+D10+1</f>
        <v>46243</v>
      </c>
      <c r="K10" s="108" t="s">
        <v>115</v>
      </c>
    </row>
    <row r="11" spans="1:11" ht="15.75" x14ac:dyDescent="0.25">
      <c r="A11" s="3">
        <v>2</v>
      </c>
      <c r="B11" s="3" t="s">
        <v>722</v>
      </c>
      <c r="C11" s="80">
        <v>30</v>
      </c>
      <c r="D11" s="5">
        <f t="shared" ref="D11:D21" si="1">+D10</f>
        <v>46242</v>
      </c>
      <c r="E11" s="14">
        <v>0</v>
      </c>
      <c r="F11" s="13" t="s">
        <v>18</v>
      </c>
      <c r="G11" s="55">
        <v>9404</v>
      </c>
      <c r="H11" s="16">
        <v>0</v>
      </c>
      <c r="I11" s="3" t="s">
        <v>15</v>
      </c>
      <c r="J11" s="5">
        <f t="shared" si="0"/>
        <v>46243</v>
      </c>
      <c r="K11" s="13" t="s">
        <v>1118</v>
      </c>
    </row>
    <row r="12" spans="1:11" ht="15.75" x14ac:dyDescent="0.25">
      <c r="A12" s="3">
        <v>3</v>
      </c>
      <c r="B12" s="3" t="s">
        <v>999</v>
      </c>
      <c r="C12" s="80">
        <v>26600</v>
      </c>
      <c r="D12" s="5">
        <f t="shared" si="1"/>
        <v>46242</v>
      </c>
      <c r="E12" s="14">
        <v>0</v>
      </c>
      <c r="F12" s="13" t="s">
        <v>18</v>
      </c>
      <c r="G12" s="55">
        <v>8229</v>
      </c>
      <c r="H12" s="16">
        <v>0</v>
      </c>
      <c r="I12" s="3" t="s">
        <v>15</v>
      </c>
      <c r="J12" s="5">
        <f t="shared" si="0"/>
        <v>46243</v>
      </c>
      <c r="K12" s="13" t="s">
        <v>102</v>
      </c>
    </row>
    <row r="13" spans="1:11" ht="15.75" x14ac:dyDescent="0.25">
      <c r="A13" s="3">
        <v>4</v>
      </c>
      <c r="B13" s="3" t="s">
        <v>906</v>
      </c>
      <c r="C13" s="80">
        <v>10</v>
      </c>
      <c r="D13" s="5">
        <f t="shared" si="1"/>
        <v>46242</v>
      </c>
      <c r="E13" s="14">
        <v>0</v>
      </c>
      <c r="F13" s="13" t="s">
        <v>18</v>
      </c>
      <c r="G13" s="55">
        <v>5098</v>
      </c>
      <c r="H13" s="16">
        <v>0</v>
      </c>
      <c r="I13" s="3" t="s">
        <v>15</v>
      </c>
      <c r="J13" s="5">
        <f t="shared" si="0"/>
        <v>46243</v>
      </c>
      <c r="K13" s="13" t="s">
        <v>745</v>
      </c>
    </row>
    <row r="14" spans="1:11" ht="15.75" x14ac:dyDescent="0.25">
      <c r="A14" s="3">
        <v>5</v>
      </c>
      <c r="B14" s="3" t="s">
        <v>987</v>
      </c>
      <c r="C14" s="80">
        <v>2625</v>
      </c>
      <c r="D14" s="5">
        <f t="shared" si="1"/>
        <v>46242</v>
      </c>
      <c r="E14" s="14">
        <v>0</v>
      </c>
      <c r="F14" s="13" t="s">
        <v>18</v>
      </c>
      <c r="G14" s="55">
        <v>4461</v>
      </c>
      <c r="H14" s="16">
        <v>0</v>
      </c>
      <c r="I14" s="3" t="s">
        <v>15</v>
      </c>
      <c r="J14" s="5">
        <f t="shared" si="0"/>
        <v>46243</v>
      </c>
      <c r="K14" s="13" t="s">
        <v>115</v>
      </c>
    </row>
    <row r="15" spans="1:11" ht="15.75" x14ac:dyDescent="0.25">
      <c r="A15" s="3">
        <v>6</v>
      </c>
      <c r="B15" s="3" t="s">
        <v>1000</v>
      </c>
      <c r="C15" s="80">
        <v>4000</v>
      </c>
      <c r="D15" s="5">
        <f t="shared" si="1"/>
        <v>46242</v>
      </c>
      <c r="E15" s="14">
        <v>0</v>
      </c>
      <c r="F15" s="13" t="s">
        <v>18</v>
      </c>
      <c r="G15" s="55">
        <v>5112</v>
      </c>
      <c r="H15" s="16">
        <v>0</v>
      </c>
      <c r="I15" s="3" t="s">
        <v>15</v>
      </c>
      <c r="J15" s="5">
        <f t="shared" si="0"/>
        <v>46243</v>
      </c>
      <c r="K15" s="13" t="s">
        <v>1006</v>
      </c>
    </row>
    <row r="16" spans="1:11" ht="15.75" x14ac:dyDescent="0.25">
      <c r="A16" s="3">
        <v>7</v>
      </c>
      <c r="B16" s="3" t="s">
        <v>1000</v>
      </c>
      <c r="C16" s="80">
        <v>1</v>
      </c>
      <c r="D16" s="5">
        <f t="shared" si="1"/>
        <v>46242</v>
      </c>
      <c r="E16" s="14">
        <v>0</v>
      </c>
      <c r="F16" s="13" t="s">
        <v>18</v>
      </c>
      <c r="G16" s="55">
        <v>9190</v>
      </c>
      <c r="H16" s="16">
        <v>0</v>
      </c>
      <c r="I16" s="3" t="s">
        <v>15</v>
      </c>
      <c r="J16" s="5">
        <f t="shared" si="0"/>
        <v>46243</v>
      </c>
      <c r="K16" s="13" t="s">
        <v>115</v>
      </c>
    </row>
    <row r="17" spans="1:11" ht="15.75" x14ac:dyDescent="0.25">
      <c r="A17" s="3">
        <v>8</v>
      </c>
      <c r="B17" s="3" t="s">
        <v>1001</v>
      </c>
      <c r="C17" s="80">
        <v>10280</v>
      </c>
      <c r="D17" s="5">
        <f t="shared" si="1"/>
        <v>46242</v>
      </c>
      <c r="E17" s="14">
        <v>0</v>
      </c>
      <c r="F17" s="13" t="s">
        <v>18</v>
      </c>
      <c r="G17" s="55">
        <v>9689</v>
      </c>
      <c r="H17" s="16">
        <v>0</v>
      </c>
      <c r="I17" s="3" t="s">
        <v>15</v>
      </c>
      <c r="J17" s="5">
        <f t="shared" si="0"/>
        <v>46243</v>
      </c>
      <c r="K17" s="13" t="s">
        <v>115</v>
      </c>
    </row>
    <row r="18" spans="1:11" ht="15.75" x14ac:dyDescent="0.25">
      <c r="A18" s="3">
        <v>9</v>
      </c>
      <c r="B18" s="3" t="s">
        <v>1002</v>
      </c>
      <c r="C18" s="80">
        <v>1030</v>
      </c>
      <c r="D18" s="5">
        <f t="shared" si="1"/>
        <v>46242</v>
      </c>
      <c r="E18" s="14">
        <v>0</v>
      </c>
      <c r="F18" s="13" t="s">
        <v>18</v>
      </c>
      <c r="G18" s="55">
        <v>5980</v>
      </c>
      <c r="H18" s="16">
        <v>0</v>
      </c>
      <c r="I18" s="3" t="s">
        <v>15</v>
      </c>
      <c r="J18" s="5">
        <f t="shared" si="0"/>
        <v>46243</v>
      </c>
      <c r="K18" s="13" t="s">
        <v>115</v>
      </c>
    </row>
    <row r="19" spans="1:11" ht="15.75" x14ac:dyDescent="0.25">
      <c r="A19" s="3">
        <v>10</v>
      </c>
      <c r="B19" s="3" t="s">
        <v>1003</v>
      </c>
      <c r="C19" s="80">
        <v>1765</v>
      </c>
      <c r="D19" s="5">
        <f t="shared" si="1"/>
        <v>46242</v>
      </c>
      <c r="E19" s="14">
        <v>0</v>
      </c>
      <c r="F19" s="13" t="s">
        <v>18</v>
      </c>
      <c r="G19" s="55">
        <v>6434</v>
      </c>
      <c r="H19" s="16">
        <v>0</v>
      </c>
      <c r="I19" s="3" t="s">
        <v>15</v>
      </c>
      <c r="J19" s="5">
        <f t="shared" si="0"/>
        <v>46243</v>
      </c>
      <c r="K19" s="13" t="s">
        <v>115</v>
      </c>
    </row>
    <row r="20" spans="1:11" ht="15.75" x14ac:dyDescent="0.25">
      <c r="A20" s="3">
        <v>11</v>
      </c>
      <c r="B20" s="3" t="s">
        <v>330</v>
      </c>
      <c r="C20" s="80">
        <v>9480</v>
      </c>
      <c r="D20" s="5">
        <f t="shared" si="1"/>
        <v>46242</v>
      </c>
      <c r="E20" s="14">
        <v>0</v>
      </c>
      <c r="F20" s="13" t="s">
        <v>18</v>
      </c>
      <c r="G20" s="55">
        <v>7775</v>
      </c>
      <c r="H20" s="16">
        <v>0</v>
      </c>
      <c r="I20" s="3" t="s">
        <v>15</v>
      </c>
      <c r="J20" s="5">
        <f t="shared" si="0"/>
        <v>46243</v>
      </c>
      <c r="K20" s="13" t="s">
        <v>115</v>
      </c>
    </row>
    <row r="21" spans="1:11" ht="15.75" x14ac:dyDescent="0.25">
      <c r="A21" s="3">
        <v>12</v>
      </c>
      <c r="B21" s="3" t="s">
        <v>1004</v>
      </c>
      <c r="C21" s="80">
        <v>11500</v>
      </c>
      <c r="D21" s="5">
        <f t="shared" si="1"/>
        <v>46242</v>
      </c>
      <c r="E21" s="14">
        <v>0</v>
      </c>
      <c r="F21" s="13" t="s">
        <v>18</v>
      </c>
      <c r="G21" s="55">
        <v>8801</v>
      </c>
      <c r="H21" s="16">
        <v>0</v>
      </c>
      <c r="I21" s="3" t="s">
        <v>15</v>
      </c>
      <c r="J21" s="5">
        <f t="shared" si="0"/>
        <v>46243</v>
      </c>
      <c r="K21" s="13" t="s">
        <v>1117</v>
      </c>
    </row>
    <row r="22" spans="1:11" ht="18.75" x14ac:dyDescent="0.3">
      <c r="A22" s="3"/>
      <c r="B22" s="17" t="s">
        <v>16</v>
      </c>
      <c r="C22" s="82">
        <f>SUM(C10:C21)</f>
        <v>73201</v>
      </c>
      <c r="D22" s="3"/>
      <c r="E22" s="3"/>
      <c r="F22" s="13"/>
      <c r="G22" s="13"/>
      <c r="H22" s="11"/>
      <c r="I22" s="3"/>
      <c r="J22" s="3"/>
      <c r="K22" s="3"/>
    </row>
    <row r="23" spans="1:11" ht="24.75" x14ac:dyDescent="0.5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.75" x14ac:dyDescent="0.3">
      <c r="A24" s="19" t="s">
        <v>3</v>
      </c>
      <c r="B24" s="19" t="s">
        <v>21</v>
      </c>
      <c r="C24" s="5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75" x14ac:dyDescent="0.25">
      <c r="A25" s="8">
        <v>1</v>
      </c>
      <c r="B25" s="8" t="s">
        <v>1005</v>
      </c>
      <c r="C25" s="75">
        <v>3639</v>
      </c>
      <c r="D25" s="5">
        <v>46242</v>
      </c>
      <c r="E25" s="8"/>
      <c r="F25" s="8"/>
      <c r="G25" s="22">
        <v>2687</v>
      </c>
      <c r="H25" s="23"/>
      <c r="I25" s="24"/>
      <c r="J25" s="5">
        <v>46242</v>
      </c>
      <c r="K25" s="13" t="s">
        <v>278</v>
      </c>
    </row>
    <row r="26" spans="1:11" ht="18.75" x14ac:dyDescent="0.25">
      <c r="A26" s="8"/>
      <c r="B26" s="25" t="s">
        <v>27</v>
      </c>
      <c r="C26" s="83">
        <f>SUM(C25:C25)</f>
        <v>3639</v>
      </c>
      <c r="D26" s="3"/>
      <c r="E26" s="8"/>
      <c r="F26" s="8"/>
      <c r="G26" s="8"/>
      <c r="H26" s="27">
        <v>0</v>
      </c>
      <c r="I26" s="24"/>
      <c r="J26" s="3"/>
      <c r="K26" s="28"/>
    </row>
    <row r="27" spans="1:11" x14ac:dyDescent="0.25">
      <c r="C27" s="29"/>
      <c r="H27" s="29"/>
    </row>
    <row r="28" spans="1:11" ht="16.5" x14ac:dyDescent="0.3">
      <c r="B28" s="30" t="s">
        <v>28</v>
      </c>
      <c r="C28" s="76">
        <f>SUM(C12,C13)</f>
        <v>26610</v>
      </c>
      <c r="E28" s="32"/>
      <c r="F28" s="32"/>
      <c r="G28" s="116"/>
      <c r="H28" s="116"/>
    </row>
    <row r="29" spans="1:11" ht="16.5" x14ac:dyDescent="0.3">
      <c r="B29" s="33" t="s">
        <v>29</v>
      </c>
      <c r="C29" s="77">
        <f>SUM(C20,C19,C18,C17,C16,C15,C14,C10)</f>
        <v>35061</v>
      </c>
      <c r="E29" s="35"/>
      <c r="F29" s="35"/>
      <c r="G29" s="36" t="s">
        <v>30</v>
      </c>
      <c r="H29" s="37"/>
    </row>
    <row r="30" spans="1:11" ht="24" x14ac:dyDescent="0.4">
      <c r="B30" s="38" t="s">
        <v>31</v>
      </c>
      <c r="C30" s="78">
        <f>SUM(C21,C11)</f>
        <v>11530</v>
      </c>
      <c r="E30" s="40" t="s">
        <v>32</v>
      </c>
      <c r="F30" s="41"/>
      <c r="G30" s="42"/>
      <c r="H30" s="43"/>
      <c r="I30" s="42"/>
      <c r="J30" s="44"/>
    </row>
    <row r="31" spans="1:11" ht="18.75" x14ac:dyDescent="0.3">
      <c r="B31" s="45" t="s">
        <v>16</v>
      </c>
      <c r="C31" s="79">
        <f>SUM(C28:C30)</f>
        <v>73201</v>
      </c>
      <c r="G31" s="36"/>
      <c r="H31" s="37"/>
      <c r="I31" s="36"/>
      <c r="J31" s="36"/>
    </row>
  </sheetData>
  <mergeCells count="6">
    <mergeCell ref="G28:H28"/>
    <mergeCell ref="A1:K1"/>
    <mergeCell ref="A2:K2"/>
    <mergeCell ref="A3:K3"/>
    <mergeCell ref="A9:K9"/>
    <mergeCell ref="A23:K23"/>
  </mergeCells>
  <pageMargins left="0" right="0" top="0.39370078740157483" bottom="0" header="0" footer="0"/>
  <pageSetup scale="90" orientation="landscape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A31FF-8291-4730-8BA5-1661FB7FADCD}">
  <sheetPr>
    <pageSetUpPr fitToPage="1"/>
  </sheetPr>
  <dimension ref="A1:K23"/>
  <sheetViews>
    <sheetView topLeftCell="A10" workbookViewId="0">
      <selection activeCell="I18" sqref="I18"/>
    </sheetView>
  </sheetViews>
  <sheetFormatPr defaultRowHeight="15" x14ac:dyDescent="0.25"/>
  <cols>
    <col min="1" max="1" width="4.42578125" bestFit="1" customWidth="1"/>
    <col min="2" max="2" width="24" bestFit="1" customWidth="1"/>
    <col min="3" max="3" width="14.4257812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6.85546875" customWidth="1"/>
  </cols>
  <sheetData>
    <row r="1" spans="1:11" ht="24.75" x14ac:dyDescent="0.25">
      <c r="A1" s="117" t="s">
        <v>829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1007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46243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46242</v>
      </c>
      <c r="K5" s="8" t="s">
        <v>33</v>
      </c>
    </row>
    <row r="6" spans="1:11" ht="18.75" x14ac:dyDescent="0.3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4" x14ac:dyDescent="0.4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75" x14ac:dyDescent="0.25">
      <c r="A9" s="3">
        <v>1</v>
      </c>
      <c r="B9" s="3" t="s">
        <v>1008</v>
      </c>
      <c r="C9" s="80">
        <v>2000</v>
      </c>
      <c r="D9" s="5">
        <v>46243</v>
      </c>
      <c r="E9" s="14">
        <v>0</v>
      </c>
      <c r="F9" s="13" t="s">
        <v>18</v>
      </c>
      <c r="G9" s="55">
        <v>563</v>
      </c>
      <c r="H9" s="16">
        <v>0</v>
      </c>
      <c r="I9" s="3" t="s">
        <v>19</v>
      </c>
      <c r="J9" s="5">
        <f t="shared" ref="J9:J11" si="0">+D9+1</f>
        <v>46244</v>
      </c>
      <c r="K9" s="13" t="s">
        <v>187</v>
      </c>
    </row>
    <row r="10" spans="1:11" ht="15.75" x14ac:dyDescent="0.25">
      <c r="A10" s="3">
        <v>2</v>
      </c>
      <c r="B10" s="3" t="s">
        <v>1009</v>
      </c>
      <c r="C10" s="80">
        <v>27690</v>
      </c>
      <c r="D10" s="5">
        <f t="shared" ref="D10:D11" si="1">+D9</f>
        <v>46243</v>
      </c>
      <c r="E10" s="14">
        <v>0</v>
      </c>
      <c r="F10" s="13" t="s">
        <v>18</v>
      </c>
      <c r="G10" s="55">
        <v>5500</v>
      </c>
      <c r="H10" s="16">
        <v>0</v>
      </c>
      <c r="I10" s="3" t="s">
        <v>15</v>
      </c>
      <c r="J10" s="5">
        <f t="shared" si="0"/>
        <v>46244</v>
      </c>
      <c r="K10" s="13" t="s">
        <v>115</v>
      </c>
    </row>
    <row r="11" spans="1:11" ht="15.75" x14ac:dyDescent="0.25">
      <c r="A11" s="3">
        <v>3</v>
      </c>
      <c r="B11" s="3" t="s">
        <v>636</v>
      </c>
      <c r="C11" s="80">
        <v>3300</v>
      </c>
      <c r="D11" s="5">
        <f t="shared" si="1"/>
        <v>46243</v>
      </c>
      <c r="E11" s="14">
        <v>0</v>
      </c>
      <c r="F11" s="13" t="s">
        <v>18</v>
      </c>
      <c r="G11" s="55">
        <v>4466</v>
      </c>
      <c r="H11" s="16">
        <v>0</v>
      </c>
      <c r="I11" s="3" t="s">
        <v>15</v>
      </c>
      <c r="J11" s="5">
        <f t="shared" si="0"/>
        <v>46244</v>
      </c>
      <c r="K11" s="13" t="s">
        <v>115</v>
      </c>
    </row>
    <row r="12" spans="1:11" ht="18.75" x14ac:dyDescent="0.3">
      <c r="A12" s="3"/>
      <c r="B12" s="17" t="s">
        <v>16</v>
      </c>
      <c r="C12" s="82">
        <f>SUM(C9:C11)</f>
        <v>32990</v>
      </c>
      <c r="D12" s="3"/>
      <c r="E12" s="3"/>
      <c r="F12" s="13"/>
      <c r="G12" s="13"/>
      <c r="H12" s="11"/>
      <c r="I12" s="3"/>
      <c r="J12" s="3"/>
      <c r="K12" s="3"/>
    </row>
    <row r="13" spans="1:11" ht="24.75" x14ac:dyDescent="0.5">
      <c r="A13" s="125" t="s">
        <v>20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7"/>
    </row>
    <row r="14" spans="1:11" ht="18.75" x14ac:dyDescent="0.3">
      <c r="A14" s="19" t="s">
        <v>3</v>
      </c>
      <c r="B14" s="19" t="s">
        <v>21</v>
      </c>
      <c r="C14" s="50" t="s">
        <v>5</v>
      </c>
      <c r="D14" s="1" t="s">
        <v>22</v>
      </c>
      <c r="E14" s="19" t="s">
        <v>7</v>
      </c>
      <c r="F14" s="19" t="s">
        <v>8</v>
      </c>
      <c r="G14" s="19" t="s">
        <v>23</v>
      </c>
      <c r="H14" s="20" t="s">
        <v>24</v>
      </c>
      <c r="I14" s="19" t="s">
        <v>11</v>
      </c>
      <c r="J14" s="19" t="s">
        <v>25</v>
      </c>
      <c r="K14" s="21" t="s">
        <v>26</v>
      </c>
    </row>
    <row r="15" spans="1:11" ht="15.75" x14ac:dyDescent="0.25">
      <c r="A15" s="8">
        <v>1</v>
      </c>
      <c r="B15" s="8" t="s">
        <v>41</v>
      </c>
      <c r="C15" s="75">
        <v>27881</v>
      </c>
      <c r="D15" s="5">
        <v>46243</v>
      </c>
      <c r="E15" s="8"/>
      <c r="F15" s="8"/>
      <c r="G15" s="22">
        <v>11</v>
      </c>
      <c r="H15" s="23"/>
      <c r="I15" s="24"/>
      <c r="J15" s="5">
        <v>46243</v>
      </c>
      <c r="K15" s="13" t="s">
        <v>115</v>
      </c>
    </row>
    <row r="16" spans="1:11" ht="15.75" x14ac:dyDescent="0.25">
      <c r="A16" s="8">
        <v>2</v>
      </c>
      <c r="B16" s="8" t="s">
        <v>642</v>
      </c>
      <c r="C16" s="75">
        <v>100000</v>
      </c>
      <c r="D16" s="5">
        <v>46243</v>
      </c>
      <c r="E16" s="8"/>
      <c r="F16" s="8"/>
      <c r="G16" s="22">
        <v>5204</v>
      </c>
      <c r="H16" s="23"/>
      <c r="I16" s="24"/>
      <c r="J16" s="5">
        <v>46243</v>
      </c>
      <c r="K16" s="13" t="s">
        <v>430</v>
      </c>
    </row>
    <row r="17" spans="1:11" ht="15.75" x14ac:dyDescent="0.25">
      <c r="A17" s="8">
        <v>3</v>
      </c>
      <c r="B17" s="8" t="s">
        <v>41</v>
      </c>
      <c r="C17" s="75">
        <v>54466</v>
      </c>
      <c r="D17" s="5">
        <v>46243</v>
      </c>
      <c r="E17" s="8"/>
      <c r="F17" s="8"/>
      <c r="G17" s="22">
        <v>61</v>
      </c>
      <c r="H17" s="23"/>
      <c r="I17" s="24"/>
      <c r="J17" s="5">
        <v>46243</v>
      </c>
      <c r="K17" s="13" t="s">
        <v>115</v>
      </c>
    </row>
    <row r="18" spans="1:11" ht="18.75" x14ac:dyDescent="0.25">
      <c r="A18" s="8"/>
      <c r="B18" s="25" t="s">
        <v>27</v>
      </c>
      <c r="C18" s="83">
        <f>SUM(C15:C17)</f>
        <v>182347</v>
      </c>
      <c r="D18" s="3"/>
      <c r="E18" s="8"/>
      <c r="F18" s="8"/>
      <c r="G18" s="8"/>
      <c r="H18" s="27">
        <v>0</v>
      </c>
      <c r="I18" s="24"/>
      <c r="J18" s="3"/>
      <c r="K18" s="28"/>
    </row>
    <row r="19" spans="1:11" x14ac:dyDescent="0.25">
      <c r="C19" s="29"/>
      <c r="H19" s="29"/>
    </row>
    <row r="20" spans="1:11" ht="16.5" x14ac:dyDescent="0.3">
      <c r="B20" s="30" t="s">
        <v>28</v>
      </c>
      <c r="C20" s="76"/>
      <c r="E20" s="32"/>
      <c r="F20" s="32"/>
      <c r="G20" s="116"/>
      <c r="H20" s="116"/>
    </row>
    <row r="21" spans="1:11" ht="16.5" x14ac:dyDescent="0.3">
      <c r="B21" s="33" t="s">
        <v>29</v>
      </c>
      <c r="C21" s="77">
        <f>SUM(C11,C10)</f>
        <v>30990</v>
      </c>
      <c r="E21" s="35"/>
      <c r="F21" s="35"/>
      <c r="G21" s="36" t="s">
        <v>30</v>
      </c>
      <c r="H21" s="37"/>
    </row>
    <row r="22" spans="1:11" ht="24" x14ac:dyDescent="0.4">
      <c r="B22" s="38" t="s">
        <v>187</v>
      </c>
      <c r="C22" s="78">
        <f>SUM(C9)</f>
        <v>2000</v>
      </c>
      <c r="E22" s="40" t="s">
        <v>32</v>
      </c>
      <c r="F22" s="41"/>
      <c r="G22" s="42"/>
      <c r="H22" s="43"/>
      <c r="I22" s="42"/>
      <c r="J22" s="44"/>
    </row>
    <row r="23" spans="1:11" ht="18.75" x14ac:dyDescent="0.3">
      <c r="B23" s="45" t="s">
        <v>16</v>
      </c>
      <c r="C23" s="79">
        <f>SUM(C20:C22)</f>
        <v>32990</v>
      </c>
      <c r="G23" s="36"/>
      <c r="H23" s="37"/>
      <c r="I23" s="36"/>
      <c r="J23" s="36"/>
    </row>
  </sheetData>
  <mergeCells count="6">
    <mergeCell ref="G20:H20"/>
    <mergeCell ref="A1:K1"/>
    <mergeCell ref="A2:K2"/>
    <mergeCell ref="A3:K3"/>
    <mergeCell ref="A8:K8"/>
    <mergeCell ref="A13:K13"/>
  </mergeCells>
  <pageMargins left="0" right="0" top="0" bottom="0" header="0" footer="0"/>
  <pageSetup scale="89" orientation="landscape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868E9-382A-4FFB-A2E5-497B370EA449}">
  <sheetPr>
    <pageSetUpPr fitToPage="1"/>
  </sheetPr>
  <dimension ref="A1:K27"/>
  <sheetViews>
    <sheetView topLeftCell="A15" workbookViewId="0">
      <selection sqref="A1:K27"/>
    </sheetView>
  </sheetViews>
  <sheetFormatPr defaultRowHeight="15" x14ac:dyDescent="0.25"/>
  <cols>
    <col min="1" max="1" width="4.42578125" bestFit="1" customWidth="1"/>
    <col min="2" max="2" width="16.7109375" bestFit="1" customWidth="1"/>
    <col min="3" max="3" width="12.710937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2.5703125" bestFit="1" customWidth="1"/>
  </cols>
  <sheetData>
    <row r="1" spans="1:11" ht="24.75" x14ac:dyDescent="0.25">
      <c r="A1" s="117" t="s">
        <v>829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1010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46244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46243</v>
      </c>
      <c r="K5" s="8" t="s">
        <v>33</v>
      </c>
    </row>
    <row r="6" spans="1:11" ht="18.75" x14ac:dyDescent="0.3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4" x14ac:dyDescent="0.4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75" x14ac:dyDescent="0.25">
      <c r="A9" s="3">
        <v>1</v>
      </c>
      <c r="B9" s="3" t="s">
        <v>1011</v>
      </c>
      <c r="C9" s="80">
        <v>1100</v>
      </c>
      <c r="D9" s="5">
        <v>46244</v>
      </c>
      <c r="E9" s="14">
        <v>0</v>
      </c>
      <c r="F9" s="13" t="s">
        <v>18</v>
      </c>
      <c r="G9" s="55">
        <v>4679</v>
      </c>
      <c r="H9" s="16">
        <v>0</v>
      </c>
      <c r="I9" s="3" t="s">
        <v>19</v>
      </c>
      <c r="J9" s="5">
        <f t="shared" ref="J9:J14" si="0">+D9+1</f>
        <v>46245</v>
      </c>
      <c r="K9" s="13" t="s">
        <v>90</v>
      </c>
    </row>
    <row r="10" spans="1:11" ht="15.75" x14ac:dyDescent="0.25">
      <c r="A10" s="3">
        <v>2</v>
      </c>
      <c r="B10" s="3" t="s">
        <v>129</v>
      </c>
      <c r="C10" s="80">
        <v>600</v>
      </c>
      <c r="D10" s="5">
        <f t="shared" ref="D10:D14" si="1">+D9</f>
        <v>46244</v>
      </c>
      <c r="E10" s="14">
        <v>0</v>
      </c>
      <c r="F10" s="13" t="s">
        <v>18</v>
      </c>
      <c r="G10" s="55">
        <v>9710</v>
      </c>
      <c r="H10" s="16">
        <v>0</v>
      </c>
      <c r="I10" s="3" t="s">
        <v>15</v>
      </c>
      <c r="J10" s="5">
        <f t="shared" si="0"/>
        <v>46245</v>
      </c>
      <c r="K10" s="13" t="s">
        <v>203</v>
      </c>
    </row>
    <row r="11" spans="1:11" ht="15.75" x14ac:dyDescent="0.25">
      <c r="A11" s="3">
        <v>3</v>
      </c>
      <c r="B11" s="3" t="s">
        <v>1012</v>
      </c>
      <c r="C11" s="80">
        <v>745</v>
      </c>
      <c r="D11" s="5">
        <f t="shared" si="1"/>
        <v>46244</v>
      </c>
      <c r="E11" s="14">
        <v>0</v>
      </c>
      <c r="F11" s="13" t="s">
        <v>18</v>
      </c>
      <c r="G11" s="55">
        <v>8566</v>
      </c>
      <c r="H11" s="16">
        <v>0</v>
      </c>
      <c r="I11" s="3" t="s">
        <v>15</v>
      </c>
      <c r="J11" s="5">
        <f t="shared" si="0"/>
        <v>46245</v>
      </c>
      <c r="K11" s="13" t="s">
        <v>203</v>
      </c>
    </row>
    <row r="12" spans="1:11" ht="15.75" x14ac:dyDescent="0.25">
      <c r="A12" s="3">
        <v>4</v>
      </c>
      <c r="B12" s="3" t="s">
        <v>1013</v>
      </c>
      <c r="C12" s="80">
        <v>4300</v>
      </c>
      <c r="D12" s="5">
        <f t="shared" si="1"/>
        <v>46244</v>
      </c>
      <c r="E12" s="14">
        <v>0</v>
      </c>
      <c r="F12" s="13" t="s">
        <v>18</v>
      </c>
      <c r="G12" s="55">
        <v>9479</v>
      </c>
      <c r="H12" s="16">
        <v>0</v>
      </c>
      <c r="I12" s="3" t="s">
        <v>15</v>
      </c>
      <c r="J12" s="5">
        <f t="shared" si="0"/>
        <v>46245</v>
      </c>
      <c r="K12" s="13" t="s">
        <v>204</v>
      </c>
    </row>
    <row r="13" spans="1:11" ht="15.75" x14ac:dyDescent="0.25">
      <c r="A13" s="3">
        <v>5</v>
      </c>
      <c r="B13" s="3" t="s">
        <v>979</v>
      </c>
      <c r="C13" s="80">
        <v>1650</v>
      </c>
      <c r="D13" s="5">
        <f t="shared" si="1"/>
        <v>46244</v>
      </c>
      <c r="E13" s="14">
        <v>0</v>
      </c>
      <c r="F13" s="13" t="s">
        <v>18</v>
      </c>
      <c r="G13" s="55">
        <v>9201</v>
      </c>
      <c r="H13" s="16">
        <v>0</v>
      </c>
      <c r="I13" s="3" t="s">
        <v>15</v>
      </c>
      <c r="J13" s="5">
        <f t="shared" si="0"/>
        <v>46245</v>
      </c>
      <c r="K13" s="13" t="s">
        <v>204</v>
      </c>
    </row>
    <row r="14" spans="1:11" ht="15.75" x14ac:dyDescent="0.25">
      <c r="A14" s="3">
        <v>6</v>
      </c>
      <c r="B14" s="3" t="s">
        <v>1014</v>
      </c>
      <c r="C14" s="80">
        <v>6500</v>
      </c>
      <c r="D14" s="5">
        <f t="shared" si="1"/>
        <v>46244</v>
      </c>
      <c r="E14" s="14">
        <v>0</v>
      </c>
      <c r="F14" s="13" t="s">
        <v>18</v>
      </c>
      <c r="G14" s="55">
        <v>7973</v>
      </c>
      <c r="H14" s="16">
        <v>0</v>
      </c>
      <c r="I14" s="3" t="s">
        <v>15</v>
      </c>
      <c r="J14" s="5">
        <f t="shared" si="0"/>
        <v>46245</v>
      </c>
      <c r="K14" s="13" t="s">
        <v>102</v>
      </c>
    </row>
    <row r="15" spans="1:11" ht="18.75" x14ac:dyDescent="0.3">
      <c r="A15" s="3"/>
      <c r="B15" s="17" t="s">
        <v>16</v>
      </c>
      <c r="C15" s="82">
        <f>SUM(C9:C14)</f>
        <v>14895</v>
      </c>
      <c r="D15" s="3"/>
      <c r="E15" s="3"/>
      <c r="F15" s="13"/>
      <c r="G15" s="13"/>
      <c r="H15" s="11"/>
      <c r="I15" s="3"/>
      <c r="J15" s="3"/>
      <c r="K15" s="3"/>
    </row>
    <row r="16" spans="1:11" ht="24.75" x14ac:dyDescent="0.5">
      <c r="A16" s="125" t="s">
        <v>20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7"/>
    </row>
    <row r="17" spans="1:11" ht="18.75" x14ac:dyDescent="0.3">
      <c r="A17" s="19" t="s">
        <v>3</v>
      </c>
      <c r="B17" s="19" t="s">
        <v>21</v>
      </c>
      <c r="C17" s="50" t="s">
        <v>5</v>
      </c>
      <c r="D17" s="1" t="s">
        <v>22</v>
      </c>
      <c r="E17" s="19" t="s">
        <v>7</v>
      </c>
      <c r="F17" s="19" t="s">
        <v>8</v>
      </c>
      <c r="G17" s="19" t="s">
        <v>23</v>
      </c>
      <c r="H17" s="20" t="s">
        <v>24</v>
      </c>
      <c r="I17" s="19" t="s">
        <v>11</v>
      </c>
      <c r="J17" s="19" t="s">
        <v>25</v>
      </c>
      <c r="K17" s="21" t="s">
        <v>26</v>
      </c>
    </row>
    <row r="18" spans="1:11" ht="15.75" x14ac:dyDescent="0.25">
      <c r="A18" s="8">
        <v>1</v>
      </c>
      <c r="B18" s="8" t="s">
        <v>1015</v>
      </c>
      <c r="C18" s="75">
        <v>3500</v>
      </c>
      <c r="D18" s="5">
        <v>46244</v>
      </c>
      <c r="E18" s="8"/>
      <c r="F18" s="8"/>
      <c r="G18" s="22">
        <v>2255</v>
      </c>
      <c r="H18" s="23"/>
      <c r="I18" s="24"/>
      <c r="J18" s="5">
        <v>46244</v>
      </c>
      <c r="K18" s="13" t="s">
        <v>861</v>
      </c>
    </row>
    <row r="19" spans="1:11" ht="15.75" x14ac:dyDescent="0.25">
      <c r="A19" s="8">
        <v>2</v>
      </c>
      <c r="B19" s="8" t="s">
        <v>44</v>
      </c>
      <c r="C19" s="75">
        <v>1138.55</v>
      </c>
      <c r="D19" s="5">
        <v>46244</v>
      </c>
      <c r="E19" s="8"/>
      <c r="F19" s="8"/>
      <c r="G19" s="22">
        <v>8365</v>
      </c>
      <c r="H19" s="23"/>
      <c r="I19" s="24"/>
      <c r="J19" s="5">
        <v>46244</v>
      </c>
      <c r="K19" s="13" t="s">
        <v>68</v>
      </c>
    </row>
    <row r="20" spans="1:11" ht="15.75" x14ac:dyDescent="0.25">
      <c r="A20" s="8">
        <v>3</v>
      </c>
      <c r="B20" s="8" t="s">
        <v>1016</v>
      </c>
      <c r="C20" s="75">
        <v>590</v>
      </c>
      <c r="D20" s="5">
        <v>46244</v>
      </c>
      <c r="E20" s="8"/>
      <c r="F20" s="8"/>
      <c r="G20" s="22">
        <v>0</v>
      </c>
      <c r="H20" s="23"/>
      <c r="I20" s="24"/>
      <c r="J20" s="5">
        <v>46244</v>
      </c>
      <c r="K20" s="13" t="s">
        <v>1017</v>
      </c>
    </row>
    <row r="21" spans="1:11" ht="15.75" x14ac:dyDescent="0.25">
      <c r="A21" s="8">
        <v>4</v>
      </c>
      <c r="B21" s="8" t="s">
        <v>274</v>
      </c>
      <c r="C21" s="75">
        <v>116.82</v>
      </c>
      <c r="D21" s="5">
        <v>46244</v>
      </c>
      <c r="E21" s="8"/>
      <c r="F21" s="8"/>
      <c r="G21" s="22">
        <v>0</v>
      </c>
      <c r="H21" s="23"/>
      <c r="I21" s="24"/>
      <c r="J21" s="5">
        <v>46244</v>
      </c>
      <c r="K21" s="13" t="s">
        <v>1018</v>
      </c>
    </row>
    <row r="22" spans="1:11" ht="18.75" x14ac:dyDescent="0.25">
      <c r="A22" s="8"/>
      <c r="B22" s="25" t="s">
        <v>27</v>
      </c>
      <c r="C22" s="83">
        <f>SUM(C18:C21)</f>
        <v>5345.37</v>
      </c>
      <c r="D22" s="3"/>
      <c r="E22" s="8"/>
      <c r="F22" s="8"/>
      <c r="G22" s="8"/>
      <c r="H22" s="27">
        <v>0</v>
      </c>
      <c r="I22" s="24"/>
      <c r="J22" s="3"/>
      <c r="K22" s="28"/>
    </row>
    <row r="23" spans="1:11" x14ac:dyDescent="0.25">
      <c r="C23" s="29"/>
      <c r="H23" s="29"/>
    </row>
    <row r="24" spans="1:11" ht="16.5" x14ac:dyDescent="0.3">
      <c r="B24" s="30" t="s">
        <v>28</v>
      </c>
      <c r="C24" s="76">
        <f>SUM(C10,C11,C12,C13,C14)</f>
        <v>13795</v>
      </c>
      <c r="E24" s="32"/>
      <c r="F24" s="32"/>
      <c r="G24" s="116"/>
      <c r="H24" s="116"/>
    </row>
    <row r="25" spans="1:11" ht="16.5" x14ac:dyDescent="0.3">
      <c r="B25" s="33" t="s">
        <v>29</v>
      </c>
      <c r="C25" s="77"/>
      <c r="E25" s="35"/>
      <c r="F25" s="35"/>
      <c r="G25" s="36" t="s">
        <v>30</v>
      </c>
      <c r="H25" s="37"/>
    </row>
    <row r="26" spans="1:11" ht="24" x14ac:dyDescent="0.4">
      <c r="B26" s="38" t="s">
        <v>700</v>
      </c>
      <c r="C26" s="78">
        <f>SUM(C9)</f>
        <v>1100</v>
      </c>
      <c r="E26" s="40" t="s">
        <v>32</v>
      </c>
      <c r="F26" s="41"/>
      <c r="G26" s="42"/>
      <c r="H26" s="43"/>
      <c r="I26" s="42"/>
      <c r="J26" s="44"/>
    </row>
    <row r="27" spans="1:11" ht="18.75" x14ac:dyDescent="0.3">
      <c r="B27" s="45" t="s">
        <v>16</v>
      </c>
      <c r="C27" s="79">
        <f>SUM(C24:C26)</f>
        <v>14895</v>
      </c>
      <c r="G27" s="36"/>
      <c r="H27" s="37"/>
      <c r="I27" s="36"/>
      <c r="J27" s="36"/>
    </row>
  </sheetData>
  <mergeCells count="6">
    <mergeCell ref="G24:H24"/>
    <mergeCell ref="A1:K1"/>
    <mergeCell ref="A2:K2"/>
    <mergeCell ref="A3:K3"/>
    <mergeCell ref="A8:K8"/>
    <mergeCell ref="A16:K16"/>
  </mergeCells>
  <pageMargins left="0" right="0" top="0" bottom="0" header="0" footer="0"/>
  <pageSetup scale="98" orientation="landscape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2D7E9-4E3F-4BDC-9341-1BB84CCC0227}">
  <sheetPr>
    <pageSetUpPr fitToPage="1"/>
  </sheetPr>
  <dimension ref="A1:K24"/>
  <sheetViews>
    <sheetView topLeftCell="A11" workbookViewId="0">
      <selection sqref="A1:K24"/>
    </sheetView>
  </sheetViews>
  <sheetFormatPr defaultRowHeight="15" x14ac:dyDescent="0.25"/>
  <cols>
    <col min="1" max="1" width="4.42578125" bestFit="1" customWidth="1"/>
    <col min="2" max="2" width="22.42578125" bestFit="1" customWidth="1"/>
    <col min="3" max="3" width="12.710937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2" customWidth="1"/>
  </cols>
  <sheetData>
    <row r="1" spans="1:11" ht="24.75" x14ac:dyDescent="0.25">
      <c r="A1" s="117" t="s">
        <v>829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1019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46245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46244</v>
      </c>
      <c r="K5" s="8" t="s">
        <v>33</v>
      </c>
    </row>
    <row r="6" spans="1:11" ht="18.75" x14ac:dyDescent="0.3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4" x14ac:dyDescent="0.4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75" x14ac:dyDescent="0.25">
      <c r="A9" s="3">
        <v>1</v>
      </c>
      <c r="B9" s="3" t="s">
        <v>800</v>
      </c>
      <c r="C9" s="80">
        <v>420</v>
      </c>
      <c r="D9" s="5">
        <v>46245</v>
      </c>
      <c r="E9" s="14">
        <v>0</v>
      </c>
      <c r="F9" s="13" t="s">
        <v>18</v>
      </c>
      <c r="G9" s="55">
        <v>2313</v>
      </c>
      <c r="H9" s="16">
        <v>0</v>
      </c>
      <c r="I9" s="3" t="s">
        <v>19</v>
      </c>
      <c r="J9" s="5">
        <f t="shared" ref="J9:J14" si="0">+D9+1</f>
        <v>46246</v>
      </c>
      <c r="K9" s="13" t="s">
        <v>115</v>
      </c>
    </row>
    <row r="10" spans="1:11" ht="15.75" x14ac:dyDescent="0.25">
      <c r="A10" s="3">
        <v>2</v>
      </c>
      <c r="B10" s="3" t="s">
        <v>1020</v>
      </c>
      <c r="C10" s="80">
        <v>515</v>
      </c>
      <c r="D10" s="5">
        <f t="shared" ref="D10:D14" si="1">+D9</f>
        <v>46245</v>
      </c>
      <c r="E10" s="14">
        <v>0</v>
      </c>
      <c r="F10" s="13" t="s">
        <v>18</v>
      </c>
      <c r="G10" s="55">
        <v>2509</v>
      </c>
      <c r="H10" s="16">
        <v>0</v>
      </c>
      <c r="I10" s="3" t="s">
        <v>15</v>
      </c>
      <c r="J10" s="5">
        <f t="shared" si="0"/>
        <v>46246</v>
      </c>
      <c r="K10" s="13" t="s">
        <v>115</v>
      </c>
    </row>
    <row r="11" spans="1:11" ht="15.75" x14ac:dyDescent="0.25">
      <c r="A11" s="3">
        <v>3</v>
      </c>
      <c r="B11" s="3" t="s">
        <v>1021</v>
      </c>
      <c r="C11" s="80">
        <v>280</v>
      </c>
      <c r="D11" s="5">
        <f t="shared" si="1"/>
        <v>46245</v>
      </c>
      <c r="E11" s="14">
        <v>0</v>
      </c>
      <c r="F11" s="13" t="s">
        <v>18</v>
      </c>
      <c r="G11" s="55">
        <v>384</v>
      </c>
      <c r="H11" s="16">
        <v>0</v>
      </c>
      <c r="I11" s="3" t="s">
        <v>15</v>
      </c>
      <c r="J11" s="5">
        <f t="shared" si="0"/>
        <v>46246</v>
      </c>
      <c r="K11" s="13" t="s">
        <v>115</v>
      </c>
    </row>
    <row r="12" spans="1:11" ht="15.75" x14ac:dyDescent="0.25">
      <c r="A12" s="3">
        <v>4</v>
      </c>
      <c r="B12" s="3" t="s">
        <v>1022</v>
      </c>
      <c r="C12" s="80">
        <v>970</v>
      </c>
      <c r="D12" s="5">
        <f t="shared" si="1"/>
        <v>46245</v>
      </c>
      <c r="E12" s="14">
        <v>0</v>
      </c>
      <c r="F12" s="13" t="s">
        <v>18</v>
      </c>
      <c r="G12" s="55">
        <v>5070</v>
      </c>
      <c r="H12" s="16">
        <v>0</v>
      </c>
      <c r="I12" s="3" t="s">
        <v>15</v>
      </c>
      <c r="J12" s="5">
        <f t="shared" si="0"/>
        <v>46246</v>
      </c>
      <c r="K12" s="13" t="s">
        <v>115</v>
      </c>
    </row>
    <row r="13" spans="1:11" ht="15.75" x14ac:dyDescent="0.25">
      <c r="A13" s="3">
        <v>5</v>
      </c>
      <c r="B13" s="3" t="s">
        <v>1023</v>
      </c>
      <c r="C13" s="80">
        <v>830</v>
      </c>
      <c r="D13" s="5">
        <f t="shared" si="1"/>
        <v>46245</v>
      </c>
      <c r="E13" s="14">
        <v>0</v>
      </c>
      <c r="F13" s="13" t="s">
        <v>18</v>
      </c>
      <c r="G13" s="55">
        <v>8153</v>
      </c>
      <c r="H13" s="16">
        <v>0</v>
      </c>
      <c r="I13" s="3" t="s">
        <v>15</v>
      </c>
      <c r="J13" s="5">
        <f t="shared" si="0"/>
        <v>46246</v>
      </c>
      <c r="K13" s="13" t="s">
        <v>204</v>
      </c>
    </row>
    <row r="14" spans="1:11" ht="15.75" x14ac:dyDescent="0.25">
      <c r="A14" s="3">
        <v>6</v>
      </c>
      <c r="B14" s="3" t="s">
        <v>1024</v>
      </c>
      <c r="C14" s="80">
        <v>25</v>
      </c>
      <c r="D14" s="5">
        <f t="shared" si="1"/>
        <v>46245</v>
      </c>
      <c r="E14" s="14">
        <v>0</v>
      </c>
      <c r="F14" s="13" t="s">
        <v>18</v>
      </c>
      <c r="G14" s="55">
        <v>2492</v>
      </c>
      <c r="H14" s="16">
        <v>0</v>
      </c>
      <c r="I14" s="3" t="s">
        <v>15</v>
      </c>
      <c r="J14" s="5">
        <f t="shared" si="0"/>
        <v>46246</v>
      </c>
      <c r="K14" s="13" t="s">
        <v>115</v>
      </c>
    </row>
    <row r="15" spans="1:11" ht="18.75" x14ac:dyDescent="0.3">
      <c r="A15" s="3"/>
      <c r="B15" s="17" t="s">
        <v>16</v>
      </c>
      <c r="C15" s="82">
        <f>SUM(C9:C14)</f>
        <v>3040</v>
      </c>
      <c r="D15" s="3"/>
      <c r="E15" s="3"/>
      <c r="F15" s="13"/>
      <c r="G15" s="13"/>
      <c r="H15" s="11"/>
      <c r="I15" s="3"/>
      <c r="J15" s="3"/>
      <c r="K15" s="3"/>
    </row>
    <row r="16" spans="1:11" ht="24.75" x14ac:dyDescent="0.5">
      <c r="A16" s="125" t="s">
        <v>20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7"/>
    </row>
    <row r="17" spans="1:11" ht="18.75" x14ac:dyDescent="0.3">
      <c r="A17" s="19" t="s">
        <v>3</v>
      </c>
      <c r="B17" s="19" t="s">
        <v>21</v>
      </c>
      <c r="C17" s="50" t="s">
        <v>5</v>
      </c>
      <c r="D17" s="1" t="s">
        <v>22</v>
      </c>
      <c r="E17" s="19" t="s">
        <v>7</v>
      </c>
      <c r="F17" s="19" t="s">
        <v>8</v>
      </c>
      <c r="G17" s="19" t="s">
        <v>23</v>
      </c>
      <c r="H17" s="20" t="s">
        <v>24</v>
      </c>
      <c r="I17" s="19" t="s">
        <v>11</v>
      </c>
      <c r="J17" s="19" t="s">
        <v>25</v>
      </c>
      <c r="K17" s="21" t="s">
        <v>26</v>
      </c>
    </row>
    <row r="18" spans="1:11" ht="15.75" x14ac:dyDescent="0.25">
      <c r="A18" s="8">
        <v>1</v>
      </c>
      <c r="B18" s="8" t="s">
        <v>34</v>
      </c>
      <c r="C18" s="75">
        <v>25000</v>
      </c>
      <c r="D18" s="5">
        <v>46245</v>
      </c>
      <c r="E18" s="8"/>
      <c r="F18" s="8"/>
      <c r="G18" s="22">
        <v>1235</v>
      </c>
      <c r="H18" s="23"/>
      <c r="I18" s="24"/>
      <c r="J18" s="5">
        <v>46245</v>
      </c>
      <c r="K18" s="13" t="s">
        <v>262</v>
      </c>
    </row>
    <row r="19" spans="1:11" ht="18.75" x14ac:dyDescent="0.25">
      <c r="A19" s="8"/>
      <c r="B19" s="25" t="s">
        <v>27</v>
      </c>
      <c r="C19" s="83">
        <f>SUM(C18:C18)</f>
        <v>25000</v>
      </c>
      <c r="D19" s="3"/>
      <c r="E19" s="8"/>
      <c r="F19" s="8"/>
      <c r="G19" s="8"/>
      <c r="H19" s="27">
        <v>0</v>
      </c>
      <c r="I19" s="24"/>
      <c r="J19" s="3"/>
      <c r="K19" s="28"/>
    </row>
    <row r="20" spans="1:11" x14ac:dyDescent="0.25">
      <c r="C20" s="29"/>
      <c r="H20" s="29"/>
    </row>
    <row r="21" spans="1:11" ht="16.5" x14ac:dyDescent="0.3">
      <c r="B21" s="30" t="s">
        <v>28</v>
      </c>
      <c r="C21" s="76">
        <f>SUM(C13)</f>
        <v>830</v>
      </c>
      <c r="E21" s="32"/>
      <c r="F21" s="32"/>
      <c r="G21" s="116"/>
      <c r="H21" s="116"/>
    </row>
    <row r="22" spans="1:11" ht="16.5" x14ac:dyDescent="0.3">
      <c r="B22" s="33" t="s">
        <v>29</v>
      </c>
      <c r="C22" s="77">
        <f>SUM(C9,C10,C11,C12,C14)</f>
        <v>2210</v>
      </c>
      <c r="E22" s="35"/>
      <c r="F22" s="35"/>
      <c r="G22" s="36" t="s">
        <v>30</v>
      </c>
      <c r="H22" s="37"/>
    </row>
    <row r="23" spans="1:11" ht="24" x14ac:dyDescent="0.4">
      <c r="B23" s="38" t="s">
        <v>31</v>
      </c>
      <c r="C23" s="78"/>
      <c r="E23" s="40" t="s">
        <v>32</v>
      </c>
      <c r="F23" s="41"/>
      <c r="G23" s="42"/>
      <c r="H23" s="43"/>
      <c r="I23" s="42"/>
      <c r="J23" s="44"/>
    </row>
    <row r="24" spans="1:11" ht="18.75" x14ac:dyDescent="0.3">
      <c r="B24" s="45" t="s">
        <v>16</v>
      </c>
      <c r="C24" s="79">
        <f>SUM(C21:C23)</f>
        <v>3040</v>
      </c>
      <c r="G24" s="36"/>
      <c r="H24" s="37"/>
      <c r="I24" s="36"/>
      <c r="J24" s="36"/>
    </row>
  </sheetData>
  <mergeCells count="6">
    <mergeCell ref="G21:H21"/>
    <mergeCell ref="A1:K1"/>
    <mergeCell ref="A2:K2"/>
    <mergeCell ref="A3:K3"/>
    <mergeCell ref="A8:K8"/>
    <mergeCell ref="A16:K16"/>
  </mergeCells>
  <pageMargins left="0" right="0" top="0" bottom="0" header="0" footer="0"/>
  <pageSetup scale="94" orientation="landscape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FCBFB-DB52-422F-BB02-20A9CAFC5EE8}">
  <sheetPr>
    <pageSetUpPr fitToPage="1"/>
  </sheetPr>
  <dimension ref="A1:K29"/>
  <sheetViews>
    <sheetView topLeftCell="A16" workbookViewId="0">
      <selection sqref="A1:K29"/>
    </sheetView>
  </sheetViews>
  <sheetFormatPr defaultRowHeight="15" x14ac:dyDescent="0.25"/>
  <cols>
    <col min="1" max="1" width="4.42578125" bestFit="1" customWidth="1"/>
    <col min="2" max="2" width="16.7109375" bestFit="1" customWidth="1"/>
    <col min="3" max="3" width="12.710937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6.28515625" customWidth="1"/>
  </cols>
  <sheetData>
    <row r="1" spans="1:11" ht="24.75" x14ac:dyDescent="0.25">
      <c r="A1" s="117" t="s">
        <v>829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1025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46246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46245</v>
      </c>
      <c r="K5" s="8" t="s">
        <v>33</v>
      </c>
    </row>
    <row r="6" spans="1:11" ht="18.75" x14ac:dyDescent="0.3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4" x14ac:dyDescent="0.4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75" x14ac:dyDescent="0.25">
      <c r="A9" s="3">
        <v>1</v>
      </c>
      <c r="B9" s="104" t="s">
        <v>1026</v>
      </c>
      <c r="C9" s="80">
        <v>2700</v>
      </c>
      <c r="D9" s="5">
        <v>46246</v>
      </c>
      <c r="E9" s="14">
        <v>0</v>
      </c>
      <c r="F9" s="13" t="s">
        <v>18</v>
      </c>
      <c r="G9" s="55">
        <v>9192</v>
      </c>
      <c r="H9" s="16">
        <v>0</v>
      </c>
      <c r="I9" s="3" t="s">
        <v>19</v>
      </c>
      <c r="J9" s="5">
        <f t="shared" ref="J9:J17" si="0">+D9+1</f>
        <v>46247</v>
      </c>
      <c r="K9" s="13" t="s">
        <v>1032</v>
      </c>
    </row>
    <row r="10" spans="1:11" ht="15.75" x14ac:dyDescent="0.25">
      <c r="A10" s="3">
        <v>2</v>
      </c>
      <c r="B10" s="3" t="s">
        <v>892</v>
      </c>
      <c r="C10" s="80">
        <v>1745</v>
      </c>
      <c r="D10" s="5">
        <f t="shared" ref="D10:D17" si="1">+D9</f>
        <v>46246</v>
      </c>
      <c r="E10" s="14">
        <v>0</v>
      </c>
      <c r="F10" s="13" t="s">
        <v>18</v>
      </c>
      <c r="G10" s="55">
        <v>2127</v>
      </c>
      <c r="H10" s="16">
        <v>0</v>
      </c>
      <c r="I10" s="3" t="s">
        <v>15</v>
      </c>
      <c r="J10" s="5">
        <f t="shared" si="0"/>
        <v>46247</v>
      </c>
      <c r="K10" s="13" t="s">
        <v>115</v>
      </c>
    </row>
    <row r="11" spans="1:11" ht="15.75" x14ac:dyDescent="0.25">
      <c r="A11" s="3">
        <v>3</v>
      </c>
      <c r="B11" s="3" t="s">
        <v>1027</v>
      </c>
      <c r="C11" s="80">
        <v>675</v>
      </c>
      <c r="D11" s="5">
        <f t="shared" si="1"/>
        <v>46246</v>
      </c>
      <c r="E11" s="14">
        <v>0</v>
      </c>
      <c r="F11" s="13" t="s">
        <v>18</v>
      </c>
      <c r="G11" s="55">
        <v>7708</v>
      </c>
      <c r="H11" s="16">
        <v>0</v>
      </c>
      <c r="I11" s="3" t="s">
        <v>15</v>
      </c>
      <c r="J11" s="5">
        <f t="shared" si="0"/>
        <v>46247</v>
      </c>
      <c r="K11" s="13" t="s">
        <v>115</v>
      </c>
    </row>
    <row r="12" spans="1:11" ht="15.75" x14ac:dyDescent="0.25">
      <c r="A12" s="3">
        <v>4</v>
      </c>
      <c r="B12" s="3" t="s">
        <v>1028</v>
      </c>
      <c r="C12" s="80">
        <v>19175</v>
      </c>
      <c r="D12" s="5">
        <f t="shared" si="1"/>
        <v>46246</v>
      </c>
      <c r="E12" s="14">
        <v>0</v>
      </c>
      <c r="F12" s="13" t="s">
        <v>18</v>
      </c>
      <c r="G12" s="55">
        <v>1142</v>
      </c>
      <c r="H12" s="16">
        <v>0</v>
      </c>
      <c r="I12" s="3" t="s">
        <v>15</v>
      </c>
      <c r="J12" s="5">
        <f t="shared" si="0"/>
        <v>46247</v>
      </c>
      <c r="K12" s="13" t="s">
        <v>115</v>
      </c>
    </row>
    <row r="13" spans="1:11" ht="15.75" x14ac:dyDescent="0.25">
      <c r="A13" s="3">
        <v>5</v>
      </c>
      <c r="B13" s="3" t="s">
        <v>844</v>
      </c>
      <c r="C13" s="80">
        <v>6120</v>
      </c>
      <c r="D13" s="5">
        <f t="shared" si="1"/>
        <v>46246</v>
      </c>
      <c r="E13" s="14">
        <v>0</v>
      </c>
      <c r="F13" s="13" t="s">
        <v>18</v>
      </c>
      <c r="G13" s="55">
        <v>6594</v>
      </c>
      <c r="H13" s="16">
        <v>0</v>
      </c>
      <c r="I13" s="3" t="s">
        <v>15</v>
      </c>
      <c r="J13" s="5">
        <f t="shared" si="0"/>
        <v>46247</v>
      </c>
      <c r="K13" s="13" t="s">
        <v>115</v>
      </c>
    </row>
    <row r="14" spans="1:11" ht="15.75" x14ac:dyDescent="0.25">
      <c r="A14" s="3">
        <v>6</v>
      </c>
      <c r="B14" s="3" t="s">
        <v>1029</v>
      </c>
      <c r="C14" s="80">
        <v>190</v>
      </c>
      <c r="D14" s="5">
        <f t="shared" si="1"/>
        <v>46246</v>
      </c>
      <c r="E14" s="14">
        <v>0</v>
      </c>
      <c r="F14" s="13" t="s">
        <v>18</v>
      </c>
      <c r="G14" s="55">
        <v>5549</v>
      </c>
      <c r="H14" s="16">
        <v>0</v>
      </c>
      <c r="I14" s="3" t="s">
        <v>15</v>
      </c>
      <c r="J14" s="5">
        <f t="shared" si="0"/>
        <v>46247</v>
      </c>
      <c r="K14" s="13" t="s">
        <v>115</v>
      </c>
    </row>
    <row r="15" spans="1:11" ht="15.75" x14ac:dyDescent="0.25">
      <c r="A15" s="3">
        <v>7</v>
      </c>
      <c r="B15" s="3" t="s">
        <v>1030</v>
      </c>
      <c r="C15" s="80">
        <v>3625</v>
      </c>
      <c r="D15" s="5">
        <f t="shared" si="1"/>
        <v>46246</v>
      </c>
      <c r="E15" s="14">
        <v>0</v>
      </c>
      <c r="F15" s="13" t="s">
        <v>18</v>
      </c>
      <c r="G15" s="55">
        <v>5810</v>
      </c>
      <c r="H15" s="16">
        <v>0</v>
      </c>
      <c r="I15" s="3" t="s">
        <v>15</v>
      </c>
      <c r="J15" s="5">
        <f t="shared" si="0"/>
        <v>46247</v>
      </c>
      <c r="K15" s="13" t="s">
        <v>204</v>
      </c>
    </row>
    <row r="16" spans="1:11" ht="15.75" x14ac:dyDescent="0.25">
      <c r="A16" s="3">
        <v>8</v>
      </c>
      <c r="B16" s="3" t="s">
        <v>1031</v>
      </c>
      <c r="C16" s="80">
        <v>5200</v>
      </c>
      <c r="D16" s="5">
        <f t="shared" si="1"/>
        <v>46246</v>
      </c>
      <c r="E16" s="14">
        <v>0</v>
      </c>
      <c r="F16" s="13" t="s">
        <v>18</v>
      </c>
      <c r="G16" s="55">
        <v>3727</v>
      </c>
      <c r="H16" s="16">
        <v>0</v>
      </c>
      <c r="I16" s="3" t="s">
        <v>15</v>
      </c>
      <c r="J16" s="5">
        <f t="shared" si="0"/>
        <v>46247</v>
      </c>
      <c r="K16" s="13" t="s">
        <v>204</v>
      </c>
    </row>
    <row r="17" spans="1:11" ht="15.75" x14ac:dyDescent="0.25">
      <c r="A17" s="3">
        <v>9</v>
      </c>
      <c r="B17" s="3" t="s">
        <v>1031</v>
      </c>
      <c r="C17" s="80">
        <v>2000</v>
      </c>
      <c r="D17" s="5">
        <f t="shared" si="1"/>
        <v>46246</v>
      </c>
      <c r="E17" s="14">
        <v>0</v>
      </c>
      <c r="F17" s="13" t="s">
        <v>18</v>
      </c>
      <c r="G17" s="55">
        <v>1014</v>
      </c>
      <c r="H17" s="16">
        <v>0</v>
      </c>
      <c r="I17" s="3" t="s">
        <v>15</v>
      </c>
      <c r="J17" s="5">
        <f t="shared" si="0"/>
        <v>46247</v>
      </c>
      <c r="K17" s="13" t="s">
        <v>204</v>
      </c>
    </row>
    <row r="18" spans="1:11" ht="18.75" x14ac:dyDescent="0.3">
      <c r="A18" s="3"/>
      <c r="B18" s="17" t="s">
        <v>16</v>
      </c>
      <c r="C18" s="82">
        <f>SUM(C9:C17)</f>
        <v>41430</v>
      </c>
      <c r="D18" s="3"/>
      <c r="E18" s="3"/>
      <c r="F18" s="13"/>
      <c r="G18" s="13"/>
      <c r="H18" s="11"/>
      <c r="I18" s="3"/>
      <c r="J18" s="3"/>
      <c r="K18" s="3"/>
    </row>
    <row r="19" spans="1:11" ht="24.75" x14ac:dyDescent="0.5">
      <c r="A19" s="125" t="s">
        <v>20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7"/>
    </row>
    <row r="20" spans="1:11" ht="18.75" x14ac:dyDescent="0.3">
      <c r="A20" s="19" t="s">
        <v>3</v>
      </c>
      <c r="B20" s="19" t="s">
        <v>21</v>
      </c>
      <c r="C20" s="50" t="s">
        <v>5</v>
      </c>
      <c r="D20" s="1" t="s">
        <v>22</v>
      </c>
      <c r="E20" s="19" t="s">
        <v>7</v>
      </c>
      <c r="F20" s="19" t="s">
        <v>8</v>
      </c>
      <c r="G20" s="19" t="s">
        <v>23</v>
      </c>
      <c r="H20" s="20" t="s">
        <v>24</v>
      </c>
      <c r="I20" s="19" t="s">
        <v>11</v>
      </c>
      <c r="J20" s="19" t="s">
        <v>25</v>
      </c>
      <c r="K20" s="21" t="s">
        <v>26</v>
      </c>
    </row>
    <row r="21" spans="1:11" ht="15.75" x14ac:dyDescent="0.25">
      <c r="A21" s="8">
        <v>1</v>
      </c>
      <c r="B21" s="8" t="s">
        <v>642</v>
      </c>
      <c r="C21" s="75">
        <v>1000</v>
      </c>
      <c r="D21" s="5">
        <v>46246</v>
      </c>
      <c r="E21" s="8"/>
      <c r="F21" s="8"/>
      <c r="G21" s="22">
        <v>7317</v>
      </c>
      <c r="H21" s="23"/>
      <c r="I21" s="24"/>
      <c r="J21" s="5">
        <v>46246</v>
      </c>
      <c r="K21" s="13" t="s">
        <v>703</v>
      </c>
    </row>
    <row r="22" spans="1:11" ht="15.75" x14ac:dyDescent="0.25">
      <c r="A22" s="8">
        <v>2</v>
      </c>
      <c r="B22" s="8" t="s">
        <v>89</v>
      </c>
      <c r="C22" s="75">
        <v>1000</v>
      </c>
      <c r="D22" s="5">
        <v>46246</v>
      </c>
      <c r="E22" s="8"/>
      <c r="F22" s="8"/>
      <c r="G22" s="22">
        <v>6843</v>
      </c>
      <c r="H22" s="23"/>
      <c r="I22" s="24"/>
      <c r="J22" s="5">
        <v>46246</v>
      </c>
      <c r="K22" s="13" t="s">
        <v>1033</v>
      </c>
    </row>
    <row r="23" spans="1:11" ht="15.75" x14ac:dyDescent="0.25">
      <c r="A23" s="8">
        <v>3</v>
      </c>
      <c r="B23" s="8" t="s">
        <v>548</v>
      </c>
      <c r="C23" s="75">
        <v>30000</v>
      </c>
      <c r="D23" s="5">
        <v>46246</v>
      </c>
      <c r="E23" s="8"/>
      <c r="F23" s="8"/>
      <c r="G23" s="22">
        <v>64</v>
      </c>
      <c r="H23" s="23"/>
      <c r="I23" s="24"/>
      <c r="J23" s="5">
        <v>46246</v>
      </c>
      <c r="K23" s="13" t="s">
        <v>1034</v>
      </c>
    </row>
    <row r="24" spans="1:11" ht="18.75" x14ac:dyDescent="0.25">
      <c r="A24" s="8"/>
      <c r="B24" s="25" t="s">
        <v>27</v>
      </c>
      <c r="C24" s="83">
        <f>SUM(C21:C23)</f>
        <v>32000</v>
      </c>
      <c r="D24" s="3"/>
      <c r="E24" s="8"/>
      <c r="F24" s="8"/>
      <c r="G24" s="8"/>
      <c r="H24" s="27">
        <v>0</v>
      </c>
      <c r="I24" s="24"/>
      <c r="J24" s="3"/>
      <c r="K24" s="28"/>
    </row>
    <row r="25" spans="1:11" x14ac:dyDescent="0.25">
      <c r="C25" s="29"/>
      <c r="H25" s="29"/>
    </row>
    <row r="26" spans="1:11" ht="16.5" x14ac:dyDescent="0.3">
      <c r="B26" s="30" t="s">
        <v>28</v>
      </c>
      <c r="C26" s="76">
        <f>SUM(C15,C16,C17)</f>
        <v>10825</v>
      </c>
      <c r="E26" s="32"/>
      <c r="F26" s="32"/>
      <c r="G26" s="116"/>
      <c r="H26" s="116"/>
    </row>
    <row r="27" spans="1:11" ht="16.5" x14ac:dyDescent="0.3">
      <c r="B27" s="33" t="s">
        <v>29</v>
      </c>
      <c r="C27" s="77">
        <f>SUM(C10,C11,C12,C13,C14)</f>
        <v>27905</v>
      </c>
      <c r="E27" s="35"/>
      <c r="F27" s="35"/>
      <c r="G27" s="36" t="s">
        <v>30</v>
      </c>
      <c r="H27" s="37"/>
    </row>
    <row r="28" spans="1:11" ht="24" x14ac:dyDescent="0.4">
      <c r="B28" s="38" t="s">
        <v>700</v>
      </c>
      <c r="C28" s="78">
        <f>SUM(C9)</f>
        <v>2700</v>
      </c>
      <c r="E28" s="40" t="s">
        <v>32</v>
      </c>
      <c r="F28" s="41"/>
      <c r="G28" s="42"/>
      <c r="H28" s="43"/>
      <c r="I28" s="42"/>
      <c r="J28" s="44"/>
    </row>
    <row r="29" spans="1:11" ht="18.75" x14ac:dyDescent="0.3">
      <c r="B29" s="45" t="s">
        <v>16</v>
      </c>
      <c r="C29" s="79">
        <f>SUM(C26:C28)</f>
        <v>41430</v>
      </c>
      <c r="G29" s="36"/>
      <c r="H29" s="37"/>
      <c r="I29" s="36"/>
      <c r="J29" s="36"/>
    </row>
  </sheetData>
  <mergeCells count="6">
    <mergeCell ref="G26:H26"/>
    <mergeCell ref="A1:K1"/>
    <mergeCell ref="A2:K2"/>
    <mergeCell ref="A3:K3"/>
    <mergeCell ref="A8:K8"/>
    <mergeCell ref="A19:K19"/>
  </mergeCells>
  <pageMargins left="0" right="0" top="0" bottom="0" header="0" footer="0"/>
  <pageSetup scale="95" orientation="landscape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E3BCD-8480-406D-81C0-443CA9CC82E0}">
  <sheetPr>
    <pageSetUpPr fitToPage="1"/>
  </sheetPr>
  <dimension ref="A1:K21"/>
  <sheetViews>
    <sheetView topLeftCell="A9" workbookViewId="0">
      <selection sqref="A1:K22"/>
    </sheetView>
  </sheetViews>
  <sheetFormatPr defaultRowHeight="15" x14ac:dyDescent="0.25"/>
  <cols>
    <col min="1" max="1" width="4.42578125" bestFit="1" customWidth="1"/>
    <col min="2" max="2" width="16.7109375" bestFit="1" customWidth="1"/>
    <col min="3" max="3" width="12.710937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6" customWidth="1"/>
  </cols>
  <sheetData>
    <row r="1" spans="1:11" ht="24.75" x14ac:dyDescent="0.25">
      <c r="A1" s="117" t="s">
        <v>829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1039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109"/>
      <c r="D5" s="5">
        <v>46247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46246</v>
      </c>
      <c r="K5" s="8" t="s">
        <v>33</v>
      </c>
    </row>
    <row r="6" spans="1:11" ht="18.75" x14ac:dyDescent="0.3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4" x14ac:dyDescent="0.4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75" x14ac:dyDescent="0.25">
      <c r="A9" s="3">
        <v>1</v>
      </c>
      <c r="B9" s="3" t="s">
        <v>1035</v>
      </c>
      <c r="C9" s="80">
        <v>1000</v>
      </c>
      <c r="D9" s="5">
        <v>46247</v>
      </c>
      <c r="E9" s="14">
        <v>0</v>
      </c>
      <c r="F9" s="13" t="s">
        <v>18</v>
      </c>
      <c r="G9" s="55">
        <v>2127</v>
      </c>
      <c r="H9" s="16">
        <v>0</v>
      </c>
      <c r="I9" s="3" t="s">
        <v>19</v>
      </c>
      <c r="J9" s="5">
        <f t="shared" ref="J9:J11" si="0">+D9+1</f>
        <v>46248</v>
      </c>
      <c r="K9" s="13" t="s">
        <v>1040</v>
      </c>
    </row>
    <row r="10" spans="1:11" ht="15.75" x14ac:dyDescent="0.25">
      <c r="A10" s="3">
        <v>2</v>
      </c>
      <c r="B10" s="3" t="s">
        <v>1036</v>
      </c>
      <c r="C10" s="80">
        <v>3500</v>
      </c>
      <c r="D10" s="5">
        <v>46247</v>
      </c>
      <c r="E10" s="14">
        <v>0</v>
      </c>
      <c r="F10" s="13" t="s">
        <v>18</v>
      </c>
      <c r="G10" s="55">
        <v>9192</v>
      </c>
      <c r="H10" s="16">
        <v>0</v>
      </c>
      <c r="I10" s="3" t="s">
        <v>15</v>
      </c>
      <c r="J10" s="5">
        <f t="shared" si="0"/>
        <v>46248</v>
      </c>
      <c r="K10" s="13" t="s">
        <v>1040</v>
      </c>
    </row>
    <row r="11" spans="1:11" ht="15.75" x14ac:dyDescent="0.25">
      <c r="A11" s="3">
        <v>3</v>
      </c>
      <c r="B11" s="3" t="s">
        <v>722</v>
      </c>
      <c r="C11" s="80">
        <v>1515</v>
      </c>
      <c r="D11" s="5">
        <v>46247</v>
      </c>
      <c r="E11" s="14">
        <v>0</v>
      </c>
      <c r="F11" s="13" t="s">
        <v>18</v>
      </c>
      <c r="G11" s="55">
        <v>2640</v>
      </c>
      <c r="H11" s="16">
        <v>0</v>
      </c>
      <c r="I11" s="3" t="s">
        <v>15</v>
      </c>
      <c r="J11" s="5">
        <f t="shared" si="0"/>
        <v>46248</v>
      </c>
      <c r="K11" s="13" t="s">
        <v>204</v>
      </c>
    </row>
    <row r="12" spans="1:11" ht="18.75" x14ac:dyDescent="0.3">
      <c r="A12" s="3"/>
      <c r="B12" s="17" t="s">
        <v>16</v>
      </c>
      <c r="C12" s="82">
        <f>SUM(C9:C11)</f>
        <v>6015</v>
      </c>
      <c r="D12" s="3"/>
      <c r="E12" s="3"/>
      <c r="F12" s="13"/>
      <c r="G12" s="13"/>
      <c r="H12" s="11"/>
      <c r="I12" s="3"/>
      <c r="J12" s="3"/>
      <c r="K12" s="3"/>
    </row>
    <row r="13" spans="1:11" ht="24.75" x14ac:dyDescent="0.5">
      <c r="A13" s="125" t="s">
        <v>20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7"/>
    </row>
    <row r="14" spans="1:11" ht="18.75" x14ac:dyDescent="0.3">
      <c r="A14" s="19" t="s">
        <v>3</v>
      </c>
      <c r="B14" s="19" t="s">
        <v>21</v>
      </c>
      <c r="C14" s="50" t="s">
        <v>5</v>
      </c>
      <c r="D14" s="1" t="s">
        <v>22</v>
      </c>
      <c r="E14" s="19" t="s">
        <v>7</v>
      </c>
      <c r="F14" s="19" t="s">
        <v>8</v>
      </c>
      <c r="G14" s="19" t="s">
        <v>23</v>
      </c>
      <c r="H14" s="20" t="s">
        <v>24</v>
      </c>
      <c r="I14" s="19" t="s">
        <v>11</v>
      </c>
      <c r="J14" s="19" t="s">
        <v>25</v>
      </c>
      <c r="K14" s="21" t="s">
        <v>26</v>
      </c>
    </row>
    <row r="15" spans="1:11" ht="15.75" x14ac:dyDescent="0.25">
      <c r="A15" s="8">
        <v>1</v>
      </c>
      <c r="B15" s="8" t="s">
        <v>1037</v>
      </c>
      <c r="C15" s="75">
        <v>900.9</v>
      </c>
      <c r="D15" s="5">
        <v>46247</v>
      </c>
      <c r="E15" s="8"/>
      <c r="F15" s="8"/>
      <c r="G15" s="22">
        <v>9496</v>
      </c>
      <c r="H15" s="23"/>
      <c r="I15" s="24"/>
      <c r="J15" s="5">
        <v>46247</v>
      </c>
      <c r="K15" s="13" t="s">
        <v>1038</v>
      </c>
    </row>
    <row r="16" spans="1:11" ht="18.75" x14ac:dyDescent="0.25">
      <c r="A16" s="8"/>
      <c r="B16" s="25" t="s">
        <v>27</v>
      </c>
      <c r="C16" s="83">
        <f>SUM(C15:C15)</f>
        <v>900.9</v>
      </c>
      <c r="D16" s="3"/>
      <c r="E16" s="8"/>
      <c r="F16" s="8"/>
      <c r="G16" s="8"/>
      <c r="H16" s="27">
        <v>0</v>
      </c>
      <c r="I16" s="24"/>
      <c r="J16" s="3"/>
      <c r="K16" s="28"/>
    </row>
    <row r="17" spans="2:10" x14ac:dyDescent="0.25">
      <c r="C17" s="29"/>
      <c r="H17" s="29"/>
    </row>
    <row r="18" spans="2:10" ht="16.5" x14ac:dyDescent="0.3">
      <c r="B18" s="30" t="s">
        <v>28</v>
      </c>
      <c r="C18" s="76">
        <f>SUM(C11)</f>
        <v>1515</v>
      </c>
      <c r="E18" s="32"/>
      <c r="F18" s="32"/>
      <c r="G18" s="116"/>
      <c r="H18" s="116"/>
    </row>
    <row r="19" spans="2:10" ht="16.5" x14ac:dyDescent="0.3">
      <c r="B19" s="33" t="s">
        <v>29</v>
      </c>
      <c r="C19" s="77"/>
      <c r="E19" s="35"/>
      <c r="F19" s="35"/>
      <c r="G19" s="36" t="s">
        <v>30</v>
      </c>
      <c r="H19" s="37"/>
    </row>
    <row r="20" spans="2:10" ht="24" x14ac:dyDescent="0.4">
      <c r="B20" s="38" t="s">
        <v>1041</v>
      </c>
      <c r="C20" s="78">
        <f>SUM(C9,C10)</f>
        <v>4500</v>
      </c>
      <c r="E20" s="40" t="s">
        <v>32</v>
      </c>
      <c r="F20" s="41"/>
      <c r="G20" s="42"/>
      <c r="H20" s="43"/>
      <c r="I20" s="42"/>
      <c r="J20" s="44"/>
    </row>
    <row r="21" spans="2:10" ht="18.75" x14ac:dyDescent="0.3">
      <c r="B21" s="45" t="s">
        <v>16</v>
      </c>
      <c r="C21" s="79">
        <f>SUM(C18:C20)</f>
        <v>6015</v>
      </c>
      <c r="G21" s="36"/>
      <c r="H21" s="37"/>
      <c r="I21" s="36"/>
      <c r="J21" s="36"/>
    </row>
  </sheetData>
  <mergeCells count="6">
    <mergeCell ref="G18:H18"/>
    <mergeCell ref="A1:K1"/>
    <mergeCell ref="A2:K2"/>
    <mergeCell ref="A3:K3"/>
    <mergeCell ref="A8:K8"/>
    <mergeCell ref="A13:K13"/>
  </mergeCells>
  <pageMargins left="0" right="0" top="0" bottom="0" header="0" footer="0"/>
  <pageSetup scale="95" orientation="landscape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73BA2-4491-4C67-8A3A-F33EF7D88412}">
  <sheetPr>
    <pageSetUpPr fitToPage="1"/>
  </sheetPr>
  <dimension ref="A1:K30"/>
  <sheetViews>
    <sheetView topLeftCell="A13" workbookViewId="0">
      <selection sqref="A1:K30"/>
    </sheetView>
  </sheetViews>
  <sheetFormatPr defaultRowHeight="15" x14ac:dyDescent="0.25"/>
  <cols>
    <col min="1" max="1" width="4.42578125" bestFit="1" customWidth="1"/>
    <col min="2" max="2" width="16.7109375" bestFit="1" customWidth="1"/>
    <col min="3" max="3" width="12.710937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4.42578125" customWidth="1"/>
  </cols>
  <sheetData>
    <row r="1" spans="1:11" ht="24.75" x14ac:dyDescent="0.25">
      <c r="A1" s="117" t="s">
        <v>829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1042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46217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46216</v>
      </c>
      <c r="K5" s="8" t="s">
        <v>33</v>
      </c>
    </row>
    <row r="6" spans="1:11" ht="18.75" x14ac:dyDescent="0.3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4" x14ac:dyDescent="0.4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75" x14ac:dyDescent="0.25">
      <c r="A9" s="3">
        <v>1</v>
      </c>
      <c r="B9" s="3" t="s">
        <v>1043</v>
      </c>
      <c r="C9" s="80">
        <v>3125</v>
      </c>
      <c r="D9" s="5">
        <v>46248</v>
      </c>
      <c r="E9" s="14">
        <v>0</v>
      </c>
      <c r="F9" s="13" t="s">
        <v>18</v>
      </c>
      <c r="G9" s="55">
        <v>5762</v>
      </c>
      <c r="H9" s="16">
        <v>0</v>
      </c>
      <c r="I9" s="3" t="s">
        <v>19</v>
      </c>
      <c r="J9" s="5">
        <f t="shared" ref="J9:J17" si="0">+D9+1</f>
        <v>46249</v>
      </c>
      <c r="K9" s="13" t="s">
        <v>115</v>
      </c>
    </row>
    <row r="10" spans="1:11" ht="15.75" x14ac:dyDescent="0.25">
      <c r="A10" s="3">
        <v>2</v>
      </c>
      <c r="B10" s="3" t="s">
        <v>1044</v>
      </c>
      <c r="C10" s="80">
        <v>4920</v>
      </c>
      <c r="D10" s="5">
        <f t="shared" ref="D10:D17" si="1">+D9</f>
        <v>46248</v>
      </c>
      <c r="E10" s="14">
        <v>0</v>
      </c>
      <c r="F10" s="13" t="s">
        <v>18</v>
      </c>
      <c r="G10" s="55">
        <v>7707</v>
      </c>
      <c r="H10" s="16">
        <v>0</v>
      </c>
      <c r="I10" s="3" t="s">
        <v>15</v>
      </c>
      <c r="J10" s="5">
        <f t="shared" si="0"/>
        <v>46249</v>
      </c>
      <c r="K10" s="13" t="s">
        <v>115</v>
      </c>
    </row>
    <row r="11" spans="1:11" ht="15.75" x14ac:dyDescent="0.25">
      <c r="A11" s="3">
        <v>3</v>
      </c>
      <c r="B11" s="3" t="s">
        <v>960</v>
      </c>
      <c r="C11" s="80">
        <v>3350</v>
      </c>
      <c r="D11" s="5">
        <f t="shared" si="1"/>
        <v>46248</v>
      </c>
      <c r="E11" s="14">
        <v>0</v>
      </c>
      <c r="F11" s="13" t="s">
        <v>18</v>
      </c>
      <c r="G11" s="55">
        <v>1572</v>
      </c>
      <c r="H11" s="16">
        <v>0</v>
      </c>
      <c r="I11" s="3" t="s">
        <v>15</v>
      </c>
      <c r="J11" s="5">
        <f t="shared" si="0"/>
        <v>46249</v>
      </c>
      <c r="K11" s="13" t="s">
        <v>115</v>
      </c>
    </row>
    <row r="12" spans="1:11" ht="15.75" x14ac:dyDescent="0.25">
      <c r="A12" s="3">
        <v>4</v>
      </c>
      <c r="B12" s="3" t="s">
        <v>960</v>
      </c>
      <c r="C12" s="80">
        <v>520</v>
      </c>
      <c r="D12" s="5">
        <f t="shared" si="1"/>
        <v>46248</v>
      </c>
      <c r="E12" s="14">
        <v>0</v>
      </c>
      <c r="F12" s="13" t="s">
        <v>18</v>
      </c>
      <c r="G12" s="55">
        <v>9842</v>
      </c>
      <c r="H12" s="16">
        <v>0</v>
      </c>
      <c r="I12" s="3" t="s">
        <v>15</v>
      </c>
      <c r="J12" s="5">
        <f t="shared" si="0"/>
        <v>46249</v>
      </c>
      <c r="K12" s="13" t="s">
        <v>204</v>
      </c>
    </row>
    <row r="13" spans="1:11" ht="15.75" x14ac:dyDescent="0.25">
      <c r="A13" s="3">
        <v>5</v>
      </c>
      <c r="B13" s="3" t="s">
        <v>1045</v>
      </c>
      <c r="C13" s="80">
        <v>1795</v>
      </c>
      <c r="D13" s="5">
        <f t="shared" si="1"/>
        <v>46248</v>
      </c>
      <c r="E13" s="14">
        <v>0</v>
      </c>
      <c r="F13" s="13" t="s">
        <v>18</v>
      </c>
      <c r="G13" s="55">
        <v>2456</v>
      </c>
      <c r="H13" s="16">
        <v>0</v>
      </c>
      <c r="I13" s="3" t="s">
        <v>15</v>
      </c>
      <c r="J13" s="5">
        <f t="shared" si="0"/>
        <v>46249</v>
      </c>
      <c r="K13" s="13" t="s">
        <v>115</v>
      </c>
    </row>
    <row r="14" spans="1:11" ht="15.75" x14ac:dyDescent="0.25">
      <c r="A14" s="3">
        <v>6</v>
      </c>
      <c r="B14" s="3" t="s">
        <v>1046</v>
      </c>
      <c r="C14" s="80">
        <v>25223</v>
      </c>
      <c r="D14" s="5">
        <f t="shared" si="1"/>
        <v>46248</v>
      </c>
      <c r="E14" s="14">
        <v>0</v>
      </c>
      <c r="F14" s="13" t="s">
        <v>18</v>
      </c>
      <c r="G14" s="55">
        <v>1742</v>
      </c>
      <c r="H14" s="16">
        <v>0</v>
      </c>
      <c r="I14" s="3" t="s">
        <v>15</v>
      </c>
      <c r="J14" s="5">
        <f t="shared" si="0"/>
        <v>46249</v>
      </c>
      <c r="K14" s="13" t="s">
        <v>102</v>
      </c>
    </row>
    <row r="15" spans="1:11" ht="15.75" x14ac:dyDescent="0.25">
      <c r="A15" s="3">
        <v>7</v>
      </c>
      <c r="B15" s="3" t="s">
        <v>1047</v>
      </c>
      <c r="C15" s="80">
        <v>2000</v>
      </c>
      <c r="D15" s="5">
        <f t="shared" si="1"/>
        <v>46248</v>
      </c>
      <c r="E15" s="14">
        <v>0</v>
      </c>
      <c r="F15" s="13" t="s">
        <v>18</v>
      </c>
      <c r="G15" s="55">
        <v>806</v>
      </c>
      <c r="H15" s="16">
        <v>0</v>
      </c>
      <c r="I15" s="3" t="s">
        <v>15</v>
      </c>
      <c r="J15" s="5">
        <f t="shared" si="0"/>
        <v>46249</v>
      </c>
      <c r="K15" s="13" t="s">
        <v>204</v>
      </c>
    </row>
    <row r="16" spans="1:11" ht="15.75" x14ac:dyDescent="0.25">
      <c r="A16" s="3">
        <v>8</v>
      </c>
      <c r="B16" s="3" t="s">
        <v>1048</v>
      </c>
      <c r="C16" s="80">
        <v>9000</v>
      </c>
      <c r="D16" s="5">
        <f t="shared" si="1"/>
        <v>46248</v>
      </c>
      <c r="E16" s="14">
        <v>0</v>
      </c>
      <c r="F16" s="13" t="s">
        <v>18</v>
      </c>
      <c r="G16" s="55">
        <v>6678</v>
      </c>
      <c r="H16" s="16">
        <v>0</v>
      </c>
      <c r="I16" s="3" t="s">
        <v>15</v>
      </c>
      <c r="J16" s="5">
        <f t="shared" si="0"/>
        <v>46249</v>
      </c>
      <c r="K16" s="13" t="s">
        <v>115</v>
      </c>
    </row>
    <row r="17" spans="1:11" ht="15.75" x14ac:dyDescent="0.25">
      <c r="A17" s="3">
        <v>9</v>
      </c>
      <c r="B17" s="3" t="s">
        <v>1048</v>
      </c>
      <c r="C17" s="80">
        <v>2000</v>
      </c>
      <c r="D17" s="5">
        <f t="shared" si="1"/>
        <v>46248</v>
      </c>
      <c r="E17" s="14">
        <v>0</v>
      </c>
      <c r="F17" s="13" t="s">
        <v>18</v>
      </c>
      <c r="G17" s="55">
        <v>9743</v>
      </c>
      <c r="H17" s="16">
        <v>0</v>
      </c>
      <c r="I17" s="3" t="s">
        <v>15</v>
      </c>
      <c r="J17" s="5">
        <f t="shared" si="0"/>
        <v>46249</v>
      </c>
      <c r="K17" s="13" t="s">
        <v>115</v>
      </c>
    </row>
    <row r="18" spans="1:11" ht="18.75" x14ac:dyDescent="0.3">
      <c r="A18" s="3"/>
      <c r="B18" s="17" t="s">
        <v>16</v>
      </c>
      <c r="C18" s="82">
        <f>SUM(C9:C17)</f>
        <v>51933</v>
      </c>
      <c r="D18" s="3"/>
      <c r="E18" s="3"/>
      <c r="F18" s="13"/>
      <c r="G18" s="13"/>
      <c r="H18" s="11"/>
      <c r="I18" s="3"/>
      <c r="J18" s="3"/>
      <c r="K18" s="3"/>
    </row>
    <row r="19" spans="1:11" ht="24.75" x14ac:dyDescent="0.5">
      <c r="A19" s="125" t="s">
        <v>20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7"/>
    </row>
    <row r="20" spans="1:11" ht="18.75" x14ac:dyDescent="0.3">
      <c r="A20" s="19" t="s">
        <v>3</v>
      </c>
      <c r="B20" s="19" t="s">
        <v>21</v>
      </c>
      <c r="C20" s="50" t="s">
        <v>5</v>
      </c>
      <c r="D20" s="1" t="s">
        <v>22</v>
      </c>
      <c r="E20" s="19" t="s">
        <v>7</v>
      </c>
      <c r="F20" s="19" t="s">
        <v>8</v>
      </c>
      <c r="G20" s="19" t="s">
        <v>23</v>
      </c>
      <c r="H20" s="20" t="s">
        <v>24</v>
      </c>
      <c r="I20" s="19" t="s">
        <v>11</v>
      </c>
      <c r="J20" s="19" t="s">
        <v>25</v>
      </c>
      <c r="K20" s="21" t="s">
        <v>26</v>
      </c>
    </row>
    <row r="21" spans="1:11" ht="15.75" x14ac:dyDescent="0.25">
      <c r="A21" s="8">
        <v>1</v>
      </c>
      <c r="B21" s="8" t="s">
        <v>774</v>
      </c>
      <c r="C21" s="75">
        <v>5000</v>
      </c>
      <c r="D21" s="5">
        <v>46248</v>
      </c>
      <c r="E21" s="8"/>
      <c r="F21" s="8"/>
      <c r="G21" s="22">
        <v>7715</v>
      </c>
      <c r="H21" s="23"/>
      <c r="I21" s="24"/>
      <c r="J21" s="5">
        <v>46248</v>
      </c>
      <c r="K21" s="13" t="s">
        <v>1050</v>
      </c>
    </row>
    <row r="22" spans="1:11" ht="15.75" x14ac:dyDescent="0.25">
      <c r="A22" s="8">
        <v>2</v>
      </c>
      <c r="B22" s="8" t="s">
        <v>89</v>
      </c>
      <c r="C22" s="75">
        <v>1000</v>
      </c>
      <c r="D22" s="5">
        <v>46248</v>
      </c>
      <c r="E22" s="8"/>
      <c r="F22" s="8"/>
      <c r="G22" s="22">
        <v>5171</v>
      </c>
      <c r="H22" s="23"/>
      <c r="I22" s="24"/>
      <c r="J22" s="5">
        <v>46248</v>
      </c>
      <c r="K22" s="13" t="s">
        <v>1051</v>
      </c>
    </row>
    <row r="23" spans="1:11" ht="15.75" x14ac:dyDescent="0.25">
      <c r="A23" s="8">
        <v>3</v>
      </c>
      <c r="B23" s="8" t="s">
        <v>1049</v>
      </c>
      <c r="C23" s="75">
        <v>30000</v>
      </c>
      <c r="D23" s="5">
        <v>46248</v>
      </c>
      <c r="E23" s="8"/>
      <c r="F23" s="8"/>
      <c r="G23" s="22">
        <v>8301</v>
      </c>
      <c r="H23" s="23"/>
      <c r="I23" s="24"/>
      <c r="J23" s="5">
        <v>46248</v>
      </c>
      <c r="K23" s="13" t="s">
        <v>187</v>
      </c>
    </row>
    <row r="24" spans="1:11" ht="15.75" x14ac:dyDescent="0.25">
      <c r="A24" s="8">
        <v>4</v>
      </c>
      <c r="B24" s="8" t="s">
        <v>1048</v>
      </c>
      <c r="C24" s="75">
        <v>920</v>
      </c>
      <c r="D24" s="5">
        <v>46248</v>
      </c>
      <c r="E24" s="8"/>
      <c r="F24" s="8"/>
      <c r="G24" s="22">
        <v>5110</v>
      </c>
      <c r="H24" s="23"/>
      <c r="I24" s="24"/>
      <c r="J24" s="5">
        <v>46248</v>
      </c>
      <c r="K24" s="13" t="s">
        <v>1052</v>
      </c>
    </row>
    <row r="25" spans="1:11" ht="18.75" x14ac:dyDescent="0.25">
      <c r="A25" s="8"/>
      <c r="B25" s="25" t="s">
        <v>27</v>
      </c>
      <c r="C25" s="83">
        <f>SUM(C21:C24)</f>
        <v>36920</v>
      </c>
      <c r="D25" s="3"/>
      <c r="E25" s="8"/>
      <c r="F25" s="8"/>
      <c r="G25" s="8"/>
      <c r="H25" s="27">
        <v>0</v>
      </c>
      <c r="I25" s="24"/>
      <c r="J25" s="3"/>
      <c r="K25" s="28"/>
    </row>
    <row r="26" spans="1:11" x14ac:dyDescent="0.25">
      <c r="C26" s="29"/>
      <c r="H26" s="29"/>
    </row>
    <row r="27" spans="1:11" ht="16.5" x14ac:dyDescent="0.3">
      <c r="B27" s="30" t="s">
        <v>28</v>
      </c>
      <c r="C27" s="76">
        <f>SUM(C12,C15,C14)</f>
        <v>27743</v>
      </c>
      <c r="E27" s="32"/>
      <c r="F27" s="32"/>
      <c r="G27" s="116"/>
      <c r="H27" s="116"/>
    </row>
    <row r="28" spans="1:11" ht="16.5" x14ac:dyDescent="0.3">
      <c r="B28" s="33" t="s">
        <v>29</v>
      </c>
      <c r="C28" s="77">
        <f>SUM(C9,C10,C11,C13,C17,C16)</f>
        <v>24190</v>
      </c>
      <c r="E28" s="35"/>
      <c r="F28" s="35"/>
      <c r="G28" s="36" t="s">
        <v>30</v>
      </c>
      <c r="H28" s="37"/>
    </row>
    <row r="29" spans="1:11" ht="24" x14ac:dyDescent="0.4">
      <c r="B29" s="38" t="s">
        <v>31</v>
      </c>
      <c r="C29" s="78"/>
      <c r="E29" s="40" t="s">
        <v>32</v>
      </c>
      <c r="F29" s="41"/>
      <c r="G29" s="42"/>
      <c r="H29" s="43"/>
      <c r="I29" s="42"/>
      <c r="J29" s="44"/>
    </row>
    <row r="30" spans="1:11" ht="18.75" x14ac:dyDescent="0.3">
      <c r="B30" s="45" t="s">
        <v>16</v>
      </c>
      <c r="C30" s="79">
        <f>SUM(C27:C29)</f>
        <v>51933</v>
      </c>
      <c r="G30" s="36"/>
      <c r="H30" s="37"/>
      <c r="I30" s="36"/>
      <c r="J30" s="36"/>
    </row>
  </sheetData>
  <mergeCells count="6">
    <mergeCell ref="G27:H27"/>
    <mergeCell ref="A1:K1"/>
    <mergeCell ref="A2:K2"/>
    <mergeCell ref="A3:K3"/>
    <mergeCell ref="A8:K8"/>
    <mergeCell ref="A19:K19"/>
  </mergeCells>
  <pageMargins left="0" right="0" top="0" bottom="0" header="0" footer="0"/>
  <pageSetup scale="96" orientation="landscape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1ABA3-D619-4CD5-979E-74DBD16CC063}">
  <sheetPr>
    <pageSetUpPr fitToPage="1"/>
  </sheetPr>
  <dimension ref="A1:K36"/>
  <sheetViews>
    <sheetView topLeftCell="A23" workbookViewId="0">
      <selection sqref="A1:K36"/>
    </sheetView>
  </sheetViews>
  <sheetFormatPr defaultRowHeight="15" x14ac:dyDescent="0.25"/>
  <cols>
    <col min="1" max="1" width="4.42578125" bestFit="1" customWidth="1"/>
    <col min="2" max="2" width="26.28515625" bestFit="1" customWidth="1"/>
    <col min="3" max="3" width="14.4257812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7.28515625" customWidth="1"/>
  </cols>
  <sheetData>
    <row r="1" spans="1:11" ht="24.75" x14ac:dyDescent="0.25">
      <c r="A1" s="117" t="s">
        <v>829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1053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45</v>
      </c>
      <c r="C5" s="80">
        <v>25300</v>
      </c>
      <c r="D5" s="5">
        <v>46249</v>
      </c>
      <c r="E5" s="6">
        <v>0</v>
      </c>
      <c r="F5" s="3" t="s">
        <v>14</v>
      </c>
      <c r="G5" s="49">
        <v>8232</v>
      </c>
      <c r="H5" s="7">
        <v>0</v>
      </c>
      <c r="I5" s="3" t="s">
        <v>15</v>
      </c>
      <c r="J5" s="5">
        <f>+D5-1</f>
        <v>46248</v>
      </c>
      <c r="K5" s="8" t="s">
        <v>261</v>
      </c>
    </row>
    <row r="6" spans="1:11" ht="15.75" x14ac:dyDescent="0.25">
      <c r="A6" s="3"/>
      <c r="B6" s="3" t="s">
        <v>45</v>
      </c>
      <c r="C6" s="80">
        <v>12000</v>
      </c>
      <c r="D6" s="5">
        <v>46249</v>
      </c>
      <c r="E6" s="6">
        <v>0</v>
      </c>
      <c r="F6" s="3" t="s">
        <v>14</v>
      </c>
      <c r="G6" s="49">
        <v>8240</v>
      </c>
      <c r="H6" s="7">
        <v>0</v>
      </c>
      <c r="I6" s="3" t="s">
        <v>15</v>
      </c>
      <c r="J6" s="5">
        <f>+D6-1</f>
        <v>46248</v>
      </c>
      <c r="K6" s="8" t="s">
        <v>261</v>
      </c>
    </row>
    <row r="7" spans="1:11" ht="15.75" x14ac:dyDescent="0.25">
      <c r="A7" s="3"/>
      <c r="B7" s="3" t="s">
        <v>1068</v>
      </c>
      <c r="C7" s="80">
        <v>99</v>
      </c>
      <c r="D7" s="5">
        <v>46249</v>
      </c>
      <c r="E7" s="6">
        <v>0</v>
      </c>
      <c r="F7" s="3" t="s">
        <v>14</v>
      </c>
      <c r="G7" s="49">
        <v>0</v>
      </c>
      <c r="H7" s="7">
        <v>0</v>
      </c>
      <c r="I7" s="3" t="s">
        <v>15</v>
      </c>
      <c r="J7" s="5">
        <f>+D7-1</f>
        <v>46248</v>
      </c>
      <c r="K7" s="8" t="s">
        <v>1069</v>
      </c>
    </row>
    <row r="8" spans="1:11" ht="18.75" x14ac:dyDescent="0.3">
      <c r="A8" s="9"/>
      <c r="B8" s="10" t="s">
        <v>16</v>
      </c>
      <c r="C8" s="81">
        <f>SUM(C5:C5)</f>
        <v>25300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4" x14ac:dyDescent="0.4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75" x14ac:dyDescent="0.25">
      <c r="A11" s="3">
        <v>1</v>
      </c>
      <c r="B11" s="3" t="s">
        <v>196</v>
      </c>
      <c r="C11" s="80">
        <v>34</v>
      </c>
      <c r="D11" s="5">
        <v>46249</v>
      </c>
      <c r="E11" s="14">
        <v>0</v>
      </c>
      <c r="F11" s="13" t="s">
        <v>18</v>
      </c>
      <c r="G11" s="55">
        <v>2989</v>
      </c>
      <c r="H11" s="16">
        <v>0</v>
      </c>
      <c r="I11" s="3" t="s">
        <v>19</v>
      </c>
      <c r="J11" s="5">
        <f t="shared" ref="J11:J22" si="0">+D11+1</f>
        <v>46250</v>
      </c>
      <c r="K11" s="13" t="s">
        <v>204</v>
      </c>
    </row>
    <row r="12" spans="1:11" ht="15.75" x14ac:dyDescent="0.25">
      <c r="A12" s="3">
        <v>2</v>
      </c>
      <c r="B12" s="3" t="s">
        <v>1054</v>
      </c>
      <c r="C12" s="80">
        <v>2140</v>
      </c>
      <c r="D12" s="5">
        <f t="shared" ref="D12:D22" si="1">+D11</f>
        <v>46249</v>
      </c>
      <c r="E12" s="14">
        <v>0</v>
      </c>
      <c r="F12" s="13" t="s">
        <v>18</v>
      </c>
      <c r="G12" s="55">
        <v>4357</v>
      </c>
      <c r="H12" s="16">
        <v>0</v>
      </c>
      <c r="I12" s="3" t="s">
        <v>15</v>
      </c>
      <c r="J12" s="5">
        <f t="shared" si="0"/>
        <v>46250</v>
      </c>
      <c r="K12" s="13" t="s">
        <v>115</v>
      </c>
    </row>
    <row r="13" spans="1:11" ht="15.75" x14ac:dyDescent="0.25">
      <c r="A13" s="3">
        <v>3</v>
      </c>
      <c r="B13" s="3" t="s">
        <v>1055</v>
      </c>
      <c r="C13" s="80">
        <v>2650</v>
      </c>
      <c r="D13" s="5">
        <f t="shared" si="1"/>
        <v>46249</v>
      </c>
      <c r="E13" s="14">
        <v>0</v>
      </c>
      <c r="F13" s="13" t="s">
        <v>18</v>
      </c>
      <c r="G13" s="55">
        <v>9051</v>
      </c>
      <c r="H13" s="16">
        <v>0</v>
      </c>
      <c r="I13" s="3" t="s">
        <v>15</v>
      </c>
      <c r="J13" s="5">
        <f t="shared" si="0"/>
        <v>46250</v>
      </c>
      <c r="K13" s="13" t="s">
        <v>204</v>
      </c>
    </row>
    <row r="14" spans="1:11" ht="15.75" x14ac:dyDescent="0.25">
      <c r="A14" s="3">
        <v>4</v>
      </c>
      <c r="B14" s="3" t="s">
        <v>1056</v>
      </c>
      <c r="C14" s="80">
        <v>1145</v>
      </c>
      <c r="D14" s="5">
        <f t="shared" si="1"/>
        <v>46249</v>
      </c>
      <c r="E14" s="14">
        <v>0</v>
      </c>
      <c r="F14" s="13" t="s">
        <v>18</v>
      </c>
      <c r="G14" s="55">
        <v>1647</v>
      </c>
      <c r="H14" s="16">
        <v>0</v>
      </c>
      <c r="I14" s="3" t="s">
        <v>15</v>
      </c>
      <c r="J14" s="5">
        <f t="shared" si="0"/>
        <v>46250</v>
      </c>
      <c r="K14" s="13" t="s">
        <v>115</v>
      </c>
    </row>
    <row r="15" spans="1:11" ht="15.75" x14ac:dyDescent="0.25">
      <c r="A15" s="3">
        <v>5</v>
      </c>
      <c r="B15" s="3" t="s">
        <v>603</v>
      </c>
      <c r="C15" s="80">
        <v>2200</v>
      </c>
      <c r="D15" s="5">
        <f t="shared" si="1"/>
        <v>46249</v>
      </c>
      <c r="E15" s="14">
        <v>0</v>
      </c>
      <c r="F15" s="13" t="s">
        <v>18</v>
      </c>
      <c r="G15" s="55">
        <v>7383</v>
      </c>
      <c r="H15" s="16">
        <v>0</v>
      </c>
      <c r="I15" s="3" t="s">
        <v>15</v>
      </c>
      <c r="J15" s="5">
        <f t="shared" si="0"/>
        <v>46250</v>
      </c>
      <c r="K15" s="13" t="s">
        <v>1060</v>
      </c>
    </row>
    <row r="16" spans="1:11" ht="15.75" x14ac:dyDescent="0.25">
      <c r="A16" s="3">
        <v>6</v>
      </c>
      <c r="B16" s="3" t="s">
        <v>1057</v>
      </c>
      <c r="C16" s="80">
        <v>1600</v>
      </c>
      <c r="D16" s="5">
        <f t="shared" si="1"/>
        <v>46249</v>
      </c>
      <c r="E16" s="14">
        <v>0</v>
      </c>
      <c r="F16" s="13" t="s">
        <v>18</v>
      </c>
      <c r="G16" s="55">
        <v>2309</v>
      </c>
      <c r="H16" s="16">
        <v>0</v>
      </c>
      <c r="I16" s="3" t="s">
        <v>15</v>
      </c>
      <c r="J16" s="5">
        <f t="shared" si="0"/>
        <v>46250</v>
      </c>
      <c r="K16" s="13" t="s">
        <v>1061</v>
      </c>
    </row>
    <row r="17" spans="1:11" ht="15.75" x14ac:dyDescent="0.25">
      <c r="A17" s="3">
        <v>7</v>
      </c>
      <c r="B17" s="3" t="s">
        <v>1058</v>
      </c>
      <c r="C17" s="80">
        <v>3980</v>
      </c>
      <c r="D17" s="5">
        <f t="shared" si="1"/>
        <v>46249</v>
      </c>
      <c r="E17" s="14">
        <v>0</v>
      </c>
      <c r="F17" s="13" t="s">
        <v>18</v>
      </c>
      <c r="G17" s="55">
        <v>1765</v>
      </c>
      <c r="H17" s="16">
        <v>0</v>
      </c>
      <c r="I17" s="3" t="s">
        <v>15</v>
      </c>
      <c r="J17" s="5">
        <f t="shared" si="0"/>
        <v>46250</v>
      </c>
      <c r="K17" s="13" t="s">
        <v>115</v>
      </c>
    </row>
    <row r="18" spans="1:11" ht="15.75" x14ac:dyDescent="0.25">
      <c r="A18" s="3">
        <v>8</v>
      </c>
      <c r="B18" s="3" t="s">
        <v>525</v>
      </c>
      <c r="C18" s="80">
        <v>29700</v>
      </c>
      <c r="D18" s="5">
        <f t="shared" si="1"/>
        <v>46249</v>
      </c>
      <c r="E18" s="14">
        <v>0</v>
      </c>
      <c r="F18" s="13" t="s">
        <v>18</v>
      </c>
      <c r="G18" s="55">
        <v>2703</v>
      </c>
      <c r="H18" s="16">
        <v>0</v>
      </c>
      <c r="I18" s="3" t="s">
        <v>15</v>
      </c>
      <c r="J18" s="5">
        <f t="shared" si="0"/>
        <v>46250</v>
      </c>
      <c r="K18" s="13" t="s">
        <v>1062</v>
      </c>
    </row>
    <row r="19" spans="1:11" ht="15.75" x14ac:dyDescent="0.25">
      <c r="A19" s="3">
        <v>9</v>
      </c>
      <c r="B19" s="3" t="s">
        <v>1059</v>
      </c>
      <c r="C19" s="80">
        <v>7000</v>
      </c>
      <c r="D19" s="5">
        <f t="shared" si="1"/>
        <v>46249</v>
      </c>
      <c r="E19" s="14">
        <v>0</v>
      </c>
      <c r="F19" s="13" t="s">
        <v>18</v>
      </c>
      <c r="G19" s="55">
        <v>2706</v>
      </c>
      <c r="H19" s="16">
        <v>0</v>
      </c>
      <c r="I19" s="3" t="s">
        <v>15</v>
      </c>
      <c r="J19" s="5">
        <f t="shared" si="0"/>
        <v>46250</v>
      </c>
      <c r="K19" s="13" t="s">
        <v>1063</v>
      </c>
    </row>
    <row r="20" spans="1:11" ht="15.75" x14ac:dyDescent="0.25">
      <c r="A20" s="3">
        <v>10</v>
      </c>
      <c r="B20" s="3" t="s">
        <v>1059</v>
      </c>
      <c r="C20" s="80">
        <v>25000</v>
      </c>
      <c r="D20" s="5">
        <f t="shared" si="1"/>
        <v>46249</v>
      </c>
      <c r="E20" s="14">
        <v>0</v>
      </c>
      <c r="F20" s="13" t="s">
        <v>18</v>
      </c>
      <c r="G20" s="55">
        <v>6493</v>
      </c>
      <c r="H20" s="16">
        <v>0</v>
      </c>
      <c r="I20" s="3" t="s">
        <v>15</v>
      </c>
      <c r="J20" s="5">
        <f t="shared" si="0"/>
        <v>46250</v>
      </c>
      <c r="K20" s="13" t="s">
        <v>1063</v>
      </c>
    </row>
    <row r="21" spans="1:11" ht="15.75" x14ac:dyDescent="0.25">
      <c r="A21" s="3">
        <v>11</v>
      </c>
      <c r="B21" s="3" t="s">
        <v>1059</v>
      </c>
      <c r="C21" s="80">
        <v>25000</v>
      </c>
      <c r="D21" s="5">
        <f t="shared" si="1"/>
        <v>46249</v>
      </c>
      <c r="E21" s="14">
        <v>0</v>
      </c>
      <c r="F21" s="13" t="s">
        <v>18</v>
      </c>
      <c r="G21" s="55">
        <v>9195</v>
      </c>
      <c r="H21" s="16">
        <v>0</v>
      </c>
      <c r="I21" s="3" t="s">
        <v>15</v>
      </c>
      <c r="J21" s="5">
        <f t="shared" si="0"/>
        <v>46250</v>
      </c>
      <c r="K21" s="13" t="s">
        <v>1063</v>
      </c>
    </row>
    <row r="22" spans="1:11" ht="15.75" x14ac:dyDescent="0.25">
      <c r="A22" s="3">
        <v>12</v>
      </c>
      <c r="B22" s="3" t="s">
        <v>1059</v>
      </c>
      <c r="C22" s="80">
        <v>25000</v>
      </c>
      <c r="D22" s="5">
        <f t="shared" si="1"/>
        <v>46249</v>
      </c>
      <c r="E22" s="14">
        <v>0</v>
      </c>
      <c r="F22" s="13" t="s">
        <v>18</v>
      </c>
      <c r="G22" s="55">
        <v>2933</v>
      </c>
      <c r="H22" s="16">
        <v>0</v>
      </c>
      <c r="I22" s="3" t="s">
        <v>15</v>
      </c>
      <c r="J22" s="5">
        <f t="shared" si="0"/>
        <v>46250</v>
      </c>
      <c r="K22" s="13" t="s">
        <v>1063</v>
      </c>
    </row>
    <row r="23" spans="1:11" ht="18.75" x14ac:dyDescent="0.3">
      <c r="A23" s="3"/>
      <c r="B23" s="17" t="s">
        <v>16</v>
      </c>
      <c r="C23" s="82">
        <f>SUM(C11:C22)</f>
        <v>125449</v>
      </c>
      <c r="D23" s="3"/>
      <c r="E23" s="3"/>
      <c r="F23" s="13"/>
      <c r="G23" s="13"/>
      <c r="H23" s="11"/>
      <c r="I23" s="3"/>
      <c r="J23" s="3"/>
      <c r="K23" s="3"/>
    </row>
    <row r="24" spans="1:11" ht="24.75" x14ac:dyDescent="0.5">
      <c r="A24" s="125" t="s">
        <v>20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7"/>
    </row>
    <row r="25" spans="1:11" ht="18.75" x14ac:dyDescent="0.3">
      <c r="A25" s="19" t="s">
        <v>3</v>
      </c>
      <c r="B25" s="19" t="s">
        <v>21</v>
      </c>
      <c r="C25" s="50" t="s">
        <v>5</v>
      </c>
      <c r="D25" s="1" t="s">
        <v>22</v>
      </c>
      <c r="E25" s="19" t="s">
        <v>7</v>
      </c>
      <c r="F25" s="19" t="s">
        <v>8</v>
      </c>
      <c r="G25" s="19" t="s">
        <v>23</v>
      </c>
      <c r="H25" s="20" t="s">
        <v>24</v>
      </c>
      <c r="I25" s="19" t="s">
        <v>11</v>
      </c>
      <c r="J25" s="19" t="s">
        <v>25</v>
      </c>
      <c r="K25" s="21" t="s">
        <v>26</v>
      </c>
    </row>
    <row r="26" spans="1:11" ht="15.75" x14ac:dyDescent="0.25">
      <c r="A26" s="8">
        <v>1</v>
      </c>
      <c r="B26" s="8" t="s">
        <v>34</v>
      </c>
      <c r="C26" s="75">
        <v>120000</v>
      </c>
      <c r="D26" s="5">
        <v>46249</v>
      </c>
      <c r="E26" s="8"/>
      <c r="F26" s="8"/>
      <c r="G26" s="22">
        <v>8881</v>
      </c>
      <c r="H26" s="23"/>
      <c r="I26" s="24"/>
      <c r="J26" s="5">
        <v>46249</v>
      </c>
      <c r="K26" s="13" t="s">
        <v>321</v>
      </c>
    </row>
    <row r="27" spans="1:11" ht="15.75" x14ac:dyDescent="0.25">
      <c r="A27" s="8">
        <v>2</v>
      </c>
      <c r="B27" s="8" t="s">
        <v>1064</v>
      </c>
      <c r="C27" s="75">
        <v>116.82</v>
      </c>
      <c r="D27" s="5">
        <v>46249</v>
      </c>
      <c r="E27" s="8"/>
      <c r="F27" s="8"/>
      <c r="G27" s="22">
        <v>0</v>
      </c>
      <c r="H27" s="23"/>
      <c r="I27" s="24"/>
      <c r="J27" s="5">
        <v>46249</v>
      </c>
      <c r="K27" s="13" t="s">
        <v>1065</v>
      </c>
    </row>
    <row r="28" spans="1:11" ht="15.75" x14ac:dyDescent="0.25">
      <c r="A28" s="8">
        <v>3</v>
      </c>
      <c r="B28" s="8" t="s">
        <v>41</v>
      </c>
      <c r="C28" s="75">
        <v>37081</v>
      </c>
      <c r="D28" s="5">
        <v>46249</v>
      </c>
      <c r="E28" s="8"/>
      <c r="F28" s="8"/>
      <c r="G28" s="22">
        <v>70</v>
      </c>
      <c r="H28" s="23"/>
      <c r="I28" s="24"/>
      <c r="J28" s="5">
        <v>46249</v>
      </c>
      <c r="K28" s="13" t="s">
        <v>115</v>
      </c>
    </row>
    <row r="29" spans="1:11" ht="15.75" x14ac:dyDescent="0.25">
      <c r="A29" s="8">
        <v>4</v>
      </c>
      <c r="B29" s="8" t="s">
        <v>273</v>
      </c>
      <c r="C29" s="75">
        <v>30000</v>
      </c>
      <c r="D29" s="5">
        <v>46249</v>
      </c>
      <c r="E29" s="8"/>
      <c r="F29" s="8"/>
      <c r="G29" s="22">
        <v>9550</v>
      </c>
      <c r="H29" s="23"/>
      <c r="I29" s="24"/>
      <c r="J29" s="5">
        <v>46249</v>
      </c>
      <c r="K29" s="13" t="s">
        <v>204</v>
      </c>
    </row>
    <row r="30" spans="1:11" ht="18.75" x14ac:dyDescent="0.25">
      <c r="A30" s="8"/>
      <c r="B30" s="25" t="s">
        <v>27</v>
      </c>
      <c r="C30" s="83">
        <f>SUM(C26:C29)</f>
        <v>187197.82</v>
      </c>
      <c r="D30" s="3"/>
      <c r="E30" s="8"/>
      <c r="F30" s="8"/>
      <c r="G30" s="8"/>
      <c r="H30" s="27">
        <v>0</v>
      </c>
      <c r="I30" s="24"/>
      <c r="J30" s="3"/>
      <c r="K30" s="28"/>
    </row>
    <row r="31" spans="1:11" x14ac:dyDescent="0.25">
      <c r="C31" s="29"/>
      <c r="H31" s="29"/>
    </row>
    <row r="32" spans="1:11" ht="16.5" x14ac:dyDescent="0.3">
      <c r="B32" s="30" t="s">
        <v>28</v>
      </c>
      <c r="C32" s="76">
        <f>SUM(C11,C13,C18,C19,C20,C21,C22)</f>
        <v>114384</v>
      </c>
      <c r="E32" s="32"/>
      <c r="F32" s="32"/>
      <c r="G32" s="116"/>
      <c r="H32" s="116"/>
    </row>
    <row r="33" spans="2:10" ht="16.5" x14ac:dyDescent="0.3">
      <c r="B33" s="33" t="s">
        <v>29</v>
      </c>
      <c r="C33" s="77">
        <f>SUM(C12,C14,C17)</f>
        <v>7265</v>
      </c>
      <c r="E33" s="35"/>
      <c r="F33" s="35"/>
      <c r="G33" s="36" t="s">
        <v>30</v>
      </c>
      <c r="H33" s="37"/>
    </row>
    <row r="34" spans="2:10" ht="24" x14ac:dyDescent="0.4">
      <c r="B34" s="38" t="s">
        <v>1066</v>
      </c>
      <c r="C34" s="78">
        <f>SUM(C15)</f>
        <v>2200</v>
      </c>
      <c r="E34" s="40" t="s">
        <v>32</v>
      </c>
      <c r="F34" s="41"/>
      <c r="G34" s="42"/>
      <c r="H34" s="43"/>
      <c r="I34" s="42"/>
      <c r="J34" s="44"/>
    </row>
    <row r="35" spans="2:10" ht="18" customHeight="1" x14ac:dyDescent="0.4">
      <c r="B35" s="38" t="s">
        <v>700</v>
      </c>
      <c r="C35" s="78">
        <f>SUM(C16)</f>
        <v>1600</v>
      </c>
      <c r="E35" s="107"/>
      <c r="F35" s="41"/>
      <c r="G35" s="42"/>
      <c r="H35" s="43"/>
      <c r="I35" s="42"/>
      <c r="J35" s="44"/>
    </row>
    <row r="36" spans="2:10" ht="18.75" x14ac:dyDescent="0.3">
      <c r="B36" s="45" t="s">
        <v>16</v>
      </c>
      <c r="C36" s="79">
        <f>SUM(C32:C35)</f>
        <v>125449</v>
      </c>
      <c r="G36" s="36"/>
      <c r="H36" s="37"/>
      <c r="I36" s="36"/>
      <c r="J36" s="36"/>
    </row>
  </sheetData>
  <mergeCells count="6">
    <mergeCell ref="G32:H32"/>
    <mergeCell ref="A1:K1"/>
    <mergeCell ref="A2:K2"/>
    <mergeCell ref="A3:K3"/>
    <mergeCell ref="A10:K10"/>
    <mergeCell ref="A24:K24"/>
  </mergeCells>
  <pageMargins left="0" right="0" top="0" bottom="0" header="0" footer="0"/>
  <pageSetup scale="87" orientation="landscape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4B167-FDB3-4158-A814-826D13B0EB09}">
  <sheetPr>
    <pageSetUpPr fitToPage="1"/>
  </sheetPr>
  <dimension ref="A1:K21"/>
  <sheetViews>
    <sheetView topLeftCell="A12" workbookViewId="0">
      <selection sqref="A1:K21"/>
    </sheetView>
  </sheetViews>
  <sheetFormatPr defaultRowHeight="15" x14ac:dyDescent="0.25"/>
  <cols>
    <col min="1" max="1" width="4.42578125" bestFit="1" customWidth="1"/>
    <col min="2" max="2" width="27" bestFit="1" customWidth="1"/>
    <col min="3" max="3" width="12.710937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30.7109375" customWidth="1"/>
  </cols>
  <sheetData>
    <row r="1" spans="1:11" ht="24.75" x14ac:dyDescent="0.25">
      <c r="A1" s="117" t="s">
        <v>829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1067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1071</v>
      </c>
      <c r="C5" s="80">
        <v>520</v>
      </c>
      <c r="D5" s="5">
        <v>46250</v>
      </c>
      <c r="E5" s="6">
        <v>0</v>
      </c>
      <c r="F5" s="3" t="s">
        <v>14</v>
      </c>
      <c r="G5" s="49">
        <v>8366</v>
      </c>
      <c r="H5" s="7">
        <v>0</v>
      </c>
      <c r="I5" s="3" t="s">
        <v>15</v>
      </c>
      <c r="J5" s="5">
        <f>+D5-1</f>
        <v>46249</v>
      </c>
      <c r="K5" s="8" t="s">
        <v>204</v>
      </c>
    </row>
    <row r="6" spans="1:11" ht="18.75" x14ac:dyDescent="0.3">
      <c r="A6" s="9"/>
      <c r="B6" s="10" t="s">
        <v>16</v>
      </c>
      <c r="C6" s="81">
        <f>SUM(C5:C5)</f>
        <v>520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4" x14ac:dyDescent="0.4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75" x14ac:dyDescent="0.25">
      <c r="A9" s="3">
        <v>1</v>
      </c>
      <c r="B9" s="3" t="s">
        <v>905</v>
      </c>
      <c r="C9" s="80">
        <v>7000</v>
      </c>
      <c r="D9" s="5">
        <v>46250</v>
      </c>
      <c r="E9" s="14">
        <v>0</v>
      </c>
      <c r="F9" s="13" t="s">
        <v>18</v>
      </c>
      <c r="G9" s="55">
        <v>9744</v>
      </c>
      <c r="H9" s="16">
        <v>0</v>
      </c>
      <c r="I9" s="3" t="s">
        <v>19</v>
      </c>
      <c r="J9" s="5">
        <f t="shared" ref="J9:J11" si="0">+D9+1</f>
        <v>46251</v>
      </c>
      <c r="K9" s="13" t="s">
        <v>203</v>
      </c>
    </row>
    <row r="10" spans="1:11" ht="15.75" x14ac:dyDescent="0.25">
      <c r="A10" s="3">
        <v>2</v>
      </c>
      <c r="B10" s="3" t="s">
        <v>916</v>
      </c>
      <c r="C10" s="80">
        <v>2090</v>
      </c>
      <c r="D10" s="5">
        <f t="shared" ref="D10:D11" si="1">+D9</f>
        <v>46250</v>
      </c>
      <c r="E10" s="14">
        <v>0</v>
      </c>
      <c r="F10" s="13" t="s">
        <v>18</v>
      </c>
      <c r="G10" s="55">
        <v>4545</v>
      </c>
      <c r="H10" s="16">
        <v>0</v>
      </c>
      <c r="I10" s="3" t="s">
        <v>15</v>
      </c>
      <c r="J10" s="5">
        <f t="shared" si="0"/>
        <v>46251</v>
      </c>
      <c r="K10" s="13" t="s">
        <v>267</v>
      </c>
    </row>
    <row r="11" spans="1:11" ht="15.75" x14ac:dyDescent="0.25">
      <c r="A11" s="3">
        <v>3</v>
      </c>
      <c r="B11" s="3" t="s">
        <v>1070</v>
      </c>
      <c r="C11" s="80">
        <v>380</v>
      </c>
      <c r="D11" s="5">
        <f t="shared" si="1"/>
        <v>46250</v>
      </c>
      <c r="E11" s="14">
        <v>0</v>
      </c>
      <c r="F11" s="13" t="s">
        <v>18</v>
      </c>
      <c r="G11" s="55">
        <v>7375</v>
      </c>
      <c r="H11" s="16">
        <v>0</v>
      </c>
      <c r="I11" s="3" t="s">
        <v>15</v>
      </c>
      <c r="J11" s="5">
        <f t="shared" si="0"/>
        <v>46251</v>
      </c>
      <c r="K11" s="13" t="s">
        <v>1082</v>
      </c>
    </row>
    <row r="12" spans="1:11" ht="18.75" x14ac:dyDescent="0.3">
      <c r="A12" s="3"/>
      <c r="B12" s="17" t="s">
        <v>16</v>
      </c>
      <c r="C12" s="82">
        <f>SUM(C9:C11)</f>
        <v>9470</v>
      </c>
      <c r="D12" s="3"/>
      <c r="E12" s="3"/>
      <c r="F12" s="13"/>
      <c r="G12" s="13"/>
      <c r="H12" s="11"/>
      <c r="I12" s="3"/>
      <c r="J12" s="3"/>
      <c r="K12" s="3"/>
    </row>
    <row r="13" spans="1:11" ht="24.75" x14ac:dyDescent="0.5">
      <c r="A13" s="125" t="s">
        <v>20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7"/>
    </row>
    <row r="14" spans="1:11" ht="18.75" x14ac:dyDescent="0.3">
      <c r="A14" s="19" t="s">
        <v>3</v>
      </c>
      <c r="B14" s="19" t="s">
        <v>21</v>
      </c>
      <c r="C14" s="50" t="s">
        <v>5</v>
      </c>
      <c r="D14" s="1" t="s">
        <v>22</v>
      </c>
      <c r="E14" s="19" t="s">
        <v>7</v>
      </c>
      <c r="F14" s="19" t="s">
        <v>8</v>
      </c>
      <c r="G14" s="19" t="s">
        <v>23</v>
      </c>
      <c r="H14" s="20" t="s">
        <v>24</v>
      </c>
      <c r="I14" s="19" t="s">
        <v>11</v>
      </c>
      <c r="J14" s="19" t="s">
        <v>25</v>
      </c>
      <c r="K14" s="21" t="s">
        <v>26</v>
      </c>
    </row>
    <row r="15" spans="1:11" ht="15.75" x14ac:dyDescent="0.25">
      <c r="A15" s="8">
        <v>1</v>
      </c>
      <c r="B15" s="8" t="s">
        <v>41</v>
      </c>
      <c r="C15" s="75">
        <v>24781</v>
      </c>
      <c r="D15" s="5">
        <v>46250</v>
      </c>
      <c r="E15" s="8"/>
      <c r="F15" s="8"/>
      <c r="G15" s="22">
        <v>58</v>
      </c>
      <c r="H15" s="23"/>
      <c r="I15" s="24"/>
      <c r="J15" s="5">
        <v>46250</v>
      </c>
      <c r="K15" s="13" t="s">
        <v>267</v>
      </c>
    </row>
    <row r="16" spans="1:11" ht="18.75" x14ac:dyDescent="0.25">
      <c r="A16" s="8"/>
      <c r="B16" s="25" t="s">
        <v>27</v>
      </c>
      <c r="C16" s="83">
        <f>SUM(C15:C15)</f>
        <v>24781</v>
      </c>
      <c r="D16" s="3"/>
      <c r="E16" s="8"/>
      <c r="F16" s="8"/>
      <c r="G16" s="8"/>
      <c r="H16" s="27">
        <v>0</v>
      </c>
      <c r="I16" s="24"/>
      <c r="J16" s="3"/>
      <c r="K16" s="28"/>
    </row>
    <row r="17" spans="2:10" x14ac:dyDescent="0.25">
      <c r="C17" s="29"/>
      <c r="H17" s="29"/>
    </row>
    <row r="18" spans="2:10" ht="16.5" x14ac:dyDescent="0.3">
      <c r="B18" s="30" t="s">
        <v>28</v>
      </c>
      <c r="C18" s="76">
        <f>SUM(C9)</f>
        <v>7000</v>
      </c>
      <c r="E18" s="32"/>
      <c r="F18" s="32"/>
      <c r="G18" s="116"/>
      <c r="H18" s="116"/>
    </row>
    <row r="19" spans="2:10" ht="16.5" x14ac:dyDescent="0.3">
      <c r="B19" s="33" t="s">
        <v>29</v>
      </c>
      <c r="C19" s="77">
        <f>SUM(C10)</f>
        <v>2090</v>
      </c>
      <c r="E19" s="35"/>
      <c r="F19" s="35"/>
      <c r="G19" s="36" t="s">
        <v>30</v>
      </c>
      <c r="H19" s="37"/>
    </row>
    <row r="20" spans="2:10" ht="24" x14ac:dyDescent="0.4">
      <c r="B20" s="38" t="s">
        <v>1066</v>
      </c>
      <c r="C20" s="78">
        <f>SUM(C11)</f>
        <v>380</v>
      </c>
      <c r="E20" s="40" t="s">
        <v>32</v>
      </c>
      <c r="F20" s="41"/>
      <c r="G20" s="42"/>
      <c r="H20" s="43"/>
      <c r="I20" s="42"/>
      <c r="J20" s="44"/>
    </row>
    <row r="21" spans="2:10" ht="18.75" x14ac:dyDescent="0.3">
      <c r="B21" s="45" t="s">
        <v>16</v>
      </c>
      <c r="C21" s="79">
        <f>SUM(C18:C20)</f>
        <v>9470</v>
      </c>
      <c r="G21" s="36"/>
      <c r="H21" s="37"/>
      <c r="I21" s="36"/>
      <c r="J21" s="36"/>
    </row>
  </sheetData>
  <mergeCells count="6">
    <mergeCell ref="G18:H18"/>
    <mergeCell ref="A1:K1"/>
    <mergeCell ref="A2:K2"/>
    <mergeCell ref="A3:K3"/>
    <mergeCell ref="A8:K8"/>
    <mergeCell ref="A13:K13"/>
  </mergeCells>
  <pageMargins left="0" right="0" top="0" bottom="0" header="0" footer="0"/>
  <pageSetup scale="86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5CCB3-98E7-44E0-B112-EA05AB4CD4C2}">
  <sheetPr>
    <pageSetUpPr fitToPage="1"/>
  </sheetPr>
  <dimension ref="A1:K20"/>
  <sheetViews>
    <sheetView topLeftCell="A7" workbookViewId="0">
      <selection sqref="A1:K20"/>
    </sheetView>
  </sheetViews>
  <sheetFormatPr defaultRowHeight="15" x14ac:dyDescent="0.25"/>
  <cols>
    <col min="1" max="1" width="4.42578125" bestFit="1" customWidth="1"/>
    <col min="2" max="2" width="21.85546875" customWidth="1"/>
    <col min="3" max="3" width="12.710937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7.42578125" customWidth="1"/>
    <col min="11" max="11" width="29.140625" customWidth="1"/>
  </cols>
  <sheetData>
    <row r="1" spans="1:11" ht="24.75" x14ac:dyDescent="0.25">
      <c r="A1" s="117" t="s">
        <v>829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1072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/>
      <c r="C5" s="80">
        <v>0</v>
      </c>
      <c r="D5" s="5">
        <v>46251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46250</v>
      </c>
      <c r="K5" s="8"/>
    </row>
    <row r="6" spans="1:11" ht="18.75" x14ac:dyDescent="0.3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7" spans="1:11" ht="24" x14ac:dyDescent="0.4">
      <c r="A7" s="122" t="s">
        <v>17</v>
      </c>
      <c r="B7" s="123"/>
      <c r="C7" s="123"/>
      <c r="D7" s="123"/>
      <c r="E7" s="123"/>
      <c r="F7" s="123"/>
      <c r="G7" s="123"/>
      <c r="H7" s="123"/>
      <c r="I7" s="123"/>
      <c r="J7" s="123"/>
      <c r="K7" s="124"/>
    </row>
    <row r="8" spans="1:11" ht="15.75" x14ac:dyDescent="0.25">
      <c r="A8" s="3">
        <v>1</v>
      </c>
      <c r="B8" s="3" t="s">
        <v>1073</v>
      </c>
      <c r="C8" s="80">
        <v>6140</v>
      </c>
      <c r="D8" s="5">
        <v>46251</v>
      </c>
      <c r="E8" s="14">
        <v>0</v>
      </c>
      <c r="F8" s="13" t="s">
        <v>18</v>
      </c>
      <c r="G8" s="55">
        <v>5426</v>
      </c>
      <c r="H8" s="16">
        <v>0</v>
      </c>
      <c r="I8" s="3" t="s">
        <v>19</v>
      </c>
      <c r="J8" s="5">
        <f t="shared" ref="J8:J10" si="0">+D8+1</f>
        <v>46252</v>
      </c>
      <c r="K8" s="13" t="s">
        <v>115</v>
      </c>
    </row>
    <row r="9" spans="1:11" ht="15.75" x14ac:dyDescent="0.25">
      <c r="A9" s="3">
        <v>2</v>
      </c>
      <c r="B9" s="3" t="s">
        <v>1074</v>
      </c>
      <c r="C9" s="80">
        <v>8400</v>
      </c>
      <c r="D9" s="5">
        <f t="shared" ref="D9:D10" si="1">+D8</f>
        <v>46251</v>
      </c>
      <c r="E9" s="14">
        <v>0</v>
      </c>
      <c r="F9" s="13" t="s">
        <v>18</v>
      </c>
      <c r="G9" s="55">
        <v>8542</v>
      </c>
      <c r="H9" s="16">
        <v>0</v>
      </c>
      <c r="I9" s="3" t="s">
        <v>15</v>
      </c>
      <c r="J9" s="5">
        <f t="shared" si="0"/>
        <v>46252</v>
      </c>
      <c r="K9" s="13" t="s">
        <v>115</v>
      </c>
    </row>
    <row r="10" spans="1:11" ht="15.75" x14ac:dyDescent="0.25">
      <c r="A10" s="3">
        <v>3</v>
      </c>
      <c r="B10" s="3" t="s">
        <v>1075</v>
      </c>
      <c r="C10" s="80">
        <v>265</v>
      </c>
      <c r="D10" s="5">
        <f t="shared" si="1"/>
        <v>46251</v>
      </c>
      <c r="E10" s="14">
        <v>0</v>
      </c>
      <c r="F10" s="13" t="s">
        <v>18</v>
      </c>
      <c r="G10" s="55">
        <v>578</v>
      </c>
      <c r="H10" s="16">
        <v>0</v>
      </c>
      <c r="I10" s="3" t="s">
        <v>15</v>
      </c>
      <c r="J10" s="5">
        <f t="shared" si="0"/>
        <v>46252</v>
      </c>
      <c r="K10" s="13" t="s">
        <v>115</v>
      </c>
    </row>
    <row r="11" spans="1:11" ht="18.75" x14ac:dyDescent="0.3">
      <c r="A11" s="3"/>
      <c r="B11" s="17" t="s">
        <v>16</v>
      </c>
      <c r="C11" s="82">
        <f>SUM(C8:C10)</f>
        <v>14805</v>
      </c>
      <c r="D11" s="3"/>
      <c r="E11" s="3"/>
      <c r="F11" s="13"/>
      <c r="G11" s="13"/>
      <c r="H11" s="11"/>
      <c r="I11" s="3"/>
      <c r="J11" s="3"/>
      <c r="K11" s="3"/>
    </row>
    <row r="12" spans="1:11" ht="24.75" x14ac:dyDescent="0.5">
      <c r="A12" s="125" t="s">
        <v>20</v>
      </c>
      <c r="B12" s="126"/>
      <c r="C12" s="126"/>
      <c r="D12" s="126"/>
      <c r="E12" s="126"/>
      <c r="F12" s="126"/>
      <c r="G12" s="126"/>
      <c r="H12" s="126"/>
      <c r="I12" s="126"/>
      <c r="J12" s="126"/>
      <c r="K12" s="127"/>
    </row>
    <row r="13" spans="1:11" ht="18.75" x14ac:dyDescent="0.3">
      <c r="A13" s="19" t="s">
        <v>3</v>
      </c>
      <c r="B13" s="19" t="s">
        <v>21</v>
      </c>
      <c r="C13" s="50" t="s">
        <v>5</v>
      </c>
      <c r="D13" s="1" t="s">
        <v>22</v>
      </c>
      <c r="E13" s="19" t="s">
        <v>7</v>
      </c>
      <c r="F13" s="19" t="s">
        <v>8</v>
      </c>
      <c r="G13" s="19" t="s">
        <v>23</v>
      </c>
      <c r="H13" s="20" t="s">
        <v>24</v>
      </c>
      <c r="I13" s="19" t="s">
        <v>11</v>
      </c>
      <c r="J13" s="19" t="s">
        <v>25</v>
      </c>
      <c r="K13" s="21" t="s">
        <v>26</v>
      </c>
    </row>
    <row r="14" spans="1:11" ht="15.75" x14ac:dyDescent="0.25">
      <c r="A14" s="8">
        <v>1</v>
      </c>
      <c r="B14" s="8" t="s">
        <v>470</v>
      </c>
      <c r="C14" s="75">
        <v>4000</v>
      </c>
      <c r="D14" s="5">
        <v>46251</v>
      </c>
      <c r="E14" s="8"/>
      <c r="F14" s="8"/>
      <c r="G14" s="22">
        <v>4634</v>
      </c>
      <c r="H14" s="23"/>
      <c r="I14" s="24"/>
      <c r="J14" s="5">
        <v>46251</v>
      </c>
      <c r="K14" s="13" t="s">
        <v>1081</v>
      </c>
    </row>
    <row r="15" spans="1:11" ht="18.75" x14ac:dyDescent="0.25">
      <c r="A15" s="8"/>
      <c r="B15" s="25" t="s">
        <v>27</v>
      </c>
      <c r="C15" s="83">
        <f>SUM(C14:C14)</f>
        <v>4000</v>
      </c>
      <c r="D15" s="3"/>
      <c r="E15" s="8"/>
      <c r="F15" s="8"/>
      <c r="G15" s="8"/>
      <c r="H15" s="27">
        <v>0</v>
      </c>
      <c r="I15" s="24"/>
      <c r="J15" s="3"/>
      <c r="K15" s="28"/>
    </row>
    <row r="16" spans="1:11" x14ac:dyDescent="0.25">
      <c r="C16" s="29"/>
      <c r="H16" s="29"/>
    </row>
    <row r="17" spans="2:10" ht="16.5" x14ac:dyDescent="0.3">
      <c r="B17" s="30" t="s">
        <v>28</v>
      </c>
      <c r="C17" s="76"/>
      <c r="E17" s="32"/>
      <c r="F17" s="32"/>
      <c r="G17" s="116"/>
      <c r="H17" s="116"/>
    </row>
    <row r="18" spans="2:10" ht="16.5" x14ac:dyDescent="0.3">
      <c r="B18" s="33" t="s">
        <v>29</v>
      </c>
      <c r="C18" s="77">
        <f>SUM(C8,C9,C10)</f>
        <v>14805</v>
      </c>
      <c r="E18" s="35"/>
      <c r="F18" s="35"/>
      <c r="G18" s="36" t="s">
        <v>30</v>
      </c>
      <c r="H18" s="37"/>
    </row>
    <row r="19" spans="2:10" ht="24" x14ac:dyDescent="0.4">
      <c r="B19" s="38" t="s">
        <v>31</v>
      </c>
      <c r="C19" s="78"/>
      <c r="E19" s="40" t="s">
        <v>32</v>
      </c>
      <c r="F19" s="41"/>
      <c r="G19" s="42"/>
      <c r="H19" s="43"/>
      <c r="I19" s="42"/>
      <c r="J19" s="44"/>
    </row>
    <row r="20" spans="2:10" ht="18.75" x14ac:dyDescent="0.3">
      <c r="B20" s="45" t="s">
        <v>16</v>
      </c>
      <c r="C20" s="79">
        <f>SUM(C17:C19)</f>
        <v>14805</v>
      </c>
      <c r="G20" s="36"/>
      <c r="H20" s="37"/>
      <c r="I20" s="36"/>
      <c r="J20" s="36"/>
    </row>
  </sheetData>
  <mergeCells count="6">
    <mergeCell ref="G17:H17"/>
    <mergeCell ref="A1:K1"/>
    <mergeCell ref="A2:K2"/>
    <mergeCell ref="A3:K3"/>
    <mergeCell ref="A7:K7"/>
    <mergeCell ref="A12:K12"/>
  </mergeCells>
  <pageMargins left="0" right="0" top="0" bottom="0" header="0" footer="0"/>
  <pageSetup scale="90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0F45-3B6C-4488-930A-6CD5270828C5}">
  <sheetPr>
    <pageSetUpPr fitToPage="1"/>
  </sheetPr>
  <dimension ref="A1:K22"/>
  <sheetViews>
    <sheetView topLeftCell="A9" workbookViewId="0">
      <selection sqref="A1:K22"/>
    </sheetView>
  </sheetViews>
  <sheetFormatPr defaultRowHeight="15" x14ac:dyDescent="0.25"/>
  <cols>
    <col min="1" max="1" width="4.42578125" bestFit="1" customWidth="1"/>
    <col min="2" max="2" width="24.5703125" bestFit="1" customWidth="1"/>
    <col min="3" max="3" width="12.710937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9" width="9.42578125" customWidth="1"/>
    <col min="10" max="10" width="16.85546875" bestFit="1" customWidth="1"/>
    <col min="11" max="11" width="27.85546875" customWidth="1"/>
  </cols>
  <sheetData>
    <row r="1" spans="1:11" ht="24.75" x14ac:dyDescent="0.25">
      <c r="A1" s="117" t="s">
        <v>829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1076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46252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46251</v>
      </c>
      <c r="K5" s="8"/>
    </row>
    <row r="6" spans="1:11" ht="18.75" x14ac:dyDescent="0.3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4" x14ac:dyDescent="0.4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75" x14ac:dyDescent="0.25">
      <c r="A9" s="3">
        <v>1</v>
      </c>
      <c r="B9" s="3" t="s">
        <v>1077</v>
      </c>
      <c r="C9" s="80">
        <v>1340</v>
      </c>
      <c r="D9" s="5">
        <v>46252</v>
      </c>
      <c r="E9" s="14">
        <v>0</v>
      </c>
      <c r="F9" s="13" t="s">
        <v>18</v>
      </c>
      <c r="G9" s="55">
        <v>1137</v>
      </c>
      <c r="H9" s="16">
        <v>0</v>
      </c>
      <c r="I9" s="3" t="s">
        <v>19</v>
      </c>
      <c r="J9" s="5">
        <f t="shared" ref="J9" si="0">+D9+1</f>
        <v>46253</v>
      </c>
      <c r="K9" s="13" t="s">
        <v>115</v>
      </c>
    </row>
    <row r="10" spans="1:11" ht="18.75" x14ac:dyDescent="0.3">
      <c r="A10" s="3"/>
      <c r="B10" s="17" t="s">
        <v>16</v>
      </c>
      <c r="C10" s="82">
        <f>SUM(C9:C9)</f>
        <v>1340</v>
      </c>
      <c r="D10" s="3"/>
      <c r="E10" s="3"/>
      <c r="F10" s="13"/>
      <c r="G10" s="13"/>
      <c r="H10" s="11"/>
      <c r="I10" s="3"/>
      <c r="J10" s="3"/>
      <c r="K10" s="3"/>
    </row>
    <row r="11" spans="1:11" ht="24.75" x14ac:dyDescent="0.5">
      <c r="A11" s="125" t="s">
        <v>20</v>
      </c>
      <c r="B11" s="126"/>
      <c r="C11" s="126"/>
      <c r="D11" s="126"/>
      <c r="E11" s="126"/>
      <c r="F11" s="126"/>
      <c r="G11" s="126"/>
      <c r="H11" s="126"/>
      <c r="I11" s="126"/>
      <c r="J11" s="126"/>
      <c r="K11" s="127"/>
    </row>
    <row r="12" spans="1:11" ht="18.75" x14ac:dyDescent="0.3">
      <c r="A12" s="19" t="s">
        <v>3</v>
      </c>
      <c r="B12" s="19" t="s">
        <v>21</v>
      </c>
      <c r="C12" s="50" t="s">
        <v>5</v>
      </c>
      <c r="D12" s="1" t="s">
        <v>22</v>
      </c>
      <c r="E12" s="19" t="s">
        <v>7</v>
      </c>
      <c r="F12" s="19" t="s">
        <v>8</v>
      </c>
      <c r="G12" s="19" t="s">
        <v>23</v>
      </c>
      <c r="H12" s="20" t="s">
        <v>24</v>
      </c>
      <c r="I12" s="19" t="s">
        <v>11</v>
      </c>
      <c r="J12" s="19" t="s">
        <v>25</v>
      </c>
      <c r="K12" s="21" t="s">
        <v>26</v>
      </c>
    </row>
    <row r="13" spans="1:11" ht="15.75" x14ac:dyDescent="0.25">
      <c r="A13" s="8">
        <v>1</v>
      </c>
      <c r="B13" s="8" t="s">
        <v>1078</v>
      </c>
      <c r="C13" s="75">
        <v>3705</v>
      </c>
      <c r="D13" s="5">
        <v>46252</v>
      </c>
      <c r="E13" s="8"/>
      <c r="F13" s="8"/>
      <c r="G13" s="22">
        <v>6038</v>
      </c>
      <c r="H13" s="23"/>
      <c r="I13" s="24"/>
      <c r="J13" s="5">
        <v>46252</v>
      </c>
      <c r="K13" s="13" t="s">
        <v>1084</v>
      </c>
    </row>
    <row r="14" spans="1:11" ht="15.75" x14ac:dyDescent="0.25">
      <c r="A14" s="8">
        <v>2</v>
      </c>
      <c r="B14" s="8" t="s">
        <v>1079</v>
      </c>
      <c r="C14" s="75">
        <v>1050</v>
      </c>
      <c r="D14" s="5">
        <v>46252</v>
      </c>
      <c r="E14" s="8"/>
      <c r="F14" s="8"/>
      <c r="G14" s="22">
        <v>5012</v>
      </c>
      <c r="H14" s="23"/>
      <c r="I14" s="24"/>
      <c r="J14" s="5">
        <v>46252</v>
      </c>
      <c r="K14" s="13" t="s">
        <v>1085</v>
      </c>
    </row>
    <row r="15" spans="1:11" ht="15.75" x14ac:dyDescent="0.25">
      <c r="A15" s="8">
        <v>3</v>
      </c>
      <c r="B15" s="8" t="s">
        <v>1080</v>
      </c>
      <c r="C15" s="75">
        <v>10000</v>
      </c>
      <c r="D15" s="5">
        <v>46252</v>
      </c>
      <c r="E15" s="8"/>
      <c r="F15" s="8"/>
      <c r="G15" s="22">
        <v>2981</v>
      </c>
      <c r="H15" s="23"/>
      <c r="I15" s="24"/>
      <c r="J15" s="5">
        <v>46252</v>
      </c>
      <c r="K15" s="13" t="s">
        <v>187</v>
      </c>
    </row>
    <row r="16" spans="1:11" ht="15.75" x14ac:dyDescent="0.25">
      <c r="A16" s="8">
        <v>4</v>
      </c>
      <c r="B16" s="8" t="s">
        <v>412</v>
      </c>
      <c r="C16" s="75">
        <v>300</v>
      </c>
      <c r="D16" s="5">
        <v>46252</v>
      </c>
      <c r="E16" s="8"/>
      <c r="F16" s="8"/>
      <c r="G16" s="22">
        <v>6250</v>
      </c>
      <c r="H16" s="23"/>
      <c r="I16" s="24"/>
      <c r="J16" s="5">
        <v>46252</v>
      </c>
      <c r="K16" s="13" t="s">
        <v>1083</v>
      </c>
    </row>
    <row r="17" spans="1:11" ht="18.75" x14ac:dyDescent="0.25">
      <c r="A17" s="8"/>
      <c r="B17" s="25" t="s">
        <v>27</v>
      </c>
      <c r="C17" s="83">
        <f>SUM(C13:C16)</f>
        <v>15055</v>
      </c>
      <c r="D17" s="3"/>
      <c r="E17" s="8"/>
      <c r="F17" s="8"/>
      <c r="G17" s="8"/>
      <c r="H17" s="27">
        <v>0</v>
      </c>
      <c r="I17" s="24"/>
      <c r="J17" s="3"/>
      <c r="K17" s="28"/>
    </row>
    <row r="18" spans="1:11" x14ac:dyDescent="0.25">
      <c r="C18" s="29"/>
      <c r="H18" s="29"/>
    </row>
    <row r="19" spans="1:11" ht="16.5" x14ac:dyDescent="0.3">
      <c r="B19" s="30" t="s">
        <v>28</v>
      </c>
      <c r="C19" s="76"/>
      <c r="E19" s="32"/>
      <c r="F19" s="32"/>
      <c r="G19" s="116"/>
      <c r="H19" s="116"/>
    </row>
    <row r="20" spans="1:11" ht="16.5" x14ac:dyDescent="0.3">
      <c r="B20" s="33" t="s">
        <v>29</v>
      </c>
      <c r="C20" s="77">
        <f>SUM(C9)</f>
        <v>1340</v>
      </c>
      <c r="E20" s="35"/>
      <c r="F20" s="35"/>
      <c r="G20" s="36" t="s">
        <v>30</v>
      </c>
      <c r="H20" s="37"/>
    </row>
    <row r="21" spans="1:11" ht="24" x14ac:dyDescent="0.4">
      <c r="B21" s="38" t="s">
        <v>31</v>
      </c>
      <c r="C21" s="78"/>
      <c r="E21" s="40" t="s">
        <v>32</v>
      </c>
      <c r="F21" s="41"/>
      <c r="G21" s="42"/>
      <c r="H21" s="43"/>
      <c r="I21" s="42"/>
      <c r="J21" s="44"/>
    </row>
    <row r="22" spans="1:11" ht="18.75" x14ac:dyDescent="0.3">
      <c r="B22" s="45" t="s">
        <v>16</v>
      </c>
      <c r="C22" s="79">
        <f>SUM(C19:C21)</f>
        <v>1340</v>
      </c>
      <c r="G22" s="36"/>
      <c r="H22" s="37"/>
      <c r="I22" s="36"/>
      <c r="J22" s="36"/>
    </row>
  </sheetData>
  <mergeCells count="6">
    <mergeCell ref="G19:H19"/>
    <mergeCell ref="A1:K1"/>
    <mergeCell ref="A2:K2"/>
    <mergeCell ref="A3:K3"/>
    <mergeCell ref="A8:K8"/>
    <mergeCell ref="A11:K11"/>
  </mergeCells>
  <pageMargins left="0" right="0" top="0" bottom="0" header="0" footer="0"/>
  <pageSetup scale="90" orientation="landscape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6608F-FE8B-43D6-B9FB-963E5F38D0C4}">
  <dimension ref="A1:K34"/>
  <sheetViews>
    <sheetView topLeftCell="A10" workbookViewId="0">
      <selection activeCell="J34" sqref="J34"/>
    </sheetView>
  </sheetViews>
  <sheetFormatPr defaultRowHeight="15" x14ac:dyDescent="0.25"/>
  <cols>
    <col min="1" max="1" width="4.42578125" bestFit="1" customWidth="1"/>
    <col min="2" max="2" width="25.28515625" bestFit="1" customWidth="1"/>
    <col min="3" max="3" width="14.4257812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6.28515625" customWidth="1"/>
  </cols>
  <sheetData>
    <row r="1" spans="1:11" ht="24.75" x14ac:dyDescent="0.25">
      <c r="A1" s="117" t="s">
        <v>829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1086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46253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46252</v>
      </c>
      <c r="K5" s="8"/>
    </row>
    <row r="6" spans="1:11" ht="15.75" x14ac:dyDescent="0.25">
      <c r="A6" s="3">
        <v>2</v>
      </c>
      <c r="B6" s="3" t="s">
        <v>1098</v>
      </c>
      <c r="C6" s="80">
        <v>54000</v>
      </c>
      <c r="D6" s="5">
        <v>46253</v>
      </c>
      <c r="E6" s="6">
        <v>0</v>
      </c>
      <c r="F6" s="3" t="s">
        <v>14</v>
      </c>
      <c r="G6" s="49">
        <v>6270</v>
      </c>
      <c r="H6" s="7">
        <v>0</v>
      </c>
      <c r="I6" s="3" t="s">
        <v>15</v>
      </c>
      <c r="J6" s="5">
        <f>+D6-1</f>
        <v>46252</v>
      </c>
      <c r="K6" s="8" t="s">
        <v>1105</v>
      </c>
    </row>
    <row r="7" spans="1:11" ht="15.75" x14ac:dyDescent="0.25">
      <c r="A7" s="3">
        <v>3</v>
      </c>
      <c r="B7" s="3" t="s">
        <v>133</v>
      </c>
      <c r="C7" s="80">
        <v>10650</v>
      </c>
      <c r="D7" s="5">
        <v>46253</v>
      </c>
      <c r="E7" s="6">
        <v>0</v>
      </c>
      <c r="F7" s="3" t="s">
        <v>14</v>
      </c>
      <c r="G7" s="49">
        <v>5689</v>
      </c>
      <c r="H7" s="7">
        <v>0</v>
      </c>
      <c r="I7" s="3" t="s">
        <v>15</v>
      </c>
      <c r="J7" s="5">
        <f>+D7-1</f>
        <v>46252</v>
      </c>
      <c r="K7" s="8" t="s">
        <v>1100</v>
      </c>
    </row>
    <row r="8" spans="1:11" ht="18.75" x14ac:dyDescent="0.3">
      <c r="A8" s="9"/>
      <c r="B8" s="10" t="s">
        <v>16</v>
      </c>
      <c r="C8" s="81">
        <f>SUM(C5:C7)</f>
        <v>64650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4" x14ac:dyDescent="0.4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75" x14ac:dyDescent="0.25">
      <c r="A11" s="3">
        <v>1</v>
      </c>
      <c r="B11" s="3" t="s">
        <v>1089</v>
      </c>
      <c r="C11" s="80">
        <v>20900</v>
      </c>
      <c r="D11" s="5">
        <v>46253</v>
      </c>
      <c r="E11" s="14">
        <v>0</v>
      </c>
      <c r="F11" s="13" t="s">
        <v>18</v>
      </c>
      <c r="G11" s="55">
        <v>6152</v>
      </c>
      <c r="H11" s="16">
        <v>0</v>
      </c>
      <c r="I11" s="3" t="s">
        <v>19</v>
      </c>
      <c r="J11" s="5">
        <f t="shared" ref="J11:J22" si="0">+D11+1</f>
        <v>46254</v>
      </c>
      <c r="K11" s="13" t="s">
        <v>1101</v>
      </c>
    </row>
    <row r="12" spans="1:11" ht="15.75" x14ac:dyDescent="0.25">
      <c r="A12" s="3">
        <v>2</v>
      </c>
      <c r="B12" s="3" t="s">
        <v>1090</v>
      </c>
      <c r="C12" s="80">
        <v>11740</v>
      </c>
      <c r="D12" s="5">
        <f t="shared" ref="D12:D22" si="1">+D11</f>
        <v>46253</v>
      </c>
      <c r="E12" s="14">
        <v>0</v>
      </c>
      <c r="F12" s="13" t="s">
        <v>18</v>
      </c>
      <c r="G12" s="55">
        <v>2427</v>
      </c>
      <c r="H12" s="16">
        <v>0</v>
      </c>
      <c r="I12" s="3" t="s">
        <v>15</v>
      </c>
      <c r="J12" s="5">
        <f t="shared" si="0"/>
        <v>46254</v>
      </c>
      <c r="K12" s="13" t="s">
        <v>115</v>
      </c>
    </row>
    <row r="13" spans="1:11" ht="15.75" x14ac:dyDescent="0.25">
      <c r="A13" s="3">
        <v>3</v>
      </c>
      <c r="B13" s="3" t="s">
        <v>328</v>
      </c>
      <c r="C13" s="80">
        <v>17500</v>
      </c>
      <c r="D13" s="5">
        <f t="shared" si="1"/>
        <v>46253</v>
      </c>
      <c r="E13" s="14">
        <v>0</v>
      </c>
      <c r="F13" s="13" t="s">
        <v>18</v>
      </c>
      <c r="G13" s="55">
        <v>707</v>
      </c>
      <c r="H13" s="16">
        <v>0</v>
      </c>
      <c r="I13" s="3" t="s">
        <v>15</v>
      </c>
      <c r="J13" s="5">
        <f t="shared" si="0"/>
        <v>46254</v>
      </c>
      <c r="K13" s="13" t="s">
        <v>1100</v>
      </c>
    </row>
    <row r="14" spans="1:11" ht="15.75" x14ac:dyDescent="0.25">
      <c r="A14" s="3">
        <v>4</v>
      </c>
      <c r="B14" s="3" t="s">
        <v>1091</v>
      </c>
      <c r="C14" s="80">
        <v>3850</v>
      </c>
      <c r="D14" s="5">
        <f t="shared" si="1"/>
        <v>46253</v>
      </c>
      <c r="E14" s="14">
        <v>0</v>
      </c>
      <c r="F14" s="13" t="s">
        <v>18</v>
      </c>
      <c r="G14" s="55">
        <v>2790</v>
      </c>
      <c r="H14" s="16">
        <v>0</v>
      </c>
      <c r="I14" s="3" t="s">
        <v>15</v>
      </c>
      <c r="J14" s="5">
        <f t="shared" si="0"/>
        <v>46254</v>
      </c>
      <c r="K14" s="13" t="s">
        <v>115</v>
      </c>
    </row>
    <row r="15" spans="1:11" ht="15.75" x14ac:dyDescent="0.25">
      <c r="A15" s="3">
        <v>5</v>
      </c>
      <c r="B15" s="3" t="s">
        <v>1092</v>
      </c>
      <c r="C15" s="80">
        <v>99000</v>
      </c>
      <c r="D15" s="5">
        <f t="shared" si="1"/>
        <v>46253</v>
      </c>
      <c r="E15" s="14">
        <v>0</v>
      </c>
      <c r="F15" s="13" t="s">
        <v>18</v>
      </c>
      <c r="G15" s="55">
        <v>6250</v>
      </c>
      <c r="H15" s="16">
        <v>0</v>
      </c>
      <c r="I15" s="3" t="s">
        <v>15</v>
      </c>
      <c r="J15" s="5">
        <f t="shared" si="0"/>
        <v>46254</v>
      </c>
      <c r="K15" s="13" t="s">
        <v>1099</v>
      </c>
    </row>
    <row r="16" spans="1:11" ht="15.75" x14ac:dyDescent="0.25">
      <c r="A16" s="3">
        <v>6</v>
      </c>
      <c r="B16" s="3" t="s">
        <v>1093</v>
      </c>
      <c r="C16" s="80">
        <v>1830</v>
      </c>
      <c r="D16" s="5">
        <f t="shared" si="1"/>
        <v>46253</v>
      </c>
      <c r="E16" s="14">
        <v>0</v>
      </c>
      <c r="F16" s="13" t="s">
        <v>18</v>
      </c>
      <c r="G16" s="55">
        <v>9785</v>
      </c>
      <c r="H16" s="16">
        <v>0</v>
      </c>
      <c r="I16" s="3" t="s">
        <v>15</v>
      </c>
      <c r="J16" s="5">
        <f t="shared" si="0"/>
        <v>46254</v>
      </c>
      <c r="K16" s="13" t="s">
        <v>204</v>
      </c>
    </row>
    <row r="17" spans="1:11" ht="15.75" x14ac:dyDescent="0.25">
      <c r="A17" s="3">
        <v>7</v>
      </c>
      <c r="B17" s="3" t="s">
        <v>1094</v>
      </c>
      <c r="C17" s="80">
        <v>2850</v>
      </c>
      <c r="D17" s="5">
        <f t="shared" si="1"/>
        <v>46253</v>
      </c>
      <c r="E17" s="14">
        <v>0</v>
      </c>
      <c r="F17" s="13" t="s">
        <v>18</v>
      </c>
      <c r="G17" s="55">
        <v>8192</v>
      </c>
      <c r="H17" s="16">
        <v>0</v>
      </c>
      <c r="I17" s="3" t="s">
        <v>15</v>
      </c>
      <c r="J17" s="5">
        <f t="shared" si="0"/>
        <v>46254</v>
      </c>
      <c r="K17" s="13" t="s">
        <v>1104</v>
      </c>
    </row>
    <row r="18" spans="1:11" ht="15.75" x14ac:dyDescent="0.25">
      <c r="A18" s="3">
        <v>8</v>
      </c>
      <c r="B18" s="3" t="s">
        <v>1095</v>
      </c>
      <c r="C18" s="80">
        <v>640</v>
      </c>
      <c r="D18" s="5">
        <f t="shared" si="1"/>
        <v>46253</v>
      </c>
      <c r="E18" s="14">
        <v>0</v>
      </c>
      <c r="F18" s="13" t="s">
        <v>18</v>
      </c>
      <c r="G18" s="55">
        <v>30</v>
      </c>
      <c r="H18" s="16">
        <v>0</v>
      </c>
      <c r="I18" s="3" t="s">
        <v>15</v>
      </c>
      <c r="J18" s="5">
        <f t="shared" si="0"/>
        <v>46254</v>
      </c>
      <c r="K18" s="13" t="s">
        <v>204</v>
      </c>
    </row>
    <row r="19" spans="1:11" ht="15.75" x14ac:dyDescent="0.25">
      <c r="A19" s="3">
        <v>9</v>
      </c>
      <c r="B19" s="3" t="s">
        <v>564</v>
      </c>
      <c r="C19" s="80">
        <v>2700</v>
      </c>
      <c r="D19" s="5">
        <f t="shared" si="1"/>
        <v>46253</v>
      </c>
      <c r="E19" s="14">
        <v>0</v>
      </c>
      <c r="F19" s="13" t="s">
        <v>18</v>
      </c>
      <c r="G19" s="55">
        <v>5903</v>
      </c>
      <c r="H19" s="16">
        <v>0</v>
      </c>
      <c r="I19" s="3" t="s">
        <v>15</v>
      </c>
      <c r="J19" s="5">
        <f t="shared" si="0"/>
        <v>46254</v>
      </c>
      <c r="K19" s="13" t="s">
        <v>204</v>
      </c>
    </row>
    <row r="20" spans="1:11" ht="15.75" x14ac:dyDescent="0.25">
      <c r="A20" s="3">
        <v>10</v>
      </c>
      <c r="B20" s="3" t="s">
        <v>1096</v>
      </c>
      <c r="C20" s="80">
        <v>2190</v>
      </c>
      <c r="D20" s="5">
        <f t="shared" si="1"/>
        <v>46253</v>
      </c>
      <c r="E20" s="14">
        <v>0</v>
      </c>
      <c r="F20" s="13" t="s">
        <v>18</v>
      </c>
      <c r="G20" s="55">
        <v>7203</v>
      </c>
      <c r="H20" s="16">
        <v>0</v>
      </c>
      <c r="I20" s="3" t="s">
        <v>15</v>
      </c>
      <c r="J20" s="5">
        <f t="shared" si="0"/>
        <v>46254</v>
      </c>
      <c r="K20" s="13" t="s">
        <v>115</v>
      </c>
    </row>
    <row r="21" spans="1:11" ht="15.75" x14ac:dyDescent="0.25">
      <c r="A21" s="3">
        <v>11</v>
      </c>
      <c r="B21" s="3" t="s">
        <v>1097</v>
      </c>
      <c r="C21" s="80">
        <v>1355</v>
      </c>
      <c r="D21" s="5">
        <f t="shared" si="1"/>
        <v>46253</v>
      </c>
      <c r="E21" s="14">
        <v>0</v>
      </c>
      <c r="F21" s="13" t="s">
        <v>18</v>
      </c>
      <c r="G21" s="55">
        <v>1543</v>
      </c>
      <c r="H21" s="16">
        <v>0</v>
      </c>
      <c r="I21" s="3" t="s">
        <v>15</v>
      </c>
      <c r="J21" s="5">
        <f t="shared" si="0"/>
        <v>46254</v>
      </c>
      <c r="K21" s="13" t="s">
        <v>115</v>
      </c>
    </row>
    <row r="22" spans="1:11" ht="15.75" x14ac:dyDescent="0.25">
      <c r="A22" s="3">
        <v>12</v>
      </c>
      <c r="B22" s="3" t="s">
        <v>1095</v>
      </c>
      <c r="C22" s="80">
        <v>520</v>
      </c>
      <c r="D22" s="5">
        <f t="shared" si="1"/>
        <v>46253</v>
      </c>
      <c r="E22" s="14">
        <v>0</v>
      </c>
      <c r="F22" s="13" t="s">
        <v>18</v>
      </c>
      <c r="G22" s="55">
        <v>337</v>
      </c>
      <c r="H22" s="16">
        <v>0</v>
      </c>
      <c r="I22" s="3" t="s">
        <v>15</v>
      </c>
      <c r="J22" s="5">
        <f t="shared" si="0"/>
        <v>46254</v>
      </c>
      <c r="K22" s="13" t="s">
        <v>204</v>
      </c>
    </row>
    <row r="23" spans="1:11" ht="18.75" x14ac:dyDescent="0.3">
      <c r="A23" s="3"/>
      <c r="B23" s="17" t="s">
        <v>16</v>
      </c>
      <c r="C23" s="82">
        <f>SUM(C11:C22)</f>
        <v>165075</v>
      </c>
      <c r="D23" s="3"/>
      <c r="E23" s="3"/>
      <c r="F23" s="13"/>
      <c r="G23" s="13"/>
      <c r="H23" s="11"/>
      <c r="I23" s="3"/>
      <c r="J23" s="3"/>
      <c r="K23" s="3"/>
    </row>
    <row r="24" spans="1:11" ht="24.75" x14ac:dyDescent="0.5">
      <c r="A24" s="125" t="s">
        <v>20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7"/>
    </row>
    <row r="25" spans="1:11" ht="18.75" x14ac:dyDescent="0.3">
      <c r="A25" s="19" t="s">
        <v>3</v>
      </c>
      <c r="B25" s="19" t="s">
        <v>21</v>
      </c>
      <c r="C25" s="50" t="s">
        <v>5</v>
      </c>
      <c r="D25" s="1" t="s">
        <v>22</v>
      </c>
      <c r="E25" s="19" t="s">
        <v>7</v>
      </c>
      <c r="F25" s="19" t="s">
        <v>8</v>
      </c>
      <c r="G25" s="19" t="s">
        <v>23</v>
      </c>
      <c r="H25" s="20" t="s">
        <v>24</v>
      </c>
      <c r="I25" s="19" t="s">
        <v>11</v>
      </c>
      <c r="J25" s="19" t="s">
        <v>25</v>
      </c>
      <c r="K25" s="21" t="s">
        <v>26</v>
      </c>
    </row>
    <row r="26" spans="1:11" ht="15.75" x14ac:dyDescent="0.25">
      <c r="A26" s="8">
        <v>1</v>
      </c>
      <c r="B26" s="104" t="s">
        <v>1087</v>
      </c>
      <c r="C26" s="75">
        <v>50000</v>
      </c>
      <c r="D26" s="5">
        <v>46252</v>
      </c>
      <c r="E26" s="8"/>
      <c r="F26" s="8"/>
      <c r="G26" s="22">
        <v>2160</v>
      </c>
      <c r="H26" s="23"/>
      <c r="I26" s="24"/>
      <c r="J26" s="5">
        <v>46252</v>
      </c>
      <c r="K26" s="13" t="s">
        <v>1102</v>
      </c>
    </row>
    <row r="27" spans="1:11" ht="15.75" x14ac:dyDescent="0.25">
      <c r="A27" s="8">
        <v>2</v>
      </c>
      <c r="B27" s="8" t="s">
        <v>1088</v>
      </c>
      <c r="C27" s="75">
        <v>155555</v>
      </c>
      <c r="D27" s="5">
        <v>46252</v>
      </c>
      <c r="E27" s="8"/>
      <c r="F27" s="8"/>
      <c r="G27" s="22">
        <v>1679</v>
      </c>
      <c r="H27" s="23"/>
      <c r="I27" s="24"/>
      <c r="J27" s="5">
        <v>46252</v>
      </c>
      <c r="K27" s="13" t="s">
        <v>1103</v>
      </c>
    </row>
    <row r="28" spans="1:11" ht="18.75" x14ac:dyDescent="0.25">
      <c r="A28" s="8"/>
      <c r="B28" s="25" t="s">
        <v>27</v>
      </c>
      <c r="C28" s="83">
        <f>SUM(C26:C27)</f>
        <v>205555</v>
      </c>
      <c r="D28" s="3"/>
      <c r="E28" s="8"/>
      <c r="F28" s="8"/>
      <c r="G28" s="8"/>
      <c r="H28" s="27">
        <v>0</v>
      </c>
      <c r="I28" s="24"/>
      <c r="J28" s="3"/>
      <c r="K28" s="28"/>
    </row>
    <row r="29" spans="1:11" x14ac:dyDescent="0.25">
      <c r="C29" s="29"/>
      <c r="H29" s="29"/>
    </row>
    <row r="30" spans="1:11" ht="16.5" x14ac:dyDescent="0.3">
      <c r="B30" s="30" t="s">
        <v>28</v>
      </c>
      <c r="C30" s="76">
        <f>SUM(C11,C16,C18,C19,C22)</f>
        <v>26590</v>
      </c>
      <c r="E30" s="32"/>
      <c r="F30" s="32"/>
      <c r="G30" s="116"/>
      <c r="H30" s="116"/>
    </row>
    <row r="31" spans="1:11" ht="16.5" x14ac:dyDescent="0.3">
      <c r="B31" s="33" t="s">
        <v>29</v>
      </c>
      <c r="C31" s="77">
        <f>SUM(C12,C14,C20,C21)</f>
        <v>19135</v>
      </c>
      <c r="E31" s="35"/>
      <c r="F31" s="35"/>
      <c r="G31" s="36" t="s">
        <v>30</v>
      </c>
      <c r="H31" s="37"/>
    </row>
    <row r="32" spans="1:11" ht="24" x14ac:dyDescent="0.4">
      <c r="B32" s="38" t="s">
        <v>703</v>
      </c>
      <c r="C32" s="78">
        <f>SUM(C13,C15)</f>
        <v>116500</v>
      </c>
      <c r="E32" s="40" t="s">
        <v>32</v>
      </c>
      <c r="F32" s="41"/>
      <c r="G32" s="42"/>
      <c r="H32" s="43"/>
      <c r="I32" s="42"/>
      <c r="J32" s="44"/>
    </row>
    <row r="33" spans="2:10" ht="24" x14ac:dyDescent="0.4">
      <c r="B33" s="38" t="s">
        <v>1106</v>
      </c>
      <c r="C33" s="78">
        <f>SUM(C17)</f>
        <v>2850</v>
      </c>
      <c r="E33" s="107"/>
      <c r="F33" s="41"/>
      <c r="G33" s="42"/>
      <c r="H33" s="43"/>
      <c r="I33" s="42"/>
      <c r="J33" s="44"/>
    </row>
    <row r="34" spans="2:10" ht="18.75" x14ac:dyDescent="0.3">
      <c r="B34" s="45" t="s">
        <v>16</v>
      </c>
      <c r="C34" s="79">
        <f>SUM(C30:C33)</f>
        <v>165075</v>
      </c>
      <c r="G34" s="36"/>
      <c r="H34" s="37"/>
      <c r="I34" s="36"/>
      <c r="J34" s="36"/>
    </row>
  </sheetData>
  <mergeCells count="6">
    <mergeCell ref="G30:H30"/>
    <mergeCell ref="A1:K1"/>
    <mergeCell ref="A2:K2"/>
    <mergeCell ref="A3:K3"/>
    <mergeCell ref="A10:K10"/>
    <mergeCell ref="A24:K24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32966-7D30-405F-A9A4-5195E6BF74B4}">
  <sheetPr>
    <pageSetUpPr fitToPage="1"/>
  </sheetPr>
  <dimension ref="A1:K27"/>
  <sheetViews>
    <sheetView topLeftCell="A7" workbookViewId="0">
      <selection activeCell="I28" sqref="I28"/>
    </sheetView>
  </sheetViews>
  <sheetFormatPr defaultRowHeight="15" x14ac:dyDescent="0.25"/>
  <cols>
    <col min="1" max="1" width="4.42578125" bestFit="1" customWidth="1"/>
    <col min="2" max="2" width="22.28515625" customWidth="1"/>
    <col min="3" max="3" width="12.7109375" bestFit="1" customWidth="1"/>
    <col min="4" max="4" width="13.85546875" bestFit="1" customWidth="1"/>
    <col min="5" max="5" width="11.42578125" bestFit="1" customWidth="1"/>
    <col min="6" max="6" width="9.42578125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6.28515625" customWidth="1"/>
  </cols>
  <sheetData>
    <row r="1" spans="1:11" ht="24.75" x14ac:dyDescent="0.25">
      <c r="A1" s="117" t="s">
        <v>829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1107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46254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46253</v>
      </c>
      <c r="K5" s="8"/>
    </row>
    <row r="6" spans="1:11" ht="15.75" x14ac:dyDescent="0.25">
      <c r="A6" s="3">
        <v>2</v>
      </c>
      <c r="B6" s="3" t="s">
        <v>547</v>
      </c>
      <c r="C6" s="80">
        <v>49500</v>
      </c>
      <c r="D6" s="5">
        <v>46254</v>
      </c>
      <c r="E6" s="6">
        <v>0</v>
      </c>
      <c r="F6" s="3" t="s">
        <v>14</v>
      </c>
      <c r="G6" s="49">
        <v>8622</v>
      </c>
      <c r="H6" s="7">
        <v>0</v>
      </c>
      <c r="I6" s="3" t="s">
        <v>15</v>
      </c>
      <c r="J6" s="5">
        <f>+D6-1</f>
        <v>46253</v>
      </c>
      <c r="K6" s="8" t="s">
        <v>1115</v>
      </c>
    </row>
    <row r="7" spans="1:11" ht="18.75" x14ac:dyDescent="0.3">
      <c r="A7" s="9"/>
      <c r="B7" s="10" t="s">
        <v>16</v>
      </c>
      <c r="C7" s="81">
        <f>SUM(C5:C6)</f>
        <v>49500</v>
      </c>
      <c r="D7" s="3"/>
      <c r="E7" s="12"/>
      <c r="F7" s="9"/>
      <c r="G7" s="13"/>
      <c r="H7" s="11">
        <f>SUM(H5:H5)</f>
        <v>0</v>
      </c>
      <c r="I7" s="9"/>
      <c r="J7" s="9"/>
      <c r="K7" s="9"/>
    </row>
    <row r="9" spans="1:11" ht="24" x14ac:dyDescent="0.4">
      <c r="A9" s="122" t="s">
        <v>17</v>
      </c>
      <c r="B9" s="123"/>
      <c r="C9" s="123"/>
      <c r="D9" s="123"/>
      <c r="E9" s="123"/>
      <c r="F9" s="123"/>
      <c r="G9" s="123"/>
      <c r="H9" s="123"/>
      <c r="I9" s="123"/>
      <c r="J9" s="123"/>
      <c r="K9" s="124"/>
    </row>
    <row r="10" spans="1:11" ht="15.75" x14ac:dyDescent="0.25">
      <c r="A10" s="3">
        <v>1</v>
      </c>
      <c r="B10" s="3" t="s">
        <v>1108</v>
      </c>
      <c r="C10" s="80">
        <v>1000</v>
      </c>
      <c r="D10" s="5">
        <v>46254</v>
      </c>
      <c r="E10" s="14">
        <v>0</v>
      </c>
      <c r="F10" s="13" t="s">
        <v>18</v>
      </c>
      <c r="G10" s="55">
        <v>8337</v>
      </c>
      <c r="H10" s="16">
        <v>0</v>
      </c>
      <c r="I10" s="3" t="s">
        <v>19</v>
      </c>
      <c r="J10" s="5">
        <f t="shared" ref="J10:J15" si="0">+D10+1</f>
        <v>46255</v>
      </c>
      <c r="K10" s="13" t="s">
        <v>1116</v>
      </c>
    </row>
    <row r="11" spans="1:11" ht="15.75" x14ac:dyDescent="0.25">
      <c r="A11" s="3">
        <v>2</v>
      </c>
      <c r="B11" s="3" t="s">
        <v>1109</v>
      </c>
      <c r="C11" s="80">
        <v>1000</v>
      </c>
      <c r="D11" s="5">
        <f t="shared" ref="D11:D15" si="1">+D10</f>
        <v>46254</v>
      </c>
      <c r="E11" s="14">
        <v>0</v>
      </c>
      <c r="F11" s="13" t="s">
        <v>18</v>
      </c>
      <c r="G11" s="55">
        <v>4981</v>
      </c>
      <c r="H11" s="16">
        <v>0</v>
      </c>
      <c r="I11" s="3" t="s">
        <v>15</v>
      </c>
      <c r="J11" s="5">
        <f t="shared" si="0"/>
        <v>46255</v>
      </c>
      <c r="K11" s="13" t="s">
        <v>745</v>
      </c>
    </row>
    <row r="12" spans="1:11" ht="15.75" x14ac:dyDescent="0.25">
      <c r="A12" s="3">
        <v>3</v>
      </c>
      <c r="B12" s="3" t="s">
        <v>871</v>
      </c>
      <c r="C12" s="80">
        <v>270</v>
      </c>
      <c r="D12" s="5">
        <f t="shared" si="1"/>
        <v>46254</v>
      </c>
      <c r="E12" s="14">
        <v>0</v>
      </c>
      <c r="F12" s="13" t="s">
        <v>18</v>
      </c>
      <c r="G12" s="55">
        <v>6269</v>
      </c>
      <c r="H12" s="16">
        <v>0</v>
      </c>
      <c r="I12" s="3" t="s">
        <v>15</v>
      </c>
      <c r="J12" s="5">
        <f t="shared" si="0"/>
        <v>46255</v>
      </c>
      <c r="K12" s="13" t="s">
        <v>203</v>
      </c>
    </row>
    <row r="13" spans="1:11" ht="15.75" x14ac:dyDescent="0.25">
      <c r="A13" s="3">
        <v>4</v>
      </c>
      <c r="B13" s="3" t="s">
        <v>1110</v>
      </c>
      <c r="C13" s="80">
        <v>1420</v>
      </c>
      <c r="D13" s="5">
        <f t="shared" si="1"/>
        <v>46254</v>
      </c>
      <c r="E13" s="14">
        <v>0</v>
      </c>
      <c r="F13" s="13" t="s">
        <v>18</v>
      </c>
      <c r="G13" s="55">
        <v>4924</v>
      </c>
      <c r="H13" s="16">
        <v>0</v>
      </c>
      <c r="I13" s="3" t="s">
        <v>15</v>
      </c>
      <c r="J13" s="5">
        <f t="shared" si="0"/>
        <v>46255</v>
      </c>
      <c r="K13" s="13" t="s">
        <v>115</v>
      </c>
    </row>
    <row r="14" spans="1:11" ht="15.75" x14ac:dyDescent="0.25">
      <c r="A14" s="3">
        <v>5</v>
      </c>
      <c r="B14" s="3" t="s">
        <v>1111</v>
      </c>
      <c r="C14" s="80">
        <v>1070</v>
      </c>
      <c r="D14" s="5">
        <f t="shared" si="1"/>
        <v>46254</v>
      </c>
      <c r="E14" s="14">
        <v>0</v>
      </c>
      <c r="F14" s="13" t="s">
        <v>18</v>
      </c>
      <c r="G14" s="55">
        <v>9733</v>
      </c>
      <c r="H14" s="16">
        <v>0</v>
      </c>
      <c r="I14" s="3" t="s">
        <v>15</v>
      </c>
      <c r="J14" s="5">
        <f t="shared" si="0"/>
        <v>46255</v>
      </c>
      <c r="K14" s="13" t="s">
        <v>115</v>
      </c>
    </row>
    <row r="15" spans="1:11" ht="15.75" x14ac:dyDescent="0.25">
      <c r="A15" s="3">
        <v>6</v>
      </c>
      <c r="B15" s="3" t="s">
        <v>1046</v>
      </c>
      <c r="C15" s="80">
        <v>2700</v>
      </c>
      <c r="D15" s="5">
        <f t="shared" si="1"/>
        <v>46254</v>
      </c>
      <c r="E15" s="14">
        <v>0</v>
      </c>
      <c r="F15" s="13" t="s">
        <v>18</v>
      </c>
      <c r="G15" s="55">
        <v>5182</v>
      </c>
      <c r="H15" s="16">
        <v>0</v>
      </c>
      <c r="I15" s="3" t="s">
        <v>15</v>
      </c>
      <c r="J15" s="5">
        <f t="shared" si="0"/>
        <v>46255</v>
      </c>
      <c r="K15" s="13" t="s">
        <v>187</v>
      </c>
    </row>
    <row r="16" spans="1:11" ht="18.75" x14ac:dyDescent="0.3">
      <c r="A16" s="3"/>
      <c r="B16" s="17" t="s">
        <v>16</v>
      </c>
      <c r="C16" s="82">
        <f>SUM(C10:C15)</f>
        <v>7460</v>
      </c>
      <c r="D16" s="3"/>
      <c r="E16" s="3"/>
      <c r="F16" s="13"/>
      <c r="G16" s="13"/>
      <c r="H16" s="11"/>
      <c r="I16" s="3"/>
      <c r="J16" s="3"/>
      <c r="K16" s="3"/>
    </row>
    <row r="17" spans="1:11" ht="24.75" x14ac:dyDescent="0.5">
      <c r="A17" s="125" t="s">
        <v>20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7"/>
    </row>
    <row r="18" spans="1:11" ht="18.75" x14ac:dyDescent="0.3">
      <c r="A18" s="19" t="s">
        <v>3</v>
      </c>
      <c r="B18" s="19" t="s">
        <v>21</v>
      </c>
      <c r="C18" s="50" t="s">
        <v>5</v>
      </c>
      <c r="D18" s="1" t="s">
        <v>22</v>
      </c>
      <c r="E18" s="19" t="s">
        <v>7</v>
      </c>
      <c r="F18" s="19" t="s">
        <v>8</v>
      </c>
      <c r="G18" s="19" t="s">
        <v>23</v>
      </c>
      <c r="H18" s="20" t="s">
        <v>24</v>
      </c>
      <c r="I18" s="19" t="s">
        <v>11</v>
      </c>
      <c r="J18" s="19" t="s">
        <v>25</v>
      </c>
      <c r="K18" s="21" t="s">
        <v>26</v>
      </c>
    </row>
    <row r="19" spans="1:11" ht="15.75" x14ac:dyDescent="0.25">
      <c r="A19" s="8">
        <v>1</v>
      </c>
      <c r="B19" s="8" t="s">
        <v>340</v>
      </c>
      <c r="C19" s="75">
        <v>17000</v>
      </c>
      <c r="D19" s="5">
        <v>46254</v>
      </c>
      <c r="E19" s="8"/>
      <c r="F19" s="8"/>
      <c r="G19" s="22">
        <v>5265</v>
      </c>
      <c r="H19" s="23"/>
      <c r="I19" s="24"/>
      <c r="J19" s="5">
        <v>46254</v>
      </c>
      <c r="K19" s="13" t="s">
        <v>1113</v>
      </c>
    </row>
    <row r="20" spans="1:11" ht="15.75" x14ac:dyDescent="0.25">
      <c r="A20" s="8">
        <v>2</v>
      </c>
      <c r="B20" s="8" t="s">
        <v>1112</v>
      </c>
      <c r="C20" s="75">
        <v>540</v>
      </c>
      <c r="D20" s="5">
        <v>46254</v>
      </c>
      <c r="E20" s="8"/>
      <c r="F20" s="8"/>
      <c r="G20" s="22">
        <v>8</v>
      </c>
      <c r="H20" s="23"/>
      <c r="I20" s="24"/>
      <c r="J20" s="5">
        <v>46254</v>
      </c>
      <c r="K20" s="13" t="s">
        <v>1114</v>
      </c>
    </row>
    <row r="21" spans="1:11" ht="15.75" x14ac:dyDescent="0.25">
      <c r="A21" s="8">
        <v>3</v>
      </c>
      <c r="B21" s="8" t="s">
        <v>340</v>
      </c>
      <c r="C21" s="75">
        <v>34000</v>
      </c>
      <c r="D21" s="5">
        <v>46254</v>
      </c>
      <c r="E21" s="8"/>
      <c r="F21" s="8"/>
      <c r="G21" s="22">
        <v>4788</v>
      </c>
      <c r="H21" s="23"/>
      <c r="I21" s="24"/>
      <c r="J21" s="5">
        <v>46254</v>
      </c>
      <c r="K21" s="13" t="s">
        <v>1113</v>
      </c>
    </row>
    <row r="22" spans="1:11" ht="18.75" x14ac:dyDescent="0.25">
      <c r="A22" s="8"/>
      <c r="B22" s="25" t="s">
        <v>27</v>
      </c>
      <c r="C22" s="83">
        <f>SUM(C19:C21)</f>
        <v>51540</v>
      </c>
      <c r="D22" s="3"/>
      <c r="E22" s="8"/>
      <c r="F22" s="8"/>
      <c r="G22" s="8"/>
      <c r="H22" s="27">
        <v>0</v>
      </c>
      <c r="I22" s="24"/>
      <c r="J22" s="3"/>
      <c r="K22" s="28"/>
    </row>
    <row r="23" spans="1:11" x14ac:dyDescent="0.25">
      <c r="C23" s="29"/>
      <c r="H23" s="29"/>
    </row>
    <row r="24" spans="1:11" ht="16.5" x14ac:dyDescent="0.3">
      <c r="B24" s="30" t="s">
        <v>28</v>
      </c>
      <c r="C24" s="76">
        <f>SUM(C10,C11,C12)</f>
        <v>2270</v>
      </c>
      <c r="E24" s="32"/>
      <c r="F24" s="32"/>
      <c r="G24" s="116"/>
      <c r="H24" s="116"/>
    </row>
    <row r="25" spans="1:11" ht="16.5" x14ac:dyDescent="0.3">
      <c r="B25" s="33" t="s">
        <v>29</v>
      </c>
      <c r="C25" s="77">
        <f>SUM(C13,C14)</f>
        <v>2490</v>
      </c>
      <c r="E25" s="35"/>
      <c r="F25" s="35"/>
      <c r="G25" s="36" t="s">
        <v>30</v>
      </c>
      <c r="H25" s="37"/>
    </row>
    <row r="26" spans="1:11" ht="24" x14ac:dyDescent="0.4">
      <c r="B26" s="38" t="s">
        <v>187</v>
      </c>
      <c r="C26" s="78">
        <f>SUM(C15)</f>
        <v>2700</v>
      </c>
      <c r="E26" s="40" t="s">
        <v>32</v>
      </c>
      <c r="F26" s="41"/>
      <c r="G26" s="42"/>
      <c r="H26" s="43"/>
      <c r="I26" s="42"/>
      <c r="J26" s="44"/>
    </row>
    <row r="27" spans="1:11" ht="18.75" x14ac:dyDescent="0.3">
      <c r="B27" s="45" t="s">
        <v>16</v>
      </c>
      <c r="C27" s="79">
        <f>SUM(C24:C26)</f>
        <v>7460</v>
      </c>
      <c r="G27" s="36"/>
      <c r="H27" s="37"/>
      <c r="I27" s="36"/>
      <c r="J27" s="36"/>
    </row>
  </sheetData>
  <mergeCells count="6">
    <mergeCell ref="G24:H24"/>
    <mergeCell ref="A1:K1"/>
    <mergeCell ref="A2:K2"/>
    <mergeCell ref="A3:K3"/>
    <mergeCell ref="A9:K9"/>
    <mergeCell ref="A17:K17"/>
  </mergeCells>
  <pageMargins left="0.59055118110236227" right="0" top="0.39370078740157483" bottom="0" header="0" footer="0"/>
  <pageSetup scale="86" orientation="landscape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BCCAF-321F-4A74-816A-8C376D440330}">
  <sheetPr>
    <pageSetUpPr fitToPage="1"/>
  </sheetPr>
  <dimension ref="A1:K27"/>
  <sheetViews>
    <sheetView topLeftCell="A2" workbookViewId="0">
      <selection activeCell="J25" sqref="J25"/>
    </sheetView>
  </sheetViews>
  <sheetFormatPr defaultRowHeight="15" x14ac:dyDescent="0.25"/>
  <cols>
    <col min="1" max="1" width="4.42578125" bestFit="1" customWidth="1"/>
    <col min="2" max="2" width="22.140625" bestFit="1" customWidth="1"/>
    <col min="3" max="3" width="12.710937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32" customWidth="1"/>
  </cols>
  <sheetData>
    <row r="1" spans="1:11" ht="24.75" x14ac:dyDescent="0.25">
      <c r="A1" s="117" t="s">
        <v>829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1119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8.75" x14ac:dyDescent="0.3">
      <c r="A5" s="3"/>
      <c r="B5" s="111"/>
      <c r="C5" s="112"/>
      <c r="D5" s="5"/>
      <c r="E5" s="6"/>
      <c r="F5" s="3"/>
      <c r="G5" s="49"/>
      <c r="H5" s="7"/>
      <c r="I5" s="3"/>
      <c r="J5" s="5"/>
      <c r="K5" s="8"/>
    </row>
    <row r="6" spans="1:11" ht="18.75" x14ac:dyDescent="0.3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3"/>
      <c r="I6" s="9"/>
      <c r="J6" s="9"/>
      <c r="K6" s="9"/>
    </row>
    <row r="8" spans="1:11" ht="24" x14ac:dyDescent="0.4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75" x14ac:dyDescent="0.25">
      <c r="A9" s="3">
        <v>1</v>
      </c>
      <c r="B9" s="3" t="s">
        <v>1120</v>
      </c>
      <c r="C9" s="80">
        <v>928</v>
      </c>
      <c r="D9" s="5">
        <v>46255</v>
      </c>
      <c r="E9" s="14">
        <v>0</v>
      </c>
      <c r="F9" s="13" t="s">
        <v>18</v>
      </c>
      <c r="G9" s="55">
        <v>4863</v>
      </c>
      <c r="H9" s="16">
        <v>0</v>
      </c>
      <c r="I9" s="3" t="s">
        <v>15</v>
      </c>
      <c r="J9" s="5">
        <f t="shared" ref="J9:J16" si="0">+D9+1</f>
        <v>46256</v>
      </c>
      <c r="K9" s="13" t="s">
        <v>102</v>
      </c>
    </row>
    <row r="10" spans="1:11" ht="15.75" x14ac:dyDescent="0.25">
      <c r="A10" s="3">
        <v>2</v>
      </c>
      <c r="B10" s="3" t="s">
        <v>1121</v>
      </c>
      <c r="C10" s="80">
        <v>1086</v>
      </c>
      <c r="D10" s="5">
        <f t="shared" ref="D10:D14" si="1">+D9</f>
        <v>46255</v>
      </c>
      <c r="E10" s="14">
        <v>0</v>
      </c>
      <c r="F10" s="13" t="s">
        <v>18</v>
      </c>
      <c r="G10" s="55">
        <v>6642</v>
      </c>
      <c r="H10" s="16">
        <v>0</v>
      </c>
      <c r="I10" s="3" t="s">
        <v>15</v>
      </c>
      <c r="J10" s="5">
        <f t="shared" si="0"/>
        <v>46256</v>
      </c>
      <c r="K10" s="13" t="s">
        <v>187</v>
      </c>
    </row>
    <row r="11" spans="1:11" ht="15.75" x14ac:dyDescent="0.25">
      <c r="A11" s="3">
        <v>3</v>
      </c>
      <c r="B11" s="3" t="s">
        <v>1122</v>
      </c>
      <c r="C11" s="80">
        <v>3855</v>
      </c>
      <c r="D11" s="5">
        <f t="shared" si="1"/>
        <v>46255</v>
      </c>
      <c r="E11" s="14">
        <v>0</v>
      </c>
      <c r="F11" s="13" t="s">
        <v>18</v>
      </c>
      <c r="G11" s="55">
        <v>8401</v>
      </c>
      <c r="H11" s="16">
        <v>0</v>
      </c>
      <c r="I11" s="3" t="s">
        <v>15</v>
      </c>
      <c r="J11" s="5">
        <f t="shared" si="0"/>
        <v>46256</v>
      </c>
      <c r="K11" s="13" t="s">
        <v>115</v>
      </c>
    </row>
    <row r="12" spans="1:11" ht="15.75" x14ac:dyDescent="0.25">
      <c r="A12" s="3">
        <v>4</v>
      </c>
      <c r="B12" s="3" t="s">
        <v>1097</v>
      </c>
      <c r="C12" s="80">
        <v>1355</v>
      </c>
      <c r="D12" s="5">
        <f t="shared" si="1"/>
        <v>46255</v>
      </c>
      <c r="E12" s="14">
        <v>0</v>
      </c>
      <c r="F12" s="13" t="s">
        <v>18</v>
      </c>
      <c r="G12" s="55">
        <v>6852</v>
      </c>
      <c r="H12" s="16">
        <v>0</v>
      </c>
      <c r="I12" s="3" t="s">
        <v>15</v>
      </c>
      <c r="J12" s="5">
        <f t="shared" si="0"/>
        <v>46256</v>
      </c>
      <c r="K12" s="13" t="s">
        <v>115</v>
      </c>
    </row>
    <row r="13" spans="1:11" ht="15.75" x14ac:dyDescent="0.25">
      <c r="A13" s="3">
        <v>5</v>
      </c>
      <c r="B13" s="3" t="s">
        <v>738</v>
      </c>
      <c r="C13" s="80">
        <v>775</v>
      </c>
      <c r="D13" s="5">
        <f t="shared" si="1"/>
        <v>46255</v>
      </c>
      <c r="E13" s="14">
        <v>0</v>
      </c>
      <c r="F13" s="13" t="s">
        <v>18</v>
      </c>
      <c r="G13" s="55">
        <v>7646</v>
      </c>
      <c r="H13" s="16">
        <v>0</v>
      </c>
      <c r="I13" s="3" t="s">
        <v>15</v>
      </c>
      <c r="J13" s="5">
        <f t="shared" si="0"/>
        <v>46256</v>
      </c>
      <c r="K13" s="13" t="s">
        <v>204</v>
      </c>
    </row>
    <row r="14" spans="1:11" ht="15.75" x14ac:dyDescent="0.25">
      <c r="A14" s="3">
        <v>6</v>
      </c>
      <c r="B14" s="3" t="s">
        <v>1108</v>
      </c>
      <c r="C14" s="80">
        <v>2000</v>
      </c>
      <c r="D14" s="5">
        <f t="shared" si="1"/>
        <v>46255</v>
      </c>
      <c r="E14" s="14">
        <v>0</v>
      </c>
      <c r="F14" s="13" t="s">
        <v>18</v>
      </c>
      <c r="G14" s="55">
        <v>6238</v>
      </c>
      <c r="H14" s="16">
        <v>0</v>
      </c>
      <c r="I14" s="3" t="s">
        <v>15</v>
      </c>
      <c r="J14" s="5">
        <f t="shared" si="0"/>
        <v>46256</v>
      </c>
      <c r="K14" s="13" t="s">
        <v>745</v>
      </c>
    </row>
    <row r="15" spans="1:11" ht="15" customHeight="1" x14ac:dyDescent="0.25">
      <c r="A15" s="3">
        <v>7</v>
      </c>
      <c r="B15" s="3" t="s">
        <v>1109</v>
      </c>
      <c r="C15" s="80">
        <v>220</v>
      </c>
      <c r="D15" s="5">
        <f>+D14</f>
        <v>46255</v>
      </c>
      <c r="E15" s="14">
        <v>0</v>
      </c>
      <c r="F15" s="13" t="s">
        <v>18</v>
      </c>
      <c r="G15" s="55">
        <v>1727</v>
      </c>
      <c r="H15" s="16">
        <v>0</v>
      </c>
      <c r="I15" s="3" t="s">
        <v>15</v>
      </c>
      <c r="J15" s="5">
        <f t="shared" si="0"/>
        <v>46256</v>
      </c>
      <c r="K15" s="13" t="s">
        <v>1124</v>
      </c>
    </row>
    <row r="16" spans="1:11" ht="15" customHeight="1" x14ac:dyDescent="0.25">
      <c r="A16" s="3">
        <v>8</v>
      </c>
      <c r="B16" s="3" t="s">
        <v>1125</v>
      </c>
      <c r="C16" s="80">
        <v>100</v>
      </c>
      <c r="D16" s="5">
        <f>+D15</f>
        <v>46255</v>
      </c>
      <c r="E16" s="14">
        <v>0</v>
      </c>
      <c r="F16" s="13" t="s">
        <v>18</v>
      </c>
      <c r="G16" s="55">
        <v>87</v>
      </c>
      <c r="H16" s="16">
        <v>0</v>
      </c>
      <c r="I16" s="3" t="s">
        <v>15</v>
      </c>
      <c r="J16" s="5">
        <f t="shared" si="0"/>
        <v>46256</v>
      </c>
      <c r="K16" s="13" t="s">
        <v>77</v>
      </c>
    </row>
    <row r="17" spans="1:11" ht="18.75" x14ac:dyDescent="0.3">
      <c r="A17" s="3"/>
      <c r="B17" s="17" t="s">
        <v>16</v>
      </c>
      <c r="C17" s="82">
        <f>SUM(C9:C16)</f>
        <v>10319</v>
      </c>
      <c r="D17" s="3"/>
      <c r="E17" s="3"/>
      <c r="F17" s="13"/>
      <c r="G17" s="13"/>
      <c r="H17" s="11"/>
      <c r="I17" s="3"/>
      <c r="J17" s="3"/>
      <c r="K17" s="3"/>
    </row>
    <row r="18" spans="1:11" ht="24.75" x14ac:dyDescent="0.5">
      <c r="A18" s="125" t="s">
        <v>20</v>
      </c>
      <c r="B18" s="126"/>
      <c r="C18" s="126"/>
      <c r="D18" s="126"/>
      <c r="E18" s="126"/>
      <c r="F18" s="126"/>
      <c r="G18" s="126"/>
      <c r="H18" s="126"/>
      <c r="I18" s="126"/>
      <c r="J18" s="126"/>
      <c r="K18" s="127"/>
    </row>
    <row r="19" spans="1:11" ht="18.75" x14ac:dyDescent="0.3">
      <c r="A19" s="19" t="s">
        <v>3</v>
      </c>
      <c r="B19" s="19" t="s">
        <v>21</v>
      </c>
      <c r="C19" s="50" t="s">
        <v>5</v>
      </c>
      <c r="D19" s="1" t="s">
        <v>22</v>
      </c>
      <c r="E19" s="19" t="s">
        <v>7</v>
      </c>
      <c r="F19" s="19" t="s">
        <v>8</v>
      </c>
      <c r="G19" s="19" t="s">
        <v>23</v>
      </c>
      <c r="H19" s="20" t="s">
        <v>24</v>
      </c>
      <c r="I19" s="19" t="s">
        <v>11</v>
      </c>
      <c r="J19" s="19" t="s">
        <v>25</v>
      </c>
      <c r="K19" s="21" t="s">
        <v>26</v>
      </c>
    </row>
    <row r="20" spans="1:11" ht="15.75" x14ac:dyDescent="0.25">
      <c r="A20" s="8">
        <v>1</v>
      </c>
      <c r="B20" s="8" t="s">
        <v>823</v>
      </c>
      <c r="C20" s="75">
        <v>34619</v>
      </c>
      <c r="D20" s="5">
        <v>46255</v>
      </c>
      <c r="E20" s="8"/>
      <c r="F20" s="8"/>
      <c r="G20" s="22">
        <v>4302</v>
      </c>
      <c r="H20" s="23"/>
      <c r="I20" s="24"/>
      <c r="J20" s="5">
        <v>46255</v>
      </c>
      <c r="K20" s="13" t="s">
        <v>115</v>
      </c>
    </row>
    <row r="21" spans="1:11" ht="18.75" x14ac:dyDescent="0.25">
      <c r="A21" s="8"/>
      <c r="B21" s="25" t="s">
        <v>27</v>
      </c>
      <c r="C21" s="83">
        <f>SUM(C20:C20)</f>
        <v>34619</v>
      </c>
      <c r="D21" s="3"/>
      <c r="E21" s="8"/>
      <c r="F21" s="8"/>
      <c r="G21" s="8"/>
      <c r="H21" s="27">
        <v>0</v>
      </c>
      <c r="I21" s="24"/>
      <c r="J21" s="3"/>
      <c r="K21" s="28"/>
    </row>
    <row r="22" spans="1:11" x14ac:dyDescent="0.25">
      <c r="C22" s="29"/>
      <c r="H22" s="29"/>
    </row>
    <row r="23" spans="1:11" ht="16.5" x14ac:dyDescent="0.3">
      <c r="B23" s="30" t="s">
        <v>28</v>
      </c>
      <c r="C23" s="76">
        <f>SUM(C9,C14,C13,C15)</f>
        <v>3923</v>
      </c>
      <c r="E23" s="32"/>
      <c r="F23" s="32"/>
      <c r="G23" s="116"/>
      <c r="H23" s="116"/>
    </row>
    <row r="24" spans="1:11" ht="16.5" x14ac:dyDescent="0.3">
      <c r="B24" s="33" t="s">
        <v>29</v>
      </c>
      <c r="C24" s="77">
        <f>SUM(C12,C11)</f>
        <v>5210</v>
      </c>
      <c r="E24" s="35"/>
      <c r="F24" s="35"/>
      <c r="G24" s="36" t="s">
        <v>30</v>
      </c>
      <c r="H24" s="37"/>
    </row>
    <row r="25" spans="1:11" ht="24" x14ac:dyDescent="0.4">
      <c r="B25" s="38" t="s">
        <v>187</v>
      </c>
      <c r="C25" s="78">
        <v>1086</v>
      </c>
      <c r="E25" s="40" t="s">
        <v>32</v>
      </c>
      <c r="F25" s="41"/>
      <c r="G25" s="42"/>
      <c r="H25" s="43"/>
      <c r="I25" s="42"/>
      <c r="J25" s="44"/>
    </row>
    <row r="26" spans="1:11" ht="24" x14ac:dyDescent="0.4">
      <c r="B26" s="38" t="s">
        <v>77</v>
      </c>
      <c r="C26" s="78">
        <v>100</v>
      </c>
      <c r="E26" s="107"/>
      <c r="F26" s="41"/>
      <c r="G26" s="42"/>
      <c r="H26" s="43"/>
      <c r="I26" s="42"/>
      <c r="J26" s="44"/>
    </row>
    <row r="27" spans="1:11" ht="18.75" x14ac:dyDescent="0.3">
      <c r="B27" s="45" t="s">
        <v>16</v>
      </c>
      <c r="C27" s="79">
        <f>SUM(C23:C26)</f>
        <v>10319</v>
      </c>
      <c r="G27" s="36"/>
      <c r="H27" s="37"/>
      <c r="I27" s="36"/>
      <c r="J27" s="36"/>
    </row>
  </sheetData>
  <mergeCells count="6">
    <mergeCell ref="G23:H23"/>
    <mergeCell ref="A1:K1"/>
    <mergeCell ref="A2:K2"/>
    <mergeCell ref="A3:K3"/>
    <mergeCell ref="A8:K8"/>
    <mergeCell ref="A18:K18"/>
  </mergeCells>
  <pageMargins left="0.59055118110236215" right="0" top="0.39370078740157483" bottom="0" header="0" footer="0"/>
  <pageSetup scale="85" orientation="landscape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6AC26-BA42-40F1-8E85-92B9C6A76CFC}">
  <sheetPr>
    <pageSetUpPr fitToPage="1"/>
  </sheetPr>
  <dimension ref="A1:K30"/>
  <sheetViews>
    <sheetView topLeftCell="B7" workbookViewId="0">
      <selection activeCell="N18" sqref="N18"/>
    </sheetView>
  </sheetViews>
  <sheetFormatPr defaultRowHeight="15" x14ac:dyDescent="0.25"/>
  <cols>
    <col min="1" max="1" width="4.42578125" bestFit="1" customWidth="1"/>
    <col min="2" max="2" width="22.140625" bestFit="1" customWidth="1"/>
    <col min="3" max="3" width="12.7109375" bestFit="1" customWidth="1"/>
    <col min="4" max="4" width="13.85546875" bestFit="1" customWidth="1"/>
    <col min="5" max="5" width="9.42578125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30.85546875" customWidth="1"/>
  </cols>
  <sheetData>
    <row r="1" spans="1:11" ht="24.75" x14ac:dyDescent="0.25">
      <c r="A1" s="117" t="s">
        <v>829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1126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786</v>
      </c>
      <c r="C5" s="80">
        <v>98.7</v>
      </c>
      <c r="D5" s="5">
        <v>46256</v>
      </c>
      <c r="E5" s="6">
        <v>0</v>
      </c>
      <c r="F5" s="3" t="s">
        <v>14</v>
      </c>
      <c r="G5" s="49">
        <v>0</v>
      </c>
      <c r="H5" s="110">
        <v>1.3</v>
      </c>
      <c r="I5" s="3" t="s">
        <v>15</v>
      </c>
      <c r="J5" s="5">
        <f>+D5-1</f>
        <v>46255</v>
      </c>
      <c r="K5" s="8" t="s">
        <v>1137</v>
      </c>
    </row>
    <row r="6" spans="1:11" ht="15.75" x14ac:dyDescent="0.25">
      <c r="A6" s="3">
        <v>2</v>
      </c>
      <c r="B6" s="3" t="s">
        <v>129</v>
      </c>
      <c r="C6" s="80">
        <v>3000</v>
      </c>
      <c r="D6" s="5">
        <v>46256</v>
      </c>
      <c r="E6" s="6">
        <v>0</v>
      </c>
      <c r="F6" s="3" t="s">
        <v>14</v>
      </c>
      <c r="G6" s="49">
        <v>8627</v>
      </c>
      <c r="H6" s="110"/>
      <c r="I6" s="3" t="s">
        <v>15</v>
      </c>
      <c r="J6" s="5">
        <f>+D6-1</f>
        <v>46255</v>
      </c>
      <c r="K6" s="8" t="s">
        <v>1135</v>
      </c>
    </row>
    <row r="7" spans="1:11" ht="17.25" x14ac:dyDescent="0.3">
      <c r="A7" s="3"/>
      <c r="B7" s="114" t="s">
        <v>1123</v>
      </c>
      <c r="C7" s="112">
        <v>1.3</v>
      </c>
      <c r="D7" s="5"/>
      <c r="E7" s="6"/>
      <c r="F7" s="3"/>
      <c r="G7" s="49"/>
      <c r="H7" s="110"/>
      <c r="I7" s="3"/>
      <c r="J7" s="5"/>
      <c r="K7" s="8"/>
    </row>
    <row r="8" spans="1:11" ht="18.75" x14ac:dyDescent="0.3">
      <c r="A8" s="9"/>
      <c r="B8" s="115" t="s">
        <v>16</v>
      </c>
      <c r="C8" s="81">
        <f>SUM(C5:C7)</f>
        <v>3100</v>
      </c>
      <c r="D8" s="3"/>
      <c r="E8" s="12"/>
      <c r="F8" s="9"/>
      <c r="G8" s="13"/>
      <c r="H8" s="113">
        <f>SUM(H5:H5)</f>
        <v>1.3</v>
      </c>
      <c r="I8" s="9"/>
      <c r="J8" s="9"/>
      <c r="K8" s="9"/>
    </row>
    <row r="10" spans="1:11" ht="24" x14ac:dyDescent="0.4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75" x14ac:dyDescent="0.25">
      <c r="A11" s="3">
        <v>1</v>
      </c>
      <c r="B11" s="3" t="s">
        <v>1127</v>
      </c>
      <c r="C11" s="80">
        <v>725</v>
      </c>
      <c r="D11" s="5">
        <v>46256</v>
      </c>
      <c r="E11" s="14">
        <v>0</v>
      </c>
      <c r="F11" s="13" t="s">
        <v>18</v>
      </c>
      <c r="G11" s="55">
        <v>8130</v>
      </c>
      <c r="H11" s="16">
        <v>0</v>
      </c>
      <c r="I11" s="3" t="s">
        <v>19</v>
      </c>
      <c r="J11" s="5">
        <f t="shared" ref="J11:J19" si="0">+D11+1</f>
        <v>46257</v>
      </c>
      <c r="K11" s="13" t="s">
        <v>115</v>
      </c>
    </row>
    <row r="12" spans="1:11" ht="15.75" x14ac:dyDescent="0.25">
      <c r="A12" s="3">
        <v>2</v>
      </c>
      <c r="B12" s="3" t="s">
        <v>774</v>
      </c>
      <c r="C12" s="80">
        <v>4760</v>
      </c>
      <c r="D12" s="5">
        <f t="shared" ref="D12:D19" si="1">+D11</f>
        <v>46256</v>
      </c>
      <c r="E12" s="14">
        <v>0</v>
      </c>
      <c r="F12" s="13" t="s">
        <v>18</v>
      </c>
      <c r="G12" s="55">
        <v>3687</v>
      </c>
      <c r="H12" s="16">
        <v>0</v>
      </c>
      <c r="I12" s="3" t="s">
        <v>15</v>
      </c>
      <c r="J12" s="5">
        <f t="shared" si="0"/>
        <v>46257</v>
      </c>
      <c r="K12" s="13" t="s">
        <v>115</v>
      </c>
    </row>
    <row r="13" spans="1:11" ht="15.75" x14ac:dyDescent="0.25">
      <c r="A13" s="3">
        <v>3</v>
      </c>
      <c r="B13" s="3" t="s">
        <v>1128</v>
      </c>
      <c r="C13" s="80">
        <v>670</v>
      </c>
      <c r="D13" s="5">
        <f t="shared" si="1"/>
        <v>46256</v>
      </c>
      <c r="E13" s="14">
        <v>0</v>
      </c>
      <c r="F13" s="13" t="s">
        <v>18</v>
      </c>
      <c r="G13" s="55">
        <v>5569</v>
      </c>
      <c r="H13" s="16">
        <v>0</v>
      </c>
      <c r="I13" s="3" t="s">
        <v>15</v>
      </c>
      <c r="J13" s="5">
        <f t="shared" si="0"/>
        <v>46257</v>
      </c>
      <c r="K13" s="13" t="s">
        <v>115</v>
      </c>
    </row>
    <row r="14" spans="1:11" ht="15.75" x14ac:dyDescent="0.25">
      <c r="A14" s="3">
        <v>4</v>
      </c>
      <c r="B14" s="3" t="s">
        <v>1129</v>
      </c>
      <c r="C14" s="80">
        <v>1015</v>
      </c>
      <c r="D14" s="5">
        <f t="shared" si="1"/>
        <v>46256</v>
      </c>
      <c r="E14" s="14">
        <v>0</v>
      </c>
      <c r="F14" s="13" t="s">
        <v>18</v>
      </c>
      <c r="G14" s="55">
        <v>9273</v>
      </c>
      <c r="H14" s="16">
        <v>0</v>
      </c>
      <c r="I14" s="3" t="s">
        <v>15</v>
      </c>
      <c r="J14" s="5">
        <f t="shared" si="0"/>
        <v>46257</v>
      </c>
      <c r="K14" s="13" t="s">
        <v>115</v>
      </c>
    </row>
    <row r="15" spans="1:11" ht="15.75" x14ac:dyDescent="0.25">
      <c r="A15" s="3">
        <v>5</v>
      </c>
      <c r="B15" s="3" t="s">
        <v>1130</v>
      </c>
      <c r="C15" s="80">
        <v>2000</v>
      </c>
      <c r="D15" s="5">
        <f t="shared" si="1"/>
        <v>46256</v>
      </c>
      <c r="E15" s="14">
        <v>0</v>
      </c>
      <c r="F15" s="13" t="s">
        <v>18</v>
      </c>
      <c r="G15" s="55">
        <v>458</v>
      </c>
      <c r="H15" s="16">
        <v>0</v>
      </c>
      <c r="I15" s="3" t="s">
        <v>15</v>
      </c>
      <c r="J15" s="5">
        <f t="shared" si="0"/>
        <v>46257</v>
      </c>
      <c r="K15" s="13" t="s">
        <v>204</v>
      </c>
    </row>
    <row r="16" spans="1:11" ht="15.75" x14ac:dyDescent="0.25">
      <c r="A16" s="3">
        <v>6</v>
      </c>
      <c r="B16" s="3" t="s">
        <v>1131</v>
      </c>
      <c r="C16" s="80">
        <v>2265</v>
      </c>
      <c r="D16" s="5">
        <f t="shared" si="1"/>
        <v>46256</v>
      </c>
      <c r="E16" s="14">
        <v>0</v>
      </c>
      <c r="F16" s="13" t="s">
        <v>18</v>
      </c>
      <c r="G16" s="55">
        <v>7488</v>
      </c>
      <c r="H16" s="16">
        <v>0</v>
      </c>
      <c r="I16" s="3" t="s">
        <v>15</v>
      </c>
      <c r="J16" s="5">
        <f t="shared" si="0"/>
        <v>46257</v>
      </c>
      <c r="K16" s="13" t="s">
        <v>115</v>
      </c>
    </row>
    <row r="17" spans="1:11" ht="15.75" x14ac:dyDescent="0.25">
      <c r="A17" s="3">
        <v>7</v>
      </c>
      <c r="B17" s="3" t="s">
        <v>1132</v>
      </c>
      <c r="C17" s="80">
        <v>2000</v>
      </c>
      <c r="D17" s="5">
        <f t="shared" si="1"/>
        <v>46256</v>
      </c>
      <c r="E17" s="14">
        <v>0</v>
      </c>
      <c r="F17" s="13" t="s">
        <v>18</v>
      </c>
      <c r="G17" s="55">
        <v>9345</v>
      </c>
      <c r="H17" s="16">
        <v>0</v>
      </c>
      <c r="I17" s="3" t="s">
        <v>15</v>
      </c>
      <c r="J17" s="5">
        <f t="shared" si="0"/>
        <v>46257</v>
      </c>
      <c r="K17" s="13" t="s">
        <v>204</v>
      </c>
    </row>
    <row r="18" spans="1:11" ht="15.75" x14ac:dyDescent="0.25">
      <c r="A18" s="3">
        <v>8</v>
      </c>
      <c r="B18" s="3" t="s">
        <v>1133</v>
      </c>
      <c r="C18" s="80">
        <v>1270</v>
      </c>
      <c r="D18" s="5">
        <f t="shared" si="1"/>
        <v>46256</v>
      </c>
      <c r="E18" s="14">
        <v>0</v>
      </c>
      <c r="F18" s="13" t="s">
        <v>18</v>
      </c>
      <c r="G18" s="55">
        <v>747</v>
      </c>
      <c r="H18" s="16">
        <v>0</v>
      </c>
      <c r="I18" s="3" t="s">
        <v>15</v>
      </c>
      <c r="J18" s="5">
        <f t="shared" si="0"/>
        <v>46257</v>
      </c>
      <c r="K18" s="13" t="s">
        <v>115</v>
      </c>
    </row>
    <row r="19" spans="1:11" ht="15.75" x14ac:dyDescent="0.25">
      <c r="A19" s="3">
        <v>9</v>
      </c>
      <c r="B19" s="3" t="s">
        <v>1134</v>
      </c>
      <c r="C19" s="80">
        <v>3250</v>
      </c>
      <c r="D19" s="5">
        <f t="shared" si="1"/>
        <v>46256</v>
      </c>
      <c r="E19" s="14">
        <v>0</v>
      </c>
      <c r="F19" s="13" t="s">
        <v>18</v>
      </c>
      <c r="G19" s="55">
        <v>6760</v>
      </c>
      <c r="H19" s="16">
        <v>0</v>
      </c>
      <c r="I19" s="3" t="s">
        <v>15</v>
      </c>
      <c r="J19" s="5">
        <f t="shared" si="0"/>
        <v>46257</v>
      </c>
      <c r="K19" s="13" t="s">
        <v>1136</v>
      </c>
    </row>
    <row r="20" spans="1:11" ht="18.75" x14ac:dyDescent="0.3">
      <c r="A20" s="3"/>
      <c r="B20" s="17" t="s">
        <v>16</v>
      </c>
      <c r="C20" s="82">
        <f>SUM(C11:C19)</f>
        <v>17955</v>
      </c>
      <c r="D20" s="3"/>
      <c r="E20" s="3"/>
      <c r="F20" s="13"/>
      <c r="G20" s="13"/>
      <c r="H20" s="11"/>
      <c r="I20" s="3"/>
      <c r="J20" s="3"/>
      <c r="K20" s="3"/>
    </row>
    <row r="21" spans="1:11" ht="24.75" x14ac:dyDescent="0.5">
      <c r="A21" s="125" t="s">
        <v>20</v>
      </c>
      <c r="B21" s="126"/>
      <c r="C21" s="126"/>
      <c r="D21" s="126"/>
      <c r="E21" s="126"/>
      <c r="F21" s="126"/>
      <c r="G21" s="126"/>
      <c r="H21" s="126"/>
      <c r="I21" s="126"/>
      <c r="J21" s="126"/>
      <c r="K21" s="127"/>
    </row>
    <row r="22" spans="1:11" ht="18.75" x14ac:dyDescent="0.3">
      <c r="A22" s="19" t="s">
        <v>3</v>
      </c>
      <c r="B22" s="19" t="s">
        <v>21</v>
      </c>
      <c r="C22" s="50" t="s">
        <v>5</v>
      </c>
      <c r="D22" s="1" t="s">
        <v>22</v>
      </c>
      <c r="E22" s="19" t="s">
        <v>7</v>
      </c>
      <c r="F22" s="19" t="s">
        <v>8</v>
      </c>
      <c r="G22" s="19" t="s">
        <v>23</v>
      </c>
      <c r="H22" s="20" t="s">
        <v>24</v>
      </c>
      <c r="I22" s="19" t="s">
        <v>11</v>
      </c>
      <c r="J22" s="19" t="s">
        <v>25</v>
      </c>
      <c r="K22" s="21" t="s">
        <v>26</v>
      </c>
    </row>
    <row r="23" spans="1:11" ht="15.75" x14ac:dyDescent="0.25">
      <c r="A23" s="8">
        <v>1</v>
      </c>
      <c r="B23" s="8" t="s">
        <v>412</v>
      </c>
      <c r="C23" s="75">
        <v>1000</v>
      </c>
      <c r="D23" s="5">
        <v>46256</v>
      </c>
      <c r="E23" s="8"/>
      <c r="F23" s="8"/>
      <c r="G23" s="22">
        <v>6673</v>
      </c>
      <c r="H23" s="23"/>
      <c r="I23" s="24"/>
      <c r="J23" s="5">
        <v>46256</v>
      </c>
      <c r="K23" s="13" t="s">
        <v>1139</v>
      </c>
    </row>
    <row r="24" spans="1:11" ht="15.75" x14ac:dyDescent="0.25">
      <c r="A24" s="8">
        <v>2</v>
      </c>
      <c r="B24" s="8" t="s">
        <v>245</v>
      </c>
      <c r="C24" s="75">
        <v>22000</v>
      </c>
      <c r="D24" s="5">
        <v>46256</v>
      </c>
      <c r="E24" s="8"/>
      <c r="F24" s="8"/>
      <c r="G24" s="22">
        <v>7156</v>
      </c>
      <c r="H24" s="23"/>
      <c r="I24" s="24"/>
      <c r="J24" s="5">
        <v>46256</v>
      </c>
      <c r="K24" s="13" t="s">
        <v>1138</v>
      </c>
    </row>
    <row r="25" spans="1:11" ht="18.75" x14ac:dyDescent="0.25">
      <c r="A25" s="8"/>
      <c r="B25" s="25" t="s">
        <v>27</v>
      </c>
      <c r="C25" s="83">
        <f>SUM(C23:C24)</f>
        <v>23000</v>
      </c>
      <c r="D25" s="3"/>
      <c r="E25" s="8"/>
      <c r="F25" s="8"/>
      <c r="G25" s="8"/>
      <c r="H25" s="27">
        <v>0</v>
      </c>
      <c r="I25" s="24"/>
      <c r="J25" s="3"/>
      <c r="K25" s="28"/>
    </row>
    <row r="26" spans="1:11" x14ac:dyDescent="0.25">
      <c r="C26" s="29"/>
      <c r="H26" s="29"/>
    </row>
    <row r="27" spans="1:11" ht="16.5" x14ac:dyDescent="0.3">
      <c r="B27" s="30" t="s">
        <v>28</v>
      </c>
      <c r="C27" s="76">
        <f>SUM(C15,C17,C19)</f>
        <v>7250</v>
      </c>
      <c r="E27" s="32"/>
      <c r="F27" s="32"/>
      <c r="G27" s="116"/>
      <c r="H27" s="116"/>
    </row>
    <row r="28" spans="1:11" ht="16.5" x14ac:dyDescent="0.3">
      <c r="B28" s="33" t="s">
        <v>29</v>
      </c>
      <c r="C28" s="77">
        <f>SUM(C18,C16,C14,C13,C12,C11)</f>
        <v>10705</v>
      </c>
      <c r="E28" s="35"/>
      <c r="F28" s="35"/>
      <c r="G28" s="36" t="s">
        <v>30</v>
      </c>
      <c r="H28" s="37"/>
    </row>
    <row r="29" spans="1:11" ht="24" x14ac:dyDescent="0.4">
      <c r="B29" s="38" t="s">
        <v>31</v>
      </c>
      <c r="C29" s="78"/>
      <c r="E29" s="40" t="s">
        <v>32</v>
      </c>
      <c r="F29" s="41"/>
      <c r="G29" s="42"/>
      <c r="H29" s="43"/>
      <c r="I29" s="42"/>
      <c r="J29" s="44"/>
    </row>
    <row r="30" spans="1:11" ht="18.75" x14ac:dyDescent="0.3">
      <c r="B30" s="45" t="s">
        <v>16</v>
      </c>
      <c r="C30" s="79">
        <f>SUM(C27:C29)</f>
        <v>17955</v>
      </c>
      <c r="G30" s="36"/>
      <c r="H30" s="37"/>
      <c r="I30" s="36"/>
      <c r="J30" s="36"/>
    </row>
  </sheetData>
  <mergeCells count="6">
    <mergeCell ref="G27:H27"/>
    <mergeCell ref="A1:K1"/>
    <mergeCell ref="A2:K2"/>
    <mergeCell ref="A3:K3"/>
    <mergeCell ref="A10:K10"/>
    <mergeCell ref="A21:K21"/>
  </mergeCells>
  <pageMargins left="0.59055118110236215" right="0" top="0.39370078740157483" bottom="0" header="0" footer="0"/>
  <pageSetup scale="86" orientation="landscape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44EB-B6E0-4E56-A328-49CE44D33894}">
  <sheetPr>
    <pageSetUpPr fitToPage="1"/>
  </sheetPr>
  <dimension ref="A1:K24"/>
  <sheetViews>
    <sheetView topLeftCell="A4" workbookViewId="0">
      <selection activeCell="A2" sqref="A2:K24"/>
    </sheetView>
  </sheetViews>
  <sheetFormatPr defaultRowHeight="15" x14ac:dyDescent="0.25"/>
  <cols>
    <col min="1" max="1" width="4.42578125" bestFit="1" customWidth="1"/>
    <col min="2" max="2" width="16.7109375" bestFit="1" customWidth="1"/>
    <col min="3" max="3" width="12.710937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30.28515625" customWidth="1"/>
  </cols>
  <sheetData>
    <row r="1" spans="1:11" ht="24.75" x14ac:dyDescent="0.25">
      <c r="A1" s="117" t="s">
        <v>829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1140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46257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46256</v>
      </c>
      <c r="K5" s="8" t="s">
        <v>33</v>
      </c>
    </row>
    <row r="6" spans="1:11" ht="18.75" x14ac:dyDescent="0.3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4" x14ac:dyDescent="0.4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75" x14ac:dyDescent="0.25">
      <c r="A9" s="3">
        <v>1</v>
      </c>
      <c r="B9" s="3" t="s">
        <v>1141</v>
      </c>
      <c r="C9" s="80">
        <v>2030</v>
      </c>
      <c r="D9" s="5">
        <v>46257</v>
      </c>
      <c r="E9" s="14">
        <v>0</v>
      </c>
      <c r="F9" s="13" t="s">
        <v>18</v>
      </c>
      <c r="G9" s="55">
        <v>2547</v>
      </c>
      <c r="H9" s="16">
        <v>0</v>
      </c>
      <c r="I9" s="3" t="s">
        <v>19</v>
      </c>
      <c r="J9" s="5">
        <f t="shared" ref="J9:J11" si="0">+D9+1</f>
        <v>46258</v>
      </c>
      <c r="K9" s="13" t="s">
        <v>204</v>
      </c>
    </row>
    <row r="10" spans="1:11" ht="15.75" x14ac:dyDescent="0.25">
      <c r="A10" s="3">
        <v>2</v>
      </c>
      <c r="B10" s="3" t="s">
        <v>1142</v>
      </c>
      <c r="C10" s="80">
        <v>645</v>
      </c>
      <c r="D10" s="5">
        <f t="shared" ref="D10:D11" si="1">+D9</f>
        <v>46257</v>
      </c>
      <c r="E10" s="14">
        <v>0</v>
      </c>
      <c r="F10" s="13" t="s">
        <v>18</v>
      </c>
      <c r="G10" s="55">
        <v>4339</v>
      </c>
      <c r="H10" s="16">
        <v>0</v>
      </c>
      <c r="I10" s="3" t="s">
        <v>15</v>
      </c>
      <c r="J10" s="5">
        <f t="shared" si="0"/>
        <v>46258</v>
      </c>
      <c r="K10" s="13" t="s">
        <v>115</v>
      </c>
    </row>
    <row r="11" spans="1:11" ht="15.75" x14ac:dyDescent="0.25">
      <c r="A11" s="3">
        <v>3</v>
      </c>
      <c r="B11" s="3" t="s">
        <v>1143</v>
      </c>
      <c r="C11" s="80">
        <v>380</v>
      </c>
      <c r="D11" s="5">
        <f t="shared" si="1"/>
        <v>46257</v>
      </c>
      <c r="E11" s="14">
        <v>0</v>
      </c>
      <c r="F11" s="13" t="s">
        <v>18</v>
      </c>
      <c r="G11" s="55">
        <v>1036</v>
      </c>
      <c r="H11" s="16">
        <v>0</v>
      </c>
      <c r="I11" s="3" t="s">
        <v>15</v>
      </c>
      <c r="J11" s="5">
        <f t="shared" si="0"/>
        <v>46258</v>
      </c>
      <c r="K11" s="13" t="s">
        <v>115</v>
      </c>
    </row>
    <row r="12" spans="1:11" ht="18.75" x14ac:dyDescent="0.3">
      <c r="A12" s="3"/>
      <c r="B12" s="17" t="s">
        <v>16</v>
      </c>
      <c r="C12" s="82">
        <f>SUM(C9:C11)</f>
        <v>3055</v>
      </c>
      <c r="D12" s="3"/>
      <c r="E12" s="3"/>
      <c r="F12" s="13"/>
      <c r="G12" s="13"/>
      <c r="H12" s="11"/>
      <c r="I12" s="3"/>
      <c r="J12" s="3"/>
      <c r="K12" s="3"/>
    </row>
    <row r="13" spans="1:11" ht="24.75" x14ac:dyDescent="0.5">
      <c r="A13" s="125" t="s">
        <v>20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7"/>
    </row>
    <row r="14" spans="1:11" ht="18.75" x14ac:dyDescent="0.3">
      <c r="A14" s="19" t="s">
        <v>3</v>
      </c>
      <c r="B14" s="19" t="s">
        <v>21</v>
      </c>
      <c r="C14" s="50" t="s">
        <v>5</v>
      </c>
      <c r="D14" s="1" t="s">
        <v>22</v>
      </c>
      <c r="E14" s="19" t="s">
        <v>7</v>
      </c>
      <c r="F14" s="19" t="s">
        <v>8</v>
      </c>
      <c r="G14" s="19" t="s">
        <v>23</v>
      </c>
      <c r="H14" s="20" t="s">
        <v>24</v>
      </c>
      <c r="I14" s="19" t="s">
        <v>11</v>
      </c>
      <c r="J14" s="19" t="s">
        <v>25</v>
      </c>
      <c r="K14" s="21" t="s">
        <v>26</v>
      </c>
    </row>
    <row r="15" spans="1:11" ht="15.75" x14ac:dyDescent="0.25">
      <c r="A15" s="8">
        <v>1</v>
      </c>
      <c r="B15" s="8" t="s">
        <v>412</v>
      </c>
      <c r="C15" s="75">
        <v>1500</v>
      </c>
      <c r="D15" s="5">
        <v>46257</v>
      </c>
      <c r="E15" s="8"/>
      <c r="F15" s="8"/>
      <c r="G15" s="22">
        <v>4348</v>
      </c>
      <c r="H15" s="23"/>
      <c r="I15" s="24"/>
      <c r="J15" s="5">
        <v>46257</v>
      </c>
      <c r="K15" s="13" t="s">
        <v>1146</v>
      </c>
    </row>
    <row r="16" spans="1:11" ht="15.75" x14ac:dyDescent="0.25">
      <c r="A16" s="8">
        <v>2</v>
      </c>
      <c r="B16" s="8" t="s">
        <v>1144</v>
      </c>
      <c r="C16" s="75">
        <v>264</v>
      </c>
      <c r="D16" s="5">
        <v>46257</v>
      </c>
      <c r="E16" s="8"/>
      <c r="F16" s="8"/>
      <c r="G16" s="22">
        <v>3745</v>
      </c>
      <c r="H16" s="23"/>
      <c r="I16" s="24"/>
      <c r="J16" s="5">
        <v>46257</v>
      </c>
      <c r="K16" s="13" t="s">
        <v>1147</v>
      </c>
    </row>
    <row r="17" spans="1:11" ht="15.75" x14ac:dyDescent="0.25">
      <c r="A17" s="8">
        <v>3</v>
      </c>
      <c r="B17" s="8" t="s">
        <v>1145</v>
      </c>
      <c r="C17" s="75">
        <v>1600</v>
      </c>
      <c r="D17" s="5">
        <v>46257</v>
      </c>
      <c r="E17" s="8"/>
      <c r="F17" s="8"/>
      <c r="G17" s="22">
        <v>8796</v>
      </c>
      <c r="H17" s="23"/>
      <c r="I17" s="24"/>
      <c r="J17" s="5">
        <v>46257</v>
      </c>
      <c r="K17" s="13" t="s">
        <v>1148</v>
      </c>
    </row>
    <row r="18" spans="1:11" ht="15.75" x14ac:dyDescent="0.25">
      <c r="A18" s="8">
        <v>4</v>
      </c>
      <c r="B18" s="8" t="s">
        <v>445</v>
      </c>
      <c r="C18" s="75">
        <v>2000</v>
      </c>
      <c r="D18" s="5">
        <v>46257</v>
      </c>
      <c r="E18" s="8"/>
      <c r="F18" s="8"/>
      <c r="G18" s="22">
        <v>2249</v>
      </c>
      <c r="H18" s="23"/>
      <c r="I18" s="24"/>
      <c r="J18" s="5">
        <v>46257</v>
      </c>
      <c r="K18" s="13" t="s">
        <v>1149</v>
      </c>
    </row>
    <row r="19" spans="1:11" ht="18.75" x14ac:dyDescent="0.25">
      <c r="A19" s="8"/>
      <c r="B19" s="25" t="s">
        <v>27</v>
      </c>
      <c r="C19" s="83">
        <f>SUM(C15:C18)</f>
        <v>5364</v>
      </c>
      <c r="D19" s="3"/>
      <c r="E19" s="8"/>
      <c r="F19" s="8"/>
      <c r="G19" s="8"/>
      <c r="H19" s="27">
        <v>0</v>
      </c>
      <c r="I19" s="24"/>
      <c r="J19" s="3"/>
      <c r="K19" s="28"/>
    </row>
    <row r="20" spans="1:11" x14ac:dyDescent="0.25">
      <c r="C20" s="29"/>
      <c r="H20" s="29"/>
    </row>
    <row r="21" spans="1:11" ht="16.5" x14ac:dyDescent="0.3">
      <c r="B21" s="30" t="s">
        <v>28</v>
      </c>
      <c r="C21" s="76">
        <f>SUM(C9)</f>
        <v>2030</v>
      </c>
      <c r="E21" s="32"/>
      <c r="F21" s="32"/>
      <c r="G21" s="116"/>
      <c r="H21" s="116"/>
    </row>
    <row r="22" spans="1:11" ht="16.5" x14ac:dyDescent="0.3">
      <c r="B22" s="33" t="s">
        <v>29</v>
      </c>
      <c r="C22" s="77">
        <f>SUM(C10,C11)</f>
        <v>1025</v>
      </c>
      <c r="E22" s="35"/>
      <c r="F22" s="35"/>
      <c r="G22" s="36" t="s">
        <v>30</v>
      </c>
      <c r="H22" s="37"/>
    </row>
    <row r="23" spans="1:11" ht="24" x14ac:dyDescent="0.4">
      <c r="B23" s="38" t="s">
        <v>31</v>
      </c>
      <c r="C23" s="78"/>
      <c r="E23" s="40" t="s">
        <v>32</v>
      </c>
      <c r="F23" s="41"/>
      <c r="G23" s="42"/>
      <c r="H23" s="43"/>
      <c r="I23" s="42"/>
      <c r="J23" s="44"/>
    </row>
    <row r="24" spans="1:11" ht="18.75" x14ac:dyDescent="0.3">
      <c r="B24" s="45" t="s">
        <v>16</v>
      </c>
      <c r="C24" s="79">
        <f>SUM(C21:C23)</f>
        <v>3055</v>
      </c>
      <c r="G24" s="36"/>
      <c r="H24" s="37"/>
      <c r="I24" s="36"/>
      <c r="J24" s="36"/>
    </row>
  </sheetData>
  <mergeCells count="6">
    <mergeCell ref="G21:H21"/>
    <mergeCell ref="A1:K1"/>
    <mergeCell ref="A2:K2"/>
    <mergeCell ref="A3:K3"/>
    <mergeCell ref="A8:K8"/>
    <mergeCell ref="A13:K13"/>
  </mergeCells>
  <pageMargins left="0.59055118110236215" right="0" top="0.39370078740157483" bottom="0" header="0" footer="0"/>
  <pageSetup scale="89" orientation="landscape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5F3AB-419C-436F-AC28-918B1FC45A6D}">
  <sheetPr>
    <pageSetUpPr fitToPage="1"/>
  </sheetPr>
  <dimension ref="A1:K26"/>
  <sheetViews>
    <sheetView workbookViewId="0">
      <selection activeCell="L14" sqref="L14"/>
    </sheetView>
  </sheetViews>
  <sheetFormatPr defaultRowHeight="15" x14ac:dyDescent="0.25"/>
  <cols>
    <col min="1" max="1" width="4.42578125" bestFit="1" customWidth="1"/>
    <col min="2" max="2" width="25.7109375" bestFit="1" customWidth="1"/>
    <col min="3" max="3" width="12.7109375" bestFit="1" customWidth="1"/>
    <col min="4" max="4" width="13.85546875" bestFit="1" customWidth="1"/>
    <col min="5" max="5" width="11.85546875" customWidth="1"/>
    <col min="6" max="6" width="6.85546875" bestFit="1" customWidth="1"/>
    <col min="7" max="7" width="12.85546875" bestFit="1" customWidth="1"/>
    <col min="8" max="8" width="10.28515625" bestFit="1" customWidth="1"/>
    <col min="9" max="9" width="10.28515625" customWidth="1"/>
    <col min="10" max="10" width="17.140625" customWidth="1"/>
    <col min="11" max="11" width="28.140625" bestFit="1" customWidth="1"/>
  </cols>
  <sheetData>
    <row r="1" spans="1:11" ht="24.75" x14ac:dyDescent="0.25">
      <c r="A1" s="117" t="s">
        <v>829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1154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46258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46257</v>
      </c>
      <c r="K5" s="8"/>
    </row>
    <row r="6" spans="1:11" ht="15.75" x14ac:dyDescent="0.25">
      <c r="A6" s="3">
        <v>2</v>
      </c>
      <c r="B6" s="3" t="s">
        <v>547</v>
      </c>
      <c r="C6" s="80">
        <v>57000</v>
      </c>
      <c r="D6" s="5">
        <v>46258</v>
      </c>
      <c r="E6" s="6">
        <v>0</v>
      </c>
      <c r="F6" s="3" t="s">
        <v>14</v>
      </c>
      <c r="G6" s="49">
        <v>8987</v>
      </c>
      <c r="H6" s="7">
        <v>0</v>
      </c>
      <c r="I6" s="3" t="s">
        <v>15</v>
      </c>
      <c r="J6" s="5">
        <f>+D6-1</f>
        <v>46257</v>
      </c>
      <c r="K6" s="8" t="s">
        <v>1153</v>
      </c>
    </row>
    <row r="7" spans="1:11" ht="15.75" x14ac:dyDescent="0.25">
      <c r="A7" s="3">
        <v>3</v>
      </c>
      <c r="B7" s="3">
        <v>9260990252</v>
      </c>
      <c r="C7" s="80">
        <v>1345</v>
      </c>
      <c r="D7" s="5">
        <v>46258</v>
      </c>
      <c r="E7" s="6">
        <v>0</v>
      </c>
      <c r="F7" s="3" t="s">
        <v>14</v>
      </c>
      <c r="G7" s="49">
        <v>7937</v>
      </c>
      <c r="H7" s="7">
        <v>0</v>
      </c>
      <c r="I7" s="3" t="s">
        <v>15</v>
      </c>
      <c r="J7" s="5">
        <f>+D7-1</f>
        <v>46257</v>
      </c>
      <c r="K7" s="8" t="s">
        <v>115</v>
      </c>
    </row>
    <row r="8" spans="1:11" ht="18.75" x14ac:dyDescent="0.3">
      <c r="A8" s="9"/>
      <c r="B8" s="10" t="s">
        <v>16</v>
      </c>
      <c r="C8" s="81">
        <f>SUM(C5:C7)</f>
        <v>58345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4" x14ac:dyDescent="0.4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75" x14ac:dyDescent="0.25">
      <c r="A11" s="3">
        <v>1</v>
      </c>
      <c r="B11" s="3" t="s">
        <v>1150</v>
      </c>
      <c r="C11" s="80">
        <v>855</v>
      </c>
      <c r="D11" s="5">
        <v>46258</v>
      </c>
      <c r="E11" s="14">
        <v>0</v>
      </c>
      <c r="F11" s="13" t="s">
        <v>18</v>
      </c>
      <c r="G11" s="55">
        <v>8424</v>
      </c>
      <c r="H11" s="16">
        <v>0</v>
      </c>
      <c r="I11" s="3" t="s">
        <v>19</v>
      </c>
      <c r="J11" s="5">
        <f t="shared" ref="J11:J15" si="0">+D11+1</f>
        <v>46259</v>
      </c>
      <c r="K11" s="13" t="s">
        <v>115</v>
      </c>
    </row>
    <row r="12" spans="1:11" ht="15.75" x14ac:dyDescent="0.25">
      <c r="A12" s="3">
        <v>2</v>
      </c>
      <c r="B12" s="3" t="s">
        <v>894</v>
      </c>
      <c r="C12" s="80">
        <v>1865</v>
      </c>
      <c r="D12" s="5">
        <f t="shared" ref="D12:D15" si="1">+D11</f>
        <v>46258</v>
      </c>
      <c r="E12" s="14">
        <v>0</v>
      </c>
      <c r="F12" s="13" t="s">
        <v>18</v>
      </c>
      <c r="G12" s="55">
        <v>9928</v>
      </c>
      <c r="H12" s="16">
        <v>0</v>
      </c>
      <c r="I12" s="3" t="s">
        <v>15</v>
      </c>
      <c r="J12" s="5">
        <f t="shared" si="0"/>
        <v>46259</v>
      </c>
      <c r="K12" s="13" t="s">
        <v>203</v>
      </c>
    </row>
    <row r="13" spans="1:11" ht="15.75" x14ac:dyDescent="0.25">
      <c r="A13" s="3">
        <v>3</v>
      </c>
      <c r="B13" s="3" t="s">
        <v>1151</v>
      </c>
      <c r="C13" s="80">
        <v>500</v>
      </c>
      <c r="D13" s="5">
        <f t="shared" si="1"/>
        <v>46258</v>
      </c>
      <c r="E13" s="14">
        <v>0</v>
      </c>
      <c r="F13" s="13" t="s">
        <v>18</v>
      </c>
      <c r="G13" s="55">
        <v>7587</v>
      </c>
      <c r="H13" s="16">
        <v>0</v>
      </c>
      <c r="I13" s="3" t="s">
        <v>15</v>
      </c>
      <c r="J13" s="5">
        <f t="shared" si="0"/>
        <v>46259</v>
      </c>
      <c r="K13" s="13" t="s">
        <v>115</v>
      </c>
    </row>
    <row r="14" spans="1:11" ht="15.75" x14ac:dyDescent="0.25">
      <c r="A14" s="3">
        <v>4</v>
      </c>
      <c r="B14" s="3" t="s">
        <v>455</v>
      </c>
      <c r="C14" s="80">
        <v>1925</v>
      </c>
      <c r="D14" s="5">
        <f t="shared" si="1"/>
        <v>46258</v>
      </c>
      <c r="E14" s="14">
        <v>0</v>
      </c>
      <c r="F14" s="13" t="s">
        <v>18</v>
      </c>
      <c r="G14" s="55">
        <v>8101</v>
      </c>
      <c r="H14" s="16">
        <v>0</v>
      </c>
      <c r="I14" s="3" t="s">
        <v>15</v>
      </c>
      <c r="J14" s="5">
        <f t="shared" si="0"/>
        <v>46259</v>
      </c>
      <c r="K14" s="13" t="s">
        <v>115</v>
      </c>
    </row>
    <row r="15" spans="1:11" ht="15.75" x14ac:dyDescent="0.25">
      <c r="A15" s="3">
        <v>5</v>
      </c>
      <c r="B15" s="3" t="s">
        <v>1152</v>
      </c>
      <c r="C15" s="80">
        <v>3410</v>
      </c>
      <c r="D15" s="5">
        <f t="shared" si="1"/>
        <v>46258</v>
      </c>
      <c r="E15" s="14">
        <v>0</v>
      </c>
      <c r="F15" s="13" t="s">
        <v>18</v>
      </c>
      <c r="G15" s="55">
        <v>6653</v>
      </c>
      <c r="H15" s="16">
        <v>0</v>
      </c>
      <c r="I15" s="3" t="s">
        <v>15</v>
      </c>
      <c r="J15" s="5">
        <f t="shared" si="0"/>
        <v>46259</v>
      </c>
      <c r="K15" s="13" t="s">
        <v>115</v>
      </c>
    </row>
    <row r="16" spans="1:11" ht="18.75" x14ac:dyDescent="0.3">
      <c r="A16" s="3"/>
      <c r="B16" s="17" t="s">
        <v>16</v>
      </c>
      <c r="C16" s="82">
        <f>SUM(C11:C15)</f>
        <v>8555</v>
      </c>
      <c r="D16" s="3"/>
      <c r="E16" s="3"/>
      <c r="F16" s="13"/>
      <c r="G16" s="13"/>
      <c r="H16" s="11"/>
      <c r="I16" s="3"/>
      <c r="J16" s="3"/>
      <c r="K16" s="3"/>
    </row>
    <row r="17" spans="1:11" ht="24.75" x14ac:dyDescent="0.5">
      <c r="A17" s="125" t="s">
        <v>20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7"/>
    </row>
    <row r="18" spans="1:11" ht="18.75" x14ac:dyDescent="0.3">
      <c r="A18" s="19" t="s">
        <v>3</v>
      </c>
      <c r="B18" s="19" t="s">
        <v>21</v>
      </c>
      <c r="C18" s="50" t="s">
        <v>5</v>
      </c>
      <c r="D18" s="1" t="s">
        <v>22</v>
      </c>
      <c r="E18" s="19" t="s">
        <v>7</v>
      </c>
      <c r="F18" s="19" t="s">
        <v>8</v>
      </c>
      <c r="G18" s="19" t="s">
        <v>23</v>
      </c>
      <c r="H18" s="20" t="s">
        <v>24</v>
      </c>
      <c r="I18" s="19" t="s">
        <v>11</v>
      </c>
      <c r="J18" s="19" t="s">
        <v>25</v>
      </c>
      <c r="K18" s="21" t="s">
        <v>26</v>
      </c>
    </row>
    <row r="19" spans="1:11" ht="15.75" x14ac:dyDescent="0.25">
      <c r="A19" s="8">
        <v>1</v>
      </c>
      <c r="B19" s="8" t="s">
        <v>1155</v>
      </c>
      <c r="C19" s="75">
        <v>2985</v>
      </c>
      <c r="D19" s="5">
        <v>46258</v>
      </c>
      <c r="E19" s="8"/>
      <c r="F19" s="8"/>
      <c r="G19" s="22">
        <v>212</v>
      </c>
      <c r="H19" s="23"/>
      <c r="I19" s="24"/>
      <c r="J19" s="5">
        <v>46258</v>
      </c>
      <c r="K19" s="13" t="s">
        <v>1156</v>
      </c>
    </row>
    <row r="20" spans="1:11" ht="17.25" customHeight="1" x14ac:dyDescent="0.25">
      <c r="A20" s="8">
        <v>2</v>
      </c>
      <c r="B20" s="8" t="s">
        <v>642</v>
      </c>
      <c r="C20" s="75">
        <v>60000</v>
      </c>
      <c r="D20" s="5">
        <v>46258</v>
      </c>
      <c r="E20" s="8"/>
      <c r="F20" s="8"/>
      <c r="G20" s="22">
        <v>9162</v>
      </c>
      <c r="H20" s="23"/>
      <c r="I20" s="24"/>
      <c r="J20" s="5">
        <v>46258</v>
      </c>
      <c r="K20" s="13" t="s">
        <v>277</v>
      </c>
    </row>
    <row r="21" spans="1:11" ht="18.75" x14ac:dyDescent="0.25">
      <c r="A21" s="8"/>
      <c r="B21" s="25" t="s">
        <v>27</v>
      </c>
      <c r="C21" s="83">
        <f>SUM(C19:C20)</f>
        <v>62985</v>
      </c>
      <c r="D21" s="3"/>
      <c r="E21" s="8"/>
      <c r="F21" s="8"/>
      <c r="G21" s="8"/>
      <c r="H21" s="27">
        <v>0</v>
      </c>
      <c r="I21" s="24"/>
      <c r="J21" s="3"/>
      <c r="K21" s="28"/>
    </row>
    <row r="22" spans="1:11" x14ac:dyDescent="0.25">
      <c r="C22" s="29"/>
      <c r="H22" s="29"/>
    </row>
    <row r="23" spans="1:11" ht="16.5" x14ac:dyDescent="0.3">
      <c r="B23" s="30" t="s">
        <v>28</v>
      </c>
      <c r="C23" s="76">
        <f>SUM(C12)</f>
        <v>1865</v>
      </c>
      <c r="E23" s="32"/>
      <c r="F23" s="32"/>
      <c r="G23" s="116"/>
      <c r="H23" s="116"/>
    </row>
    <row r="24" spans="1:11" ht="16.5" x14ac:dyDescent="0.3">
      <c r="B24" s="33" t="s">
        <v>29</v>
      </c>
      <c r="C24" s="77">
        <f>SUM(C11,C13,C14:C15)</f>
        <v>6690</v>
      </c>
      <c r="E24" s="35"/>
      <c r="F24" s="35"/>
      <c r="G24" s="36" t="s">
        <v>30</v>
      </c>
      <c r="H24" s="37"/>
    </row>
    <row r="25" spans="1:11" ht="24" x14ac:dyDescent="0.4">
      <c r="B25" s="38" t="s">
        <v>31</v>
      </c>
      <c r="C25" s="78"/>
      <c r="E25" s="40" t="s">
        <v>32</v>
      </c>
      <c r="F25" s="41"/>
      <c r="G25" s="42"/>
      <c r="H25" s="43"/>
      <c r="I25" s="42"/>
      <c r="J25" s="44"/>
    </row>
    <row r="26" spans="1:11" ht="18.75" x14ac:dyDescent="0.3">
      <c r="B26" s="45" t="s">
        <v>16</v>
      </c>
      <c r="C26" s="79">
        <f>SUM(C23:C25)</f>
        <v>8555</v>
      </c>
      <c r="G26" s="36"/>
      <c r="H26" s="37"/>
      <c r="I26" s="36"/>
      <c r="J26" s="36"/>
    </row>
  </sheetData>
  <mergeCells count="6">
    <mergeCell ref="G23:H23"/>
    <mergeCell ref="A1:K1"/>
    <mergeCell ref="A2:K2"/>
    <mergeCell ref="A3:K3"/>
    <mergeCell ref="A10:K10"/>
    <mergeCell ref="A17:K17"/>
  </mergeCells>
  <pageMargins left="0.59055118110236215" right="0" top="0.39370078740157483" bottom="0" header="0" footer="0"/>
  <pageSetup scale="84" orientation="landscape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236A7-32C4-4D0E-A790-8E03EDA1A319}">
  <dimension ref="A1:K27"/>
  <sheetViews>
    <sheetView topLeftCell="A13" workbookViewId="0">
      <selection activeCell="E10" sqref="E10"/>
    </sheetView>
  </sheetViews>
  <sheetFormatPr defaultRowHeight="15" x14ac:dyDescent="0.25"/>
  <cols>
    <col min="1" max="1" width="4.42578125" bestFit="1" customWidth="1"/>
    <col min="2" max="2" width="27.28515625" bestFit="1" customWidth="1"/>
    <col min="3" max="3" width="12.710937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3.85546875" bestFit="1" customWidth="1"/>
  </cols>
  <sheetData>
    <row r="1" spans="1:11" ht="24.75" x14ac:dyDescent="0.25">
      <c r="A1" s="117" t="s">
        <v>829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1157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46259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46258</v>
      </c>
      <c r="K5" s="8" t="s">
        <v>33</v>
      </c>
    </row>
    <row r="6" spans="1:11" ht="18.75" x14ac:dyDescent="0.3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4" x14ac:dyDescent="0.4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75" x14ac:dyDescent="0.25">
      <c r="A9" s="3">
        <v>1</v>
      </c>
      <c r="B9" s="3" t="s">
        <v>306</v>
      </c>
      <c r="C9" s="80">
        <v>135</v>
      </c>
      <c r="D9" s="5">
        <v>46259</v>
      </c>
      <c r="E9" s="14">
        <v>0</v>
      </c>
      <c r="F9" s="13" t="s">
        <v>18</v>
      </c>
      <c r="G9" s="55">
        <v>3669</v>
      </c>
      <c r="H9" s="16">
        <v>0</v>
      </c>
      <c r="I9" s="3" t="s">
        <v>19</v>
      </c>
      <c r="J9" s="5">
        <f t="shared" ref="J9:J16" si="0">+D9+1</f>
        <v>46260</v>
      </c>
      <c r="K9" s="13" t="s">
        <v>115</v>
      </c>
    </row>
    <row r="10" spans="1:11" ht="15.75" x14ac:dyDescent="0.25">
      <c r="A10" s="3">
        <v>2</v>
      </c>
      <c r="B10" s="3" t="s">
        <v>975</v>
      </c>
      <c r="C10" s="80">
        <v>520</v>
      </c>
      <c r="D10" s="5">
        <f t="shared" ref="D10:D16" si="1">+D9</f>
        <v>46259</v>
      </c>
      <c r="E10" s="14">
        <v>0</v>
      </c>
      <c r="F10" s="13" t="s">
        <v>18</v>
      </c>
      <c r="G10" s="55">
        <v>455</v>
      </c>
      <c r="H10" s="16">
        <v>0</v>
      </c>
      <c r="I10" s="3" t="s">
        <v>15</v>
      </c>
      <c r="J10" s="5">
        <f t="shared" si="0"/>
        <v>46260</v>
      </c>
      <c r="K10" s="13" t="s">
        <v>1161</v>
      </c>
    </row>
    <row r="11" spans="1:11" ht="15.75" x14ac:dyDescent="0.25">
      <c r="A11" s="3">
        <v>3</v>
      </c>
      <c r="B11" s="3" t="s">
        <v>512</v>
      </c>
      <c r="C11" s="80">
        <v>2800</v>
      </c>
      <c r="D11" s="5">
        <f t="shared" si="1"/>
        <v>46259</v>
      </c>
      <c r="E11" s="14">
        <v>0</v>
      </c>
      <c r="F11" s="13" t="s">
        <v>18</v>
      </c>
      <c r="G11" s="55">
        <v>3042</v>
      </c>
      <c r="H11" s="16">
        <v>0</v>
      </c>
      <c r="I11" s="3" t="s">
        <v>15</v>
      </c>
      <c r="J11" s="5">
        <f t="shared" si="0"/>
        <v>46260</v>
      </c>
      <c r="K11" s="13" t="s">
        <v>115</v>
      </c>
    </row>
    <row r="12" spans="1:11" ht="15.75" x14ac:dyDescent="0.25">
      <c r="A12" s="3">
        <v>4</v>
      </c>
      <c r="B12" s="3" t="s">
        <v>1158</v>
      </c>
      <c r="C12" s="80">
        <v>8840</v>
      </c>
      <c r="D12" s="5">
        <f t="shared" si="1"/>
        <v>46259</v>
      </c>
      <c r="E12" s="14">
        <v>0</v>
      </c>
      <c r="F12" s="13" t="s">
        <v>18</v>
      </c>
      <c r="G12" s="55">
        <v>4329</v>
      </c>
      <c r="H12" s="16">
        <v>0</v>
      </c>
      <c r="I12" s="3" t="s">
        <v>15</v>
      </c>
      <c r="J12" s="5">
        <f t="shared" si="0"/>
        <v>46260</v>
      </c>
      <c r="K12" s="13" t="s">
        <v>115</v>
      </c>
    </row>
    <row r="13" spans="1:11" ht="15.75" x14ac:dyDescent="0.25">
      <c r="A13" s="3">
        <v>5</v>
      </c>
      <c r="B13" s="3" t="s">
        <v>1159</v>
      </c>
      <c r="C13" s="80">
        <v>980</v>
      </c>
      <c r="D13" s="5">
        <f t="shared" si="1"/>
        <v>46259</v>
      </c>
      <c r="E13" s="14">
        <v>0</v>
      </c>
      <c r="F13" s="13" t="s">
        <v>18</v>
      </c>
      <c r="G13" s="55">
        <v>4843</v>
      </c>
      <c r="H13" s="16">
        <v>0</v>
      </c>
      <c r="I13" s="3" t="s">
        <v>15</v>
      </c>
      <c r="J13" s="5">
        <f t="shared" si="0"/>
        <v>46260</v>
      </c>
      <c r="K13" s="13" t="s">
        <v>115</v>
      </c>
    </row>
    <row r="14" spans="1:11" ht="15.75" x14ac:dyDescent="0.25">
      <c r="A14" s="3">
        <v>6</v>
      </c>
      <c r="B14" s="3" t="s">
        <v>843</v>
      </c>
      <c r="C14" s="80">
        <v>1120</v>
      </c>
      <c r="D14" s="5">
        <f t="shared" si="1"/>
        <v>46259</v>
      </c>
      <c r="E14" s="14">
        <v>0</v>
      </c>
      <c r="F14" s="13" t="s">
        <v>18</v>
      </c>
      <c r="G14" s="55">
        <v>738</v>
      </c>
      <c r="H14" s="16">
        <v>0</v>
      </c>
      <c r="I14" s="3" t="s">
        <v>15</v>
      </c>
      <c r="J14" s="5">
        <f t="shared" si="0"/>
        <v>46260</v>
      </c>
      <c r="K14" s="13" t="s">
        <v>115</v>
      </c>
    </row>
    <row r="15" spans="1:11" ht="15.75" x14ac:dyDescent="0.25">
      <c r="A15" s="3">
        <v>7</v>
      </c>
      <c r="B15" s="3" t="s">
        <v>625</v>
      </c>
      <c r="C15" s="80">
        <v>13770</v>
      </c>
      <c r="D15" s="5">
        <f t="shared" si="1"/>
        <v>46259</v>
      </c>
      <c r="E15" s="14">
        <v>0</v>
      </c>
      <c r="F15" s="13" t="s">
        <v>18</v>
      </c>
      <c r="G15" s="55">
        <v>5258</v>
      </c>
      <c r="H15" s="16">
        <v>0</v>
      </c>
      <c r="I15" s="3" t="s">
        <v>15</v>
      </c>
      <c r="J15" s="5">
        <f t="shared" si="0"/>
        <v>46260</v>
      </c>
      <c r="K15" s="13" t="s">
        <v>115</v>
      </c>
    </row>
    <row r="16" spans="1:11" ht="15.75" x14ac:dyDescent="0.25">
      <c r="A16" s="3">
        <v>8</v>
      </c>
      <c r="B16" s="3" t="s">
        <v>1160</v>
      </c>
      <c r="C16" s="80">
        <v>1470</v>
      </c>
      <c r="D16" s="5">
        <f t="shared" si="1"/>
        <v>46259</v>
      </c>
      <c r="E16" s="14">
        <v>0</v>
      </c>
      <c r="F16" s="13" t="s">
        <v>18</v>
      </c>
      <c r="G16" s="55">
        <v>6930</v>
      </c>
      <c r="H16" s="16">
        <v>0</v>
      </c>
      <c r="I16" s="3" t="s">
        <v>15</v>
      </c>
      <c r="J16" s="5">
        <f t="shared" si="0"/>
        <v>46260</v>
      </c>
      <c r="K16" s="13" t="s">
        <v>204</v>
      </c>
    </row>
    <row r="17" spans="1:11" ht="18.75" x14ac:dyDescent="0.3">
      <c r="A17" s="3"/>
      <c r="B17" s="17" t="s">
        <v>16</v>
      </c>
      <c r="C17" s="82">
        <f>SUM(C9:C16)</f>
        <v>29635</v>
      </c>
      <c r="D17" s="3"/>
      <c r="E17" s="3"/>
      <c r="F17" s="13"/>
      <c r="G17" s="13"/>
      <c r="H17" s="11"/>
      <c r="I17" s="3"/>
      <c r="J17" s="3"/>
      <c r="K17" s="3"/>
    </row>
    <row r="18" spans="1:11" ht="24.75" x14ac:dyDescent="0.5">
      <c r="A18" s="125" t="s">
        <v>20</v>
      </c>
      <c r="B18" s="126"/>
      <c r="C18" s="126"/>
      <c r="D18" s="126"/>
      <c r="E18" s="126"/>
      <c r="F18" s="126"/>
      <c r="G18" s="126"/>
      <c r="H18" s="126"/>
      <c r="I18" s="126"/>
      <c r="J18" s="126"/>
      <c r="K18" s="127"/>
    </row>
    <row r="19" spans="1:11" ht="18.75" x14ac:dyDescent="0.3">
      <c r="A19" s="19" t="s">
        <v>3</v>
      </c>
      <c r="B19" s="19" t="s">
        <v>21</v>
      </c>
      <c r="C19" s="50" t="s">
        <v>5</v>
      </c>
      <c r="D19" s="1" t="s">
        <v>22</v>
      </c>
      <c r="E19" s="19" t="s">
        <v>7</v>
      </c>
      <c r="F19" s="19" t="s">
        <v>8</v>
      </c>
      <c r="G19" s="19" t="s">
        <v>23</v>
      </c>
      <c r="H19" s="20" t="s">
        <v>24</v>
      </c>
      <c r="I19" s="19" t="s">
        <v>11</v>
      </c>
      <c r="J19" s="19" t="s">
        <v>25</v>
      </c>
      <c r="K19" s="21" t="s">
        <v>26</v>
      </c>
    </row>
    <row r="20" spans="1:11" ht="15.75" x14ac:dyDescent="0.25">
      <c r="A20" s="8">
        <v>1</v>
      </c>
      <c r="B20" s="8" t="s">
        <v>1144</v>
      </c>
      <c r="C20" s="75">
        <v>629</v>
      </c>
      <c r="D20" s="5">
        <v>46259</v>
      </c>
      <c r="E20" s="8"/>
      <c r="F20" s="8"/>
      <c r="G20" s="22">
        <v>4283</v>
      </c>
      <c r="H20" s="23"/>
      <c r="I20" s="24"/>
      <c r="J20" s="5">
        <v>46259</v>
      </c>
      <c r="K20" s="13" t="s">
        <v>1162</v>
      </c>
    </row>
    <row r="21" spans="1:11" ht="15.75" x14ac:dyDescent="0.25">
      <c r="A21" s="8">
        <v>2</v>
      </c>
      <c r="B21" s="8" t="s">
        <v>209</v>
      </c>
      <c r="C21" s="75">
        <v>1540</v>
      </c>
      <c r="D21" s="5">
        <v>46259</v>
      </c>
      <c r="E21" s="8"/>
      <c r="F21" s="8"/>
      <c r="G21" s="22">
        <v>8025</v>
      </c>
      <c r="H21" s="23"/>
      <c r="I21" s="24"/>
      <c r="J21" s="5">
        <v>46259</v>
      </c>
      <c r="K21" s="13" t="s">
        <v>1163</v>
      </c>
    </row>
    <row r="22" spans="1:11" ht="18.75" x14ac:dyDescent="0.25">
      <c r="A22" s="8"/>
      <c r="B22" s="25" t="s">
        <v>27</v>
      </c>
      <c r="C22" s="83">
        <f>SUM(C20:C21)</f>
        <v>2169</v>
      </c>
      <c r="D22" s="3"/>
      <c r="E22" s="8"/>
      <c r="F22" s="8"/>
      <c r="G22" s="8"/>
      <c r="H22" s="27">
        <v>0</v>
      </c>
      <c r="I22" s="24"/>
      <c r="J22" s="3"/>
      <c r="K22" s="28"/>
    </row>
    <row r="23" spans="1:11" x14ac:dyDescent="0.25">
      <c r="C23" s="29"/>
      <c r="H23" s="29"/>
    </row>
    <row r="24" spans="1:11" ht="16.5" x14ac:dyDescent="0.3">
      <c r="B24" s="30" t="s">
        <v>28</v>
      </c>
      <c r="C24" s="76">
        <f>SUM(C10,C16)</f>
        <v>1990</v>
      </c>
      <c r="E24" s="32"/>
      <c r="F24" s="32"/>
      <c r="G24" s="116"/>
      <c r="H24" s="116"/>
    </row>
    <row r="25" spans="1:11" ht="16.5" x14ac:dyDescent="0.3">
      <c r="B25" s="33" t="s">
        <v>29</v>
      </c>
      <c r="C25" s="77">
        <f>SUM(C9,C11,C12,C13,C14,C15)</f>
        <v>27645</v>
      </c>
      <c r="E25" s="35"/>
      <c r="F25" s="35"/>
      <c r="G25" s="36" t="s">
        <v>30</v>
      </c>
      <c r="H25" s="37"/>
    </row>
    <row r="26" spans="1:11" ht="24" x14ac:dyDescent="0.4">
      <c r="B26" s="38" t="s">
        <v>31</v>
      </c>
      <c r="C26" s="78"/>
      <c r="E26" s="40" t="s">
        <v>32</v>
      </c>
      <c r="F26" s="41"/>
      <c r="G26" s="42"/>
      <c r="H26" s="43"/>
      <c r="I26" s="42"/>
      <c r="J26" s="44"/>
    </row>
    <row r="27" spans="1:11" ht="18.75" x14ac:dyDescent="0.3">
      <c r="B27" s="45" t="s">
        <v>16</v>
      </c>
      <c r="C27" s="79">
        <f>SUM(C24:C26)</f>
        <v>29635</v>
      </c>
      <c r="G27" s="36"/>
      <c r="H27" s="37"/>
      <c r="I27" s="36"/>
      <c r="J27" s="36"/>
    </row>
  </sheetData>
  <mergeCells count="6">
    <mergeCell ref="G24:H24"/>
    <mergeCell ref="A1:K1"/>
    <mergeCell ref="A2:K2"/>
    <mergeCell ref="A3:K3"/>
    <mergeCell ref="A8:K8"/>
    <mergeCell ref="A18:K18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D2CF2-6855-40E7-85AE-FFA687FCD498}">
  <sheetPr>
    <pageSetUpPr fitToPage="1"/>
  </sheetPr>
  <dimension ref="A1:K27"/>
  <sheetViews>
    <sheetView topLeftCell="A15" workbookViewId="0">
      <selection sqref="A1:K27"/>
    </sheetView>
  </sheetViews>
  <sheetFormatPr defaultRowHeight="15" x14ac:dyDescent="0.25"/>
  <cols>
    <col min="1" max="1" width="4.42578125" bestFit="1" customWidth="1"/>
    <col min="2" max="2" width="22.5703125" bestFit="1" customWidth="1"/>
    <col min="3" max="3" width="12.710937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30.42578125" customWidth="1"/>
  </cols>
  <sheetData>
    <row r="1" spans="1:11" ht="24.75" x14ac:dyDescent="0.25">
      <c r="A1" s="117" t="s">
        <v>829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1164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46260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46259</v>
      </c>
      <c r="K5" s="8" t="s">
        <v>33</v>
      </c>
    </row>
    <row r="6" spans="1:11" ht="18.75" x14ac:dyDescent="0.3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4" x14ac:dyDescent="0.4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75" x14ac:dyDescent="0.25">
      <c r="A9" s="3">
        <v>1</v>
      </c>
      <c r="B9" s="3" t="s">
        <v>1165</v>
      </c>
      <c r="C9" s="80">
        <v>15400</v>
      </c>
      <c r="D9" s="5">
        <v>46260</v>
      </c>
      <c r="E9" s="14">
        <v>0</v>
      </c>
      <c r="F9" s="13" t="s">
        <v>18</v>
      </c>
      <c r="G9" s="55">
        <v>1985</v>
      </c>
      <c r="H9" s="16">
        <v>0</v>
      </c>
      <c r="I9" s="3" t="s">
        <v>19</v>
      </c>
      <c r="J9" s="5">
        <f t="shared" ref="J9:J16" si="0">+D9+1</f>
        <v>46261</v>
      </c>
      <c r="K9" s="13" t="s">
        <v>102</v>
      </c>
    </row>
    <row r="10" spans="1:11" ht="15.75" x14ac:dyDescent="0.25">
      <c r="A10" s="3">
        <v>2</v>
      </c>
      <c r="B10" s="3" t="s">
        <v>1166</v>
      </c>
      <c r="C10" s="80">
        <v>32800</v>
      </c>
      <c r="D10" s="5">
        <v>46260</v>
      </c>
      <c r="E10" s="14">
        <v>0</v>
      </c>
      <c r="F10" s="13" t="s">
        <v>18</v>
      </c>
      <c r="G10" s="55">
        <v>9194</v>
      </c>
      <c r="H10" s="16">
        <v>0</v>
      </c>
      <c r="I10" s="3" t="s">
        <v>15</v>
      </c>
      <c r="J10" s="5">
        <f t="shared" si="0"/>
        <v>46261</v>
      </c>
      <c r="K10" s="13" t="s">
        <v>1170</v>
      </c>
    </row>
    <row r="11" spans="1:11" ht="15.75" x14ac:dyDescent="0.25">
      <c r="A11" s="3">
        <v>3</v>
      </c>
      <c r="B11" s="3" t="s">
        <v>1167</v>
      </c>
      <c r="C11" s="80">
        <v>23500</v>
      </c>
      <c r="D11" s="5">
        <f t="shared" ref="D11:D16" si="1">+D10</f>
        <v>46260</v>
      </c>
      <c r="E11" s="14">
        <v>0</v>
      </c>
      <c r="F11" s="13" t="s">
        <v>18</v>
      </c>
      <c r="G11" s="55">
        <v>3955</v>
      </c>
      <c r="H11" s="16">
        <v>0</v>
      </c>
      <c r="I11" s="3" t="s">
        <v>15</v>
      </c>
      <c r="J11" s="5">
        <f t="shared" si="0"/>
        <v>46261</v>
      </c>
      <c r="K11" s="13" t="s">
        <v>102</v>
      </c>
    </row>
    <row r="12" spans="1:11" ht="15.75" x14ac:dyDescent="0.25">
      <c r="A12" s="3">
        <v>4</v>
      </c>
      <c r="B12" s="3" t="s">
        <v>1168</v>
      </c>
      <c r="C12" s="80">
        <v>2800</v>
      </c>
      <c r="D12" s="5">
        <f t="shared" si="1"/>
        <v>46260</v>
      </c>
      <c r="E12" s="14">
        <v>0</v>
      </c>
      <c r="F12" s="13" t="s">
        <v>18</v>
      </c>
      <c r="G12" s="55">
        <v>2036</v>
      </c>
      <c r="H12" s="16">
        <v>0</v>
      </c>
      <c r="I12" s="3" t="s">
        <v>15</v>
      </c>
      <c r="J12" s="5">
        <f t="shared" si="0"/>
        <v>46261</v>
      </c>
      <c r="K12" s="13" t="s">
        <v>102</v>
      </c>
    </row>
    <row r="13" spans="1:11" ht="15.75" x14ac:dyDescent="0.25">
      <c r="A13" s="3">
        <v>5</v>
      </c>
      <c r="B13" s="3" t="s">
        <v>455</v>
      </c>
      <c r="C13" s="80">
        <v>715</v>
      </c>
      <c r="D13" s="5">
        <f t="shared" si="1"/>
        <v>46260</v>
      </c>
      <c r="E13" s="14">
        <v>0</v>
      </c>
      <c r="F13" s="13" t="s">
        <v>18</v>
      </c>
      <c r="G13" s="55">
        <v>2644</v>
      </c>
      <c r="H13" s="16">
        <v>0</v>
      </c>
      <c r="I13" s="3" t="s">
        <v>15</v>
      </c>
      <c r="J13" s="5">
        <f t="shared" si="0"/>
        <v>46261</v>
      </c>
      <c r="K13" s="13" t="s">
        <v>115</v>
      </c>
    </row>
    <row r="14" spans="1:11" ht="15.75" x14ac:dyDescent="0.25">
      <c r="A14" s="3">
        <v>6</v>
      </c>
      <c r="B14" s="3" t="s">
        <v>1169</v>
      </c>
      <c r="C14" s="80">
        <v>1480</v>
      </c>
      <c r="D14" s="5">
        <f t="shared" si="1"/>
        <v>46260</v>
      </c>
      <c r="E14" s="14">
        <v>0</v>
      </c>
      <c r="F14" s="13" t="s">
        <v>18</v>
      </c>
      <c r="G14" s="55">
        <v>3140</v>
      </c>
      <c r="H14" s="16">
        <v>0</v>
      </c>
      <c r="I14" s="3" t="s">
        <v>15</v>
      </c>
      <c r="J14" s="5">
        <f t="shared" si="0"/>
        <v>46261</v>
      </c>
      <c r="K14" s="13" t="s">
        <v>115</v>
      </c>
    </row>
    <row r="15" spans="1:11" ht="15.75" x14ac:dyDescent="0.25">
      <c r="A15" s="3">
        <v>7</v>
      </c>
      <c r="B15" s="3" t="s">
        <v>1169</v>
      </c>
      <c r="C15" s="80">
        <v>2000</v>
      </c>
      <c r="D15" s="5">
        <f t="shared" si="1"/>
        <v>46260</v>
      </c>
      <c r="E15" s="14">
        <v>0</v>
      </c>
      <c r="F15" s="13" t="s">
        <v>18</v>
      </c>
      <c r="G15" s="55">
        <v>294</v>
      </c>
      <c r="H15" s="16">
        <v>0</v>
      </c>
      <c r="I15" s="3" t="s">
        <v>15</v>
      </c>
      <c r="J15" s="5">
        <f t="shared" si="0"/>
        <v>46261</v>
      </c>
      <c r="K15" s="13" t="s">
        <v>115</v>
      </c>
    </row>
    <row r="16" spans="1:11" ht="15.75" x14ac:dyDescent="0.25">
      <c r="A16" s="3">
        <v>8</v>
      </c>
      <c r="B16" s="3" t="s">
        <v>974</v>
      </c>
      <c r="C16" s="80">
        <v>2900</v>
      </c>
      <c r="D16" s="5">
        <f t="shared" si="1"/>
        <v>46260</v>
      </c>
      <c r="E16" s="14">
        <v>0</v>
      </c>
      <c r="F16" s="13" t="s">
        <v>18</v>
      </c>
      <c r="G16" s="55">
        <v>4340</v>
      </c>
      <c r="H16" s="16">
        <v>0</v>
      </c>
      <c r="I16" s="3" t="s">
        <v>15</v>
      </c>
      <c r="J16" s="5">
        <f t="shared" si="0"/>
        <v>46261</v>
      </c>
      <c r="K16" s="13" t="s">
        <v>1202</v>
      </c>
    </row>
    <row r="17" spans="1:11" ht="18.75" x14ac:dyDescent="0.3">
      <c r="A17" s="3"/>
      <c r="B17" s="17" t="s">
        <v>16</v>
      </c>
      <c r="C17" s="82">
        <f>SUM(C9:C16)</f>
        <v>81595</v>
      </c>
      <c r="D17" s="3"/>
      <c r="E17" s="3"/>
      <c r="F17" s="13"/>
      <c r="G17" s="13"/>
      <c r="H17" s="11"/>
      <c r="I17" s="3"/>
      <c r="J17" s="3"/>
      <c r="K17" s="3"/>
    </row>
    <row r="18" spans="1:11" ht="24.75" x14ac:dyDescent="0.5">
      <c r="A18" s="125" t="s">
        <v>20</v>
      </c>
      <c r="B18" s="126"/>
      <c r="C18" s="126"/>
      <c r="D18" s="126"/>
      <c r="E18" s="126"/>
      <c r="F18" s="126"/>
      <c r="G18" s="126"/>
      <c r="H18" s="126"/>
      <c r="I18" s="126"/>
      <c r="J18" s="126"/>
      <c r="K18" s="127"/>
    </row>
    <row r="19" spans="1:11" ht="18.75" x14ac:dyDescent="0.3">
      <c r="A19" s="19" t="s">
        <v>3</v>
      </c>
      <c r="B19" s="19" t="s">
        <v>21</v>
      </c>
      <c r="C19" s="50" t="s">
        <v>5</v>
      </c>
      <c r="D19" s="1" t="s">
        <v>22</v>
      </c>
      <c r="E19" s="19" t="s">
        <v>7</v>
      </c>
      <c r="F19" s="19" t="s">
        <v>8</v>
      </c>
      <c r="G19" s="19" t="s">
        <v>23</v>
      </c>
      <c r="H19" s="20" t="s">
        <v>24</v>
      </c>
      <c r="I19" s="19" t="s">
        <v>11</v>
      </c>
      <c r="J19" s="19" t="s">
        <v>25</v>
      </c>
      <c r="K19" s="21" t="s">
        <v>26</v>
      </c>
    </row>
    <row r="20" spans="1:11" ht="15.75" x14ac:dyDescent="0.25">
      <c r="A20" s="8">
        <v>1</v>
      </c>
      <c r="B20" s="8" t="s">
        <v>823</v>
      </c>
      <c r="C20" s="75">
        <v>26230</v>
      </c>
      <c r="D20" s="5">
        <v>46260</v>
      </c>
      <c r="E20" s="8"/>
      <c r="F20" s="8"/>
      <c r="G20" s="22">
        <v>7107</v>
      </c>
      <c r="H20" s="23"/>
      <c r="I20" s="24"/>
      <c r="J20" s="5">
        <v>46260</v>
      </c>
      <c r="K20" s="13" t="s">
        <v>115</v>
      </c>
    </row>
    <row r="21" spans="1:11" ht="15.75" x14ac:dyDescent="0.25">
      <c r="A21" s="8">
        <v>2</v>
      </c>
      <c r="B21" s="8" t="s">
        <v>412</v>
      </c>
      <c r="C21" s="75">
        <v>3000</v>
      </c>
      <c r="D21" s="5">
        <v>46260</v>
      </c>
      <c r="E21" s="8"/>
      <c r="F21" s="8"/>
      <c r="G21" s="22">
        <v>1985</v>
      </c>
      <c r="H21" s="23"/>
      <c r="I21" s="24"/>
      <c r="J21" s="5">
        <v>46260</v>
      </c>
      <c r="K21" s="13" t="s">
        <v>1171</v>
      </c>
    </row>
    <row r="22" spans="1:11" ht="18.75" x14ac:dyDescent="0.25">
      <c r="A22" s="8"/>
      <c r="B22" s="25" t="s">
        <v>27</v>
      </c>
      <c r="C22" s="83">
        <f>SUM(C20:C21)</f>
        <v>29230</v>
      </c>
      <c r="D22" s="3"/>
      <c r="E22" s="8"/>
      <c r="F22" s="8"/>
      <c r="G22" s="8"/>
      <c r="H22" s="27">
        <v>0</v>
      </c>
      <c r="I22" s="24"/>
      <c r="J22" s="3"/>
      <c r="K22" s="28"/>
    </row>
    <row r="23" spans="1:11" x14ac:dyDescent="0.25">
      <c r="C23" s="29"/>
      <c r="H23" s="29"/>
    </row>
    <row r="24" spans="1:11" ht="16.5" x14ac:dyDescent="0.3">
      <c r="B24" s="30" t="s">
        <v>28</v>
      </c>
      <c r="C24" s="76">
        <f>SUM(C9,C10,C11,C12)</f>
        <v>74500</v>
      </c>
      <c r="E24" s="32"/>
      <c r="F24" s="32"/>
      <c r="G24" s="116"/>
      <c r="H24" s="116"/>
    </row>
    <row r="25" spans="1:11" ht="16.5" x14ac:dyDescent="0.3">
      <c r="B25" s="33" t="s">
        <v>29</v>
      </c>
      <c r="C25" s="77">
        <f>SUM(C13,C14,C15)</f>
        <v>4195</v>
      </c>
      <c r="E25" s="35"/>
      <c r="F25" s="35"/>
      <c r="G25" s="36" t="s">
        <v>30</v>
      </c>
      <c r="H25" s="37"/>
    </row>
    <row r="26" spans="1:11" ht="24" x14ac:dyDescent="0.4">
      <c r="B26" s="38" t="s">
        <v>31</v>
      </c>
      <c r="C26" s="78"/>
      <c r="E26" s="40" t="s">
        <v>32</v>
      </c>
      <c r="F26" s="41"/>
      <c r="G26" s="42"/>
      <c r="H26" s="43"/>
      <c r="I26" s="42"/>
      <c r="J26" s="44"/>
    </row>
    <row r="27" spans="1:11" ht="18.75" x14ac:dyDescent="0.3">
      <c r="B27" s="45" t="s">
        <v>16</v>
      </c>
      <c r="C27" s="79">
        <f>SUM(C24:C26)</f>
        <v>78695</v>
      </c>
      <c r="G27" s="36"/>
      <c r="H27" s="37"/>
      <c r="I27" s="36"/>
      <c r="J27" s="36"/>
    </row>
  </sheetData>
  <mergeCells count="6">
    <mergeCell ref="G24:H24"/>
    <mergeCell ref="A1:K1"/>
    <mergeCell ref="A2:K2"/>
    <mergeCell ref="A3:K3"/>
    <mergeCell ref="A8:K8"/>
    <mergeCell ref="A18:K18"/>
  </mergeCells>
  <pageMargins left="0.59055118110236215" right="0" top="0.39370078740157483" bottom="0" header="0" footer="0"/>
  <pageSetup scale="85" orientation="landscape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ACBCB-EE3D-4640-8C7C-E322E3650479}">
  <sheetPr>
    <pageSetUpPr fitToPage="1"/>
  </sheetPr>
  <dimension ref="A1:K23"/>
  <sheetViews>
    <sheetView workbookViewId="0">
      <selection activeCell="O10" sqref="O10"/>
    </sheetView>
  </sheetViews>
  <sheetFormatPr defaultRowHeight="15" x14ac:dyDescent="0.25"/>
  <cols>
    <col min="1" max="1" width="4.42578125" bestFit="1" customWidth="1"/>
    <col min="2" max="2" width="16.7109375" bestFit="1" customWidth="1"/>
    <col min="3" max="3" width="12.710937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37.28515625" bestFit="1" customWidth="1"/>
  </cols>
  <sheetData>
    <row r="1" spans="1:11" ht="24.75" x14ac:dyDescent="0.25">
      <c r="A1" s="117" t="s">
        <v>30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1172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46261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46260</v>
      </c>
      <c r="K5" s="8" t="s">
        <v>33</v>
      </c>
    </row>
    <row r="6" spans="1:11" ht="18.75" x14ac:dyDescent="0.3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4" x14ac:dyDescent="0.4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75" x14ac:dyDescent="0.25">
      <c r="A9" s="3">
        <v>1</v>
      </c>
      <c r="B9" s="3" t="s">
        <v>1173</v>
      </c>
      <c r="C9" s="80">
        <v>310</v>
      </c>
      <c r="D9" s="5">
        <v>46261</v>
      </c>
      <c r="E9" s="14">
        <v>0</v>
      </c>
      <c r="F9" s="13" t="s">
        <v>18</v>
      </c>
      <c r="G9" s="55">
        <v>8625</v>
      </c>
      <c r="H9" s="16">
        <v>0</v>
      </c>
      <c r="I9" s="3" t="s">
        <v>19</v>
      </c>
      <c r="J9" s="5">
        <f t="shared" ref="J9:J12" si="0">+D9+1</f>
        <v>46262</v>
      </c>
      <c r="K9" s="13" t="s">
        <v>115</v>
      </c>
    </row>
    <row r="10" spans="1:11" ht="15.75" x14ac:dyDescent="0.25">
      <c r="A10" s="3">
        <v>2</v>
      </c>
      <c r="B10" s="3" t="s">
        <v>1173</v>
      </c>
      <c r="C10" s="80">
        <v>2000</v>
      </c>
      <c r="D10" s="5">
        <f t="shared" ref="D10:D12" si="1">+D9</f>
        <v>46261</v>
      </c>
      <c r="E10" s="14">
        <v>0</v>
      </c>
      <c r="F10" s="13" t="s">
        <v>18</v>
      </c>
      <c r="G10" s="55">
        <v>7802</v>
      </c>
      <c r="H10" s="16">
        <v>0</v>
      </c>
      <c r="I10" s="3" t="s">
        <v>15</v>
      </c>
      <c r="J10" s="5">
        <f t="shared" si="0"/>
        <v>46262</v>
      </c>
      <c r="K10" s="13" t="s">
        <v>115</v>
      </c>
    </row>
    <row r="11" spans="1:11" ht="15.75" x14ac:dyDescent="0.25">
      <c r="A11" s="3">
        <v>3</v>
      </c>
      <c r="B11" s="3" t="s">
        <v>235</v>
      </c>
      <c r="C11" s="80">
        <v>38000</v>
      </c>
      <c r="D11" s="5">
        <f t="shared" si="1"/>
        <v>46261</v>
      </c>
      <c r="E11" s="14">
        <v>0</v>
      </c>
      <c r="F11" s="13" t="s">
        <v>18</v>
      </c>
      <c r="G11" s="55">
        <v>5195</v>
      </c>
      <c r="H11" s="16">
        <v>0</v>
      </c>
      <c r="I11" s="3" t="s">
        <v>15</v>
      </c>
      <c r="J11" s="5">
        <f t="shared" si="0"/>
        <v>46262</v>
      </c>
      <c r="K11" s="13" t="s">
        <v>1175</v>
      </c>
    </row>
    <row r="12" spans="1:11" ht="15.75" x14ac:dyDescent="0.25">
      <c r="A12" s="3">
        <v>4</v>
      </c>
      <c r="B12" s="3" t="s">
        <v>1174</v>
      </c>
      <c r="C12" s="80">
        <v>2050</v>
      </c>
      <c r="D12" s="5">
        <f t="shared" si="1"/>
        <v>46261</v>
      </c>
      <c r="E12" s="14">
        <v>0</v>
      </c>
      <c r="F12" s="13" t="s">
        <v>18</v>
      </c>
      <c r="G12" s="55">
        <v>373</v>
      </c>
      <c r="H12" s="16">
        <v>0</v>
      </c>
      <c r="I12" s="3" t="s">
        <v>15</v>
      </c>
      <c r="J12" s="5">
        <f t="shared" si="0"/>
        <v>46262</v>
      </c>
      <c r="K12" s="13" t="s">
        <v>115</v>
      </c>
    </row>
    <row r="13" spans="1:11" ht="18.75" x14ac:dyDescent="0.3">
      <c r="A13" s="3"/>
      <c r="B13" s="17" t="s">
        <v>16</v>
      </c>
      <c r="C13" s="82">
        <f>SUM(C9:C12)</f>
        <v>42360</v>
      </c>
      <c r="D13" s="3"/>
      <c r="E13" s="3"/>
      <c r="F13" s="13"/>
      <c r="G13" s="13"/>
      <c r="H13" s="11"/>
      <c r="I13" s="3"/>
      <c r="J13" s="3"/>
      <c r="K13" s="3"/>
    </row>
    <row r="14" spans="1:11" ht="24.75" x14ac:dyDescent="0.5">
      <c r="A14" s="125" t="s">
        <v>20</v>
      </c>
      <c r="B14" s="126"/>
      <c r="C14" s="126"/>
      <c r="D14" s="126"/>
      <c r="E14" s="126"/>
      <c r="F14" s="126"/>
      <c r="G14" s="126"/>
      <c r="H14" s="126"/>
      <c r="I14" s="126"/>
      <c r="J14" s="126"/>
      <c r="K14" s="127"/>
    </row>
    <row r="15" spans="1:11" ht="18.75" x14ac:dyDescent="0.3">
      <c r="A15" s="19" t="s">
        <v>3</v>
      </c>
      <c r="B15" s="19" t="s">
        <v>21</v>
      </c>
      <c r="C15" s="50" t="s">
        <v>5</v>
      </c>
      <c r="D15" s="1" t="s">
        <v>22</v>
      </c>
      <c r="E15" s="19" t="s">
        <v>7</v>
      </c>
      <c r="F15" s="19" t="s">
        <v>8</v>
      </c>
      <c r="G15" s="19" t="s">
        <v>23</v>
      </c>
      <c r="H15" s="20" t="s">
        <v>24</v>
      </c>
      <c r="I15" s="19" t="s">
        <v>11</v>
      </c>
      <c r="J15" s="19" t="s">
        <v>25</v>
      </c>
      <c r="K15" s="21" t="s">
        <v>26</v>
      </c>
    </row>
    <row r="16" spans="1:11" ht="15.75" x14ac:dyDescent="0.25">
      <c r="A16" s="8">
        <v>1</v>
      </c>
      <c r="B16" s="8" t="s">
        <v>52</v>
      </c>
      <c r="C16" s="75">
        <v>82245</v>
      </c>
      <c r="D16" s="5">
        <v>46261</v>
      </c>
      <c r="E16" s="8"/>
      <c r="F16" s="8"/>
      <c r="G16" s="22">
        <v>6404</v>
      </c>
      <c r="H16" s="23"/>
      <c r="I16" s="24"/>
      <c r="J16" s="5">
        <v>46261</v>
      </c>
      <c r="K16" s="13" t="s">
        <v>1187</v>
      </c>
    </row>
    <row r="17" spans="1:11" ht="15.75" x14ac:dyDescent="0.25">
      <c r="A17" s="8">
        <v>2</v>
      </c>
      <c r="B17" s="8" t="s">
        <v>470</v>
      </c>
      <c r="C17" s="75">
        <v>4500</v>
      </c>
      <c r="D17" s="5">
        <v>46261</v>
      </c>
      <c r="E17" s="8"/>
      <c r="F17" s="8"/>
      <c r="G17" s="22">
        <v>3574</v>
      </c>
      <c r="H17" s="23"/>
      <c r="I17" s="24"/>
      <c r="J17" s="5">
        <v>46261</v>
      </c>
      <c r="K17" s="13" t="s">
        <v>1190</v>
      </c>
    </row>
    <row r="18" spans="1:11" ht="18.75" x14ac:dyDescent="0.25">
      <c r="A18" s="8"/>
      <c r="B18" s="25" t="s">
        <v>27</v>
      </c>
      <c r="C18" s="83">
        <f>SUM(C16:C17)</f>
        <v>86745</v>
      </c>
      <c r="D18" s="3"/>
      <c r="E18" s="8"/>
      <c r="F18" s="8"/>
      <c r="G18" s="8"/>
      <c r="H18" s="27">
        <v>0</v>
      </c>
      <c r="I18" s="24"/>
      <c r="J18" s="3"/>
      <c r="K18" s="28"/>
    </row>
    <row r="19" spans="1:11" x14ac:dyDescent="0.25">
      <c r="C19" s="29"/>
      <c r="H19" s="29"/>
    </row>
    <row r="20" spans="1:11" ht="16.5" x14ac:dyDescent="0.3">
      <c r="B20" s="30" t="s">
        <v>28</v>
      </c>
      <c r="C20" s="76">
        <f>SUM(C11)</f>
        <v>38000</v>
      </c>
      <c r="E20" s="32"/>
      <c r="F20" s="32"/>
      <c r="G20" s="116"/>
      <c r="H20" s="116"/>
    </row>
    <row r="21" spans="1:11" ht="16.5" x14ac:dyDescent="0.3">
      <c r="B21" s="33" t="s">
        <v>29</v>
      </c>
      <c r="C21" s="77">
        <f>SUM(C12,C10,C9)</f>
        <v>4360</v>
      </c>
      <c r="E21" s="35"/>
      <c r="F21" s="35"/>
      <c r="G21" s="36" t="s">
        <v>30</v>
      </c>
      <c r="H21" s="37"/>
    </row>
    <row r="22" spans="1:11" ht="24" x14ac:dyDescent="0.4">
      <c r="B22" s="38" t="s">
        <v>31</v>
      </c>
      <c r="C22" s="78"/>
      <c r="E22" s="40" t="s">
        <v>32</v>
      </c>
      <c r="F22" s="41"/>
      <c r="G22" s="42"/>
      <c r="H22" s="43"/>
      <c r="I22" s="42"/>
      <c r="J22" s="44"/>
    </row>
    <row r="23" spans="1:11" ht="18.75" x14ac:dyDescent="0.3">
      <c r="B23" s="45" t="s">
        <v>16</v>
      </c>
      <c r="C23" s="79">
        <f>SUM(C20:C22)</f>
        <v>42360</v>
      </c>
      <c r="G23" s="36"/>
      <c r="H23" s="37"/>
      <c r="I23" s="36"/>
      <c r="J23" s="36"/>
    </row>
  </sheetData>
  <mergeCells count="6">
    <mergeCell ref="G20:H20"/>
    <mergeCell ref="A1:K1"/>
    <mergeCell ref="A2:K2"/>
    <mergeCell ref="A3:K3"/>
    <mergeCell ref="A8:K8"/>
    <mergeCell ref="A14:K14"/>
  </mergeCells>
  <pageMargins left="0.59055118110236215" right="0" top="0.39370078740157483" bottom="0" header="0" footer="0"/>
  <pageSetup scale="85" orientation="landscape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5A002-58CD-412A-A5B5-54984AC69C62}">
  <sheetPr>
    <pageSetUpPr fitToPage="1"/>
  </sheetPr>
  <dimension ref="A1:K31"/>
  <sheetViews>
    <sheetView topLeftCell="A4" workbookViewId="0">
      <selection activeCell="R22" sqref="R22"/>
    </sheetView>
  </sheetViews>
  <sheetFormatPr defaultRowHeight="15" x14ac:dyDescent="0.25"/>
  <cols>
    <col min="1" max="1" width="4.42578125" bestFit="1" customWidth="1"/>
    <col min="2" max="2" width="26" bestFit="1" customWidth="1"/>
    <col min="3" max="3" width="12.710937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33.7109375" customWidth="1"/>
  </cols>
  <sheetData>
    <row r="1" spans="1:11" ht="24.75" x14ac:dyDescent="0.25">
      <c r="A1" s="117" t="s">
        <v>829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1186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46262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46261</v>
      </c>
      <c r="K5" s="8" t="s">
        <v>33</v>
      </c>
    </row>
    <row r="6" spans="1:11" ht="18.75" x14ac:dyDescent="0.3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4" x14ac:dyDescent="0.4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75" x14ac:dyDescent="0.25">
      <c r="A9" s="3">
        <v>1</v>
      </c>
      <c r="B9" s="3" t="s">
        <v>1176</v>
      </c>
      <c r="C9" s="80">
        <v>5600</v>
      </c>
      <c r="D9" s="5">
        <v>46262</v>
      </c>
      <c r="E9" s="14">
        <v>0</v>
      </c>
      <c r="F9" s="13" t="s">
        <v>18</v>
      </c>
      <c r="G9" s="55">
        <v>6444</v>
      </c>
      <c r="H9" s="16">
        <v>0</v>
      </c>
      <c r="I9" s="3" t="s">
        <v>19</v>
      </c>
      <c r="J9" s="5">
        <f t="shared" ref="J9:J16" si="0">+D9+1</f>
        <v>46263</v>
      </c>
      <c r="K9" s="13" t="s">
        <v>1188</v>
      </c>
    </row>
    <row r="10" spans="1:11" ht="15.75" x14ac:dyDescent="0.25">
      <c r="A10" s="3">
        <v>2</v>
      </c>
      <c r="B10" s="3" t="s">
        <v>1177</v>
      </c>
      <c r="C10" s="80">
        <v>685</v>
      </c>
      <c r="D10" s="5">
        <f t="shared" ref="D10:D16" si="1">+D9</f>
        <v>46262</v>
      </c>
      <c r="E10" s="14">
        <v>0</v>
      </c>
      <c r="F10" s="13" t="s">
        <v>18</v>
      </c>
      <c r="G10" s="55">
        <v>1789</v>
      </c>
      <c r="H10" s="16">
        <v>0</v>
      </c>
      <c r="I10" s="3" t="s">
        <v>15</v>
      </c>
      <c r="J10" s="5">
        <f t="shared" si="0"/>
        <v>46263</v>
      </c>
      <c r="K10" s="13" t="s">
        <v>115</v>
      </c>
    </row>
    <row r="11" spans="1:11" ht="15.75" x14ac:dyDescent="0.25">
      <c r="A11" s="3">
        <v>3</v>
      </c>
      <c r="B11" s="3" t="s">
        <v>1178</v>
      </c>
      <c r="C11" s="80">
        <v>2570</v>
      </c>
      <c r="D11" s="5">
        <f t="shared" si="1"/>
        <v>46262</v>
      </c>
      <c r="E11" s="14">
        <v>0</v>
      </c>
      <c r="F11" s="13" t="s">
        <v>18</v>
      </c>
      <c r="G11" s="55">
        <v>1426</v>
      </c>
      <c r="H11" s="16">
        <v>0</v>
      </c>
      <c r="I11" s="3" t="s">
        <v>15</v>
      </c>
      <c r="J11" s="5">
        <f t="shared" si="0"/>
        <v>46263</v>
      </c>
      <c r="K11" s="13" t="s">
        <v>115</v>
      </c>
    </row>
    <row r="12" spans="1:11" ht="15.75" x14ac:dyDescent="0.25">
      <c r="A12" s="3">
        <v>4</v>
      </c>
      <c r="B12" s="3" t="s">
        <v>1179</v>
      </c>
      <c r="C12" s="80">
        <v>13080</v>
      </c>
      <c r="D12" s="5">
        <f t="shared" si="1"/>
        <v>46262</v>
      </c>
      <c r="E12" s="14">
        <v>0</v>
      </c>
      <c r="F12" s="13" t="s">
        <v>18</v>
      </c>
      <c r="G12" s="55">
        <v>2125</v>
      </c>
      <c r="H12" s="16">
        <v>0</v>
      </c>
      <c r="I12" s="3" t="s">
        <v>15</v>
      </c>
      <c r="J12" s="5">
        <f t="shared" si="0"/>
        <v>46263</v>
      </c>
      <c r="K12" s="13" t="s">
        <v>115</v>
      </c>
    </row>
    <row r="13" spans="1:11" ht="15.75" x14ac:dyDescent="0.25">
      <c r="A13" s="3">
        <v>5</v>
      </c>
      <c r="B13" s="3" t="s">
        <v>1180</v>
      </c>
      <c r="C13" s="80">
        <v>1785</v>
      </c>
      <c r="D13" s="5">
        <f t="shared" si="1"/>
        <v>46262</v>
      </c>
      <c r="E13" s="14">
        <v>0</v>
      </c>
      <c r="F13" s="13" t="s">
        <v>18</v>
      </c>
      <c r="G13" s="55">
        <v>7118</v>
      </c>
      <c r="H13" s="16">
        <v>0</v>
      </c>
      <c r="I13" s="3" t="s">
        <v>15</v>
      </c>
      <c r="J13" s="5">
        <f t="shared" si="0"/>
        <v>46263</v>
      </c>
      <c r="K13" s="13" t="s">
        <v>115</v>
      </c>
    </row>
    <row r="14" spans="1:11" ht="15.75" x14ac:dyDescent="0.25">
      <c r="A14" s="3">
        <v>6</v>
      </c>
      <c r="B14" s="3" t="s">
        <v>1181</v>
      </c>
      <c r="C14" s="80">
        <v>2660</v>
      </c>
      <c r="D14" s="5">
        <f t="shared" si="1"/>
        <v>46262</v>
      </c>
      <c r="E14" s="14">
        <v>0</v>
      </c>
      <c r="F14" s="13" t="s">
        <v>18</v>
      </c>
      <c r="G14" s="55">
        <v>3087</v>
      </c>
      <c r="H14" s="16">
        <v>0</v>
      </c>
      <c r="I14" s="3" t="s">
        <v>15</v>
      </c>
      <c r="J14" s="5">
        <f t="shared" si="0"/>
        <v>46263</v>
      </c>
      <c r="K14" s="13" t="s">
        <v>115</v>
      </c>
    </row>
    <row r="15" spans="1:11" ht="15.75" x14ac:dyDescent="0.25">
      <c r="A15" s="3">
        <v>7</v>
      </c>
      <c r="B15" s="3" t="s">
        <v>1182</v>
      </c>
      <c r="C15" s="80">
        <v>1470</v>
      </c>
      <c r="D15" s="5">
        <f t="shared" si="1"/>
        <v>46262</v>
      </c>
      <c r="E15" s="14">
        <v>0</v>
      </c>
      <c r="F15" s="13" t="s">
        <v>18</v>
      </c>
      <c r="G15" s="55">
        <v>9113</v>
      </c>
      <c r="H15" s="16">
        <v>0</v>
      </c>
      <c r="I15" s="3" t="s">
        <v>15</v>
      </c>
      <c r="J15" s="5">
        <f t="shared" si="0"/>
        <v>46263</v>
      </c>
      <c r="K15" s="13" t="s">
        <v>115</v>
      </c>
    </row>
    <row r="16" spans="1:11" ht="15.75" x14ac:dyDescent="0.25">
      <c r="A16" s="3">
        <v>8</v>
      </c>
      <c r="B16" s="3" t="s">
        <v>1183</v>
      </c>
      <c r="C16" s="80">
        <v>2200</v>
      </c>
      <c r="D16" s="5">
        <f t="shared" si="1"/>
        <v>46262</v>
      </c>
      <c r="E16" s="14">
        <v>0</v>
      </c>
      <c r="F16" s="13" t="s">
        <v>18</v>
      </c>
      <c r="G16" s="55">
        <v>3559</v>
      </c>
      <c r="H16" s="16">
        <v>0</v>
      </c>
      <c r="I16" s="3" t="s">
        <v>15</v>
      </c>
      <c r="J16" s="5">
        <f t="shared" si="0"/>
        <v>46263</v>
      </c>
      <c r="K16" s="13" t="s">
        <v>204</v>
      </c>
    </row>
    <row r="17" spans="1:11" ht="18.75" x14ac:dyDescent="0.3">
      <c r="A17" s="3"/>
      <c r="B17" s="17" t="s">
        <v>16</v>
      </c>
      <c r="C17" s="82">
        <f>SUM(C9:C16)</f>
        <v>30050</v>
      </c>
      <c r="D17" s="3"/>
      <c r="E17" s="3"/>
      <c r="F17" s="13"/>
      <c r="G17" s="13"/>
      <c r="H17" s="11"/>
      <c r="I17" s="3"/>
      <c r="J17" s="3"/>
      <c r="K17" s="3"/>
    </row>
    <row r="18" spans="1:11" ht="24.75" x14ac:dyDescent="0.5">
      <c r="A18" s="125" t="s">
        <v>20</v>
      </c>
      <c r="B18" s="126"/>
      <c r="C18" s="126"/>
      <c r="D18" s="126"/>
      <c r="E18" s="126"/>
      <c r="F18" s="126"/>
      <c r="G18" s="126"/>
      <c r="H18" s="126"/>
      <c r="I18" s="126"/>
      <c r="J18" s="126"/>
      <c r="K18" s="127"/>
    </row>
    <row r="19" spans="1:11" ht="18.75" x14ac:dyDescent="0.3">
      <c r="A19" s="19" t="s">
        <v>3</v>
      </c>
      <c r="B19" s="19" t="s">
        <v>21</v>
      </c>
      <c r="C19" s="50" t="s">
        <v>5</v>
      </c>
      <c r="D19" s="1" t="s">
        <v>22</v>
      </c>
      <c r="E19" s="19" t="s">
        <v>7</v>
      </c>
      <c r="F19" s="19" t="s">
        <v>8</v>
      </c>
      <c r="G19" s="19" t="s">
        <v>23</v>
      </c>
      <c r="H19" s="20" t="s">
        <v>24</v>
      </c>
      <c r="I19" s="19" t="s">
        <v>11</v>
      </c>
      <c r="J19" s="19" t="s">
        <v>25</v>
      </c>
      <c r="K19" s="21" t="s">
        <v>26</v>
      </c>
    </row>
    <row r="20" spans="1:11" ht="15.75" x14ac:dyDescent="0.25">
      <c r="A20" s="8">
        <v>1</v>
      </c>
      <c r="B20" s="8" t="s">
        <v>1184</v>
      </c>
      <c r="C20" s="75">
        <v>10000</v>
      </c>
      <c r="D20" s="5">
        <v>46262</v>
      </c>
      <c r="E20" s="8"/>
      <c r="F20" s="8"/>
      <c r="G20" s="22">
        <v>3184</v>
      </c>
      <c r="H20" s="23"/>
      <c r="I20" s="24"/>
      <c r="J20" s="5">
        <v>46262</v>
      </c>
      <c r="K20" s="13" t="s">
        <v>1194</v>
      </c>
    </row>
    <row r="21" spans="1:11" ht="15.75" x14ac:dyDescent="0.25">
      <c r="A21" s="8">
        <v>2</v>
      </c>
      <c r="B21" s="8" t="s">
        <v>1185</v>
      </c>
      <c r="C21" s="75">
        <v>1050</v>
      </c>
      <c r="D21" s="5">
        <v>46262</v>
      </c>
      <c r="E21" s="8"/>
      <c r="F21" s="8"/>
      <c r="G21" s="22">
        <v>6407</v>
      </c>
      <c r="H21" s="23"/>
      <c r="I21" s="24"/>
      <c r="J21" s="5">
        <v>46262</v>
      </c>
      <c r="K21" s="13" t="s">
        <v>1193</v>
      </c>
    </row>
    <row r="22" spans="1:11" ht="15.75" x14ac:dyDescent="0.25">
      <c r="A22" s="8">
        <v>3</v>
      </c>
      <c r="B22" s="8" t="s">
        <v>823</v>
      </c>
      <c r="C22" s="75">
        <v>17025</v>
      </c>
      <c r="D22" s="5">
        <v>46262</v>
      </c>
      <c r="E22" s="8"/>
      <c r="F22" s="8"/>
      <c r="G22" s="22">
        <v>7493</v>
      </c>
      <c r="H22" s="23"/>
      <c r="I22" s="24"/>
      <c r="J22" s="5">
        <v>46262</v>
      </c>
      <c r="K22" s="13" t="s">
        <v>115</v>
      </c>
    </row>
    <row r="23" spans="1:11" ht="15.75" x14ac:dyDescent="0.25">
      <c r="A23" s="8">
        <v>4</v>
      </c>
      <c r="B23" s="8" t="s">
        <v>181</v>
      </c>
      <c r="C23" s="75">
        <v>10048</v>
      </c>
      <c r="D23" s="5">
        <v>46262</v>
      </c>
      <c r="E23" s="8"/>
      <c r="F23" s="8"/>
      <c r="G23" s="22">
        <v>857</v>
      </c>
      <c r="H23" s="23"/>
      <c r="I23" s="24"/>
      <c r="J23" s="5">
        <v>46262</v>
      </c>
      <c r="K23" s="13" t="s">
        <v>1192</v>
      </c>
    </row>
    <row r="24" spans="1:11" ht="15.75" x14ac:dyDescent="0.25">
      <c r="A24" s="8">
        <v>5</v>
      </c>
      <c r="B24" s="8" t="s">
        <v>823</v>
      </c>
      <c r="C24" s="75">
        <v>26500</v>
      </c>
      <c r="D24" s="5">
        <v>46262</v>
      </c>
      <c r="E24" s="8"/>
      <c r="F24" s="8"/>
      <c r="G24" s="22">
        <v>4569</v>
      </c>
      <c r="H24" s="23"/>
      <c r="I24" s="24"/>
      <c r="J24" s="5">
        <v>46262</v>
      </c>
      <c r="K24" s="13" t="s">
        <v>115</v>
      </c>
    </row>
    <row r="25" spans="1:11" ht="15.75" x14ac:dyDescent="0.25">
      <c r="A25" s="8">
        <v>6</v>
      </c>
      <c r="B25" s="8" t="s">
        <v>412</v>
      </c>
      <c r="C25" s="75">
        <v>2300</v>
      </c>
      <c r="D25" s="5">
        <v>46262</v>
      </c>
      <c r="E25" s="8"/>
      <c r="F25" s="8"/>
      <c r="G25" s="22">
        <v>2767</v>
      </c>
      <c r="H25" s="23"/>
      <c r="I25" s="24"/>
      <c r="J25" s="5">
        <v>46262</v>
      </c>
      <c r="K25" s="13" t="s">
        <v>1191</v>
      </c>
    </row>
    <row r="26" spans="1:11" ht="18.75" x14ac:dyDescent="0.25">
      <c r="A26" s="8"/>
      <c r="B26" s="25" t="s">
        <v>27</v>
      </c>
      <c r="C26" s="83">
        <f>SUM(C20:C25)</f>
        <v>66923</v>
      </c>
      <c r="D26" s="3"/>
      <c r="E26" s="8"/>
      <c r="F26" s="8"/>
      <c r="G26" s="8"/>
      <c r="H26" s="27">
        <v>0</v>
      </c>
      <c r="I26" s="24"/>
      <c r="J26" s="3"/>
      <c r="K26" s="28"/>
    </row>
    <row r="27" spans="1:11" x14ac:dyDescent="0.25">
      <c r="C27" s="29"/>
      <c r="H27" s="29"/>
    </row>
    <row r="28" spans="1:11" ht="16.5" x14ac:dyDescent="0.3">
      <c r="B28" s="30" t="s">
        <v>28</v>
      </c>
      <c r="C28" s="76">
        <f>SUM(C16)</f>
        <v>2200</v>
      </c>
      <c r="E28" s="32"/>
      <c r="F28" s="32"/>
      <c r="G28" s="116"/>
      <c r="H28" s="116"/>
    </row>
    <row r="29" spans="1:11" ht="16.5" x14ac:dyDescent="0.3">
      <c r="B29" s="33" t="s">
        <v>29</v>
      </c>
      <c r="C29" s="77">
        <f>SUM(C10,C11,C12,C13,C14,C15)</f>
        <v>22250</v>
      </c>
      <c r="E29" s="35"/>
      <c r="F29" s="35"/>
      <c r="G29" s="36" t="s">
        <v>30</v>
      </c>
      <c r="H29" s="37"/>
    </row>
    <row r="30" spans="1:11" ht="24" x14ac:dyDescent="0.4">
      <c r="B30" s="38" t="s">
        <v>1189</v>
      </c>
      <c r="C30" s="78">
        <f>SUM(C9)</f>
        <v>5600</v>
      </c>
      <c r="E30" s="40" t="s">
        <v>32</v>
      </c>
      <c r="F30" s="41"/>
      <c r="G30" s="42"/>
      <c r="H30" s="43"/>
      <c r="I30" s="42"/>
      <c r="J30" s="44"/>
    </row>
    <row r="31" spans="1:11" ht="18.75" x14ac:dyDescent="0.3">
      <c r="B31" s="45" t="s">
        <v>16</v>
      </c>
      <c r="C31" s="79">
        <f>SUM(C28:C30)</f>
        <v>30050</v>
      </c>
      <c r="G31" s="36"/>
      <c r="H31" s="37"/>
      <c r="I31" s="36"/>
      <c r="J31" s="36"/>
    </row>
  </sheetData>
  <mergeCells count="6">
    <mergeCell ref="G28:H28"/>
    <mergeCell ref="A1:K1"/>
    <mergeCell ref="A2:K2"/>
    <mergeCell ref="A3:K3"/>
    <mergeCell ref="A8:K8"/>
    <mergeCell ref="A18:K18"/>
  </mergeCells>
  <pageMargins left="0.59055118110236215" right="0" top="0.39370078740157483" bottom="0" header="0" footer="0"/>
  <pageSetup scale="82" orientation="landscape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F728B-C073-4518-8003-D7BD8E8DA7A8}">
  <sheetPr>
    <pageSetUpPr fitToPage="1"/>
  </sheetPr>
  <dimension ref="A1:K23"/>
  <sheetViews>
    <sheetView topLeftCell="A2" workbookViewId="0">
      <selection activeCell="K11" sqref="K11"/>
    </sheetView>
  </sheetViews>
  <sheetFormatPr defaultRowHeight="15" x14ac:dyDescent="0.25"/>
  <cols>
    <col min="1" max="1" width="4.42578125" bestFit="1" customWidth="1"/>
    <col min="2" max="2" width="20.7109375" bestFit="1" customWidth="1"/>
    <col min="3" max="3" width="12.710937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31.85546875" customWidth="1"/>
  </cols>
  <sheetData>
    <row r="1" spans="1:11" ht="24.75" x14ac:dyDescent="0.25">
      <c r="A1" s="117" t="s">
        <v>829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1195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46263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46262</v>
      </c>
      <c r="K5" s="8" t="s">
        <v>33</v>
      </c>
    </row>
    <row r="6" spans="1:11" ht="18.75" x14ac:dyDescent="0.3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4" x14ac:dyDescent="0.4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75" x14ac:dyDescent="0.25">
      <c r="A9" s="3">
        <v>1</v>
      </c>
      <c r="B9" s="3" t="s">
        <v>412</v>
      </c>
      <c r="C9" s="80">
        <v>1350</v>
      </c>
      <c r="D9" s="5">
        <v>46263</v>
      </c>
      <c r="E9" s="14">
        <v>0</v>
      </c>
      <c r="F9" s="13" t="s">
        <v>18</v>
      </c>
      <c r="G9" s="55">
        <v>8522</v>
      </c>
      <c r="H9" s="16">
        <v>0</v>
      </c>
      <c r="I9" s="3" t="s">
        <v>19</v>
      </c>
      <c r="J9" s="5">
        <f t="shared" ref="J9:J12" si="0">+D9+1</f>
        <v>46264</v>
      </c>
      <c r="K9" s="13" t="s">
        <v>1198</v>
      </c>
    </row>
    <row r="10" spans="1:11" ht="15.75" x14ac:dyDescent="0.25">
      <c r="A10" s="3">
        <v>2</v>
      </c>
      <c r="B10" s="3" t="s">
        <v>1196</v>
      </c>
      <c r="C10" s="80">
        <v>10000</v>
      </c>
      <c r="D10" s="5">
        <f t="shared" ref="D10:D12" si="1">+D9</f>
        <v>46263</v>
      </c>
      <c r="E10" s="14">
        <v>0</v>
      </c>
      <c r="F10" s="13" t="s">
        <v>18</v>
      </c>
      <c r="G10" s="55">
        <v>7568</v>
      </c>
      <c r="H10" s="16">
        <v>0</v>
      </c>
      <c r="I10" s="3" t="s">
        <v>15</v>
      </c>
      <c r="J10" s="5">
        <f t="shared" si="0"/>
        <v>46264</v>
      </c>
      <c r="K10" s="13" t="s">
        <v>1216</v>
      </c>
    </row>
    <row r="11" spans="1:11" ht="15.75" x14ac:dyDescent="0.25">
      <c r="A11" s="3">
        <v>3</v>
      </c>
      <c r="B11" s="3" t="s">
        <v>1197</v>
      </c>
      <c r="C11" s="80">
        <v>20000</v>
      </c>
      <c r="D11" s="5">
        <f t="shared" si="1"/>
        <v>46263</v>
      </c>
      <c r="E11" s="14">
        <v>0</v>
      </c>
      <c r="F11" s="13" t="s">
        <v>18</v>
      </c>
      <c r="G11" s="55">
        <v>7124</v>
      </c>
      <c r="H11" s="16">
        <v>0</v>
      </c>
      <c r="I11" s="3" t="s">
        <v>15</v>
      </c>
      <c r="J11" s="5">
        <f t="shared" si="0"/>
        <v>46264</v>
      </c>
      <c r="K11" s="13" t="s">
        <v>1199</v>
      </c>
    </row>
    <row r="12" spans="1:11" ht="15.75" x14ac:dyDescent="0.25">
      <c r="A12" s="3">
        <v>4</v>
      </c>
      <c r="B12" s="3" t="s">
        <v>455</v>
      </c>
      <c r="C12" s="80">
        <v>580</v>
      </c>
      <c r="D12" s="5">
        <f t="shared" si="1"/>
        <v>46263</v>
      </c>
      <c r="E12" s="14">
        <v>0</v>
      </c>
      <c r="F12" s="13" t="s">
        <v>18</v>
      </c>
      <c r="G12" s="55">
        <v>5211</v>
      </c>
      <c r="H12" s="16">
        <v>0</v>
      </c>
      <c r="I12" s="3" t="s">
        <v>15</v>
      </c>
      <c r="J12" s="5">
        <f t="shared" si="0"/>
        <v>46264</v>
      </c>
      <c r="K12" s="13" t="s">
        <v>204</v>
      </c>
    </row>
    <row r="13" spans="1:11" ht="18.75" x14ac:dyDescent="0.3">
      <c r="A13" s="3"/>
      <c r="B13" s="17" t="s">
        <v>16</v>
      </c>
      <c r="C13" s="82">
        <f>SUM(C9:C12)</f>
        <v>31930</v>
      </c>
      <c r="D13" s="3"/>
      <c r="E13" s="3"/>
      <c r="F13" s="13"/>
      <c r="G13" s="13"/>
      <c r="H13" s="11"/>
      <c r="I13" s="3"/>
      <c r="J13" s="3"/>
      <c r="K13" s="3"/>
    </row>
    <row r="14" spans="1:11" ht="24.75" x14ac:dyDescent="0.5">
      <c r="A14" s="125" t="s">
        <v>20</v>
      </c>
      <c r="B14" s="126"/>
      <c r="C14" s="126"/>
      <c r="D14" s="126"/>
      <c r="E14" s="126"/>
      <c r="F14" s="126"/>
      <c r="G14" s="126"/>
      <c r="H14" s="126"/>
      <c r="I14" s="126"/>
      <c r="J14" s="126"/>
      <c r="K14" s="127"/>
    </row>
    <row r="15" spans="1:11" ht="18.75" x14ac:dyDescent="0.3">
      <c r="A15" s="19" t="s">
        <v>3</v>
      </c>
      <c r="B15" s="19" t="s">
        <v>21</v>
      </c>
      <c r="C15" s="50" t="s">
        <v>5</v>
      </c>
      <c r="D15" s="1" t="s">
        <v>22</v>
      </c>
      <c r="E15" s="19" t="s">
        <v>7</v>
      </c>
      <c r="F15" s="19" t="s">
        <v>8</v>
      </c>
      <c r="G15" s="19" t="s">
        <v>23</v>
      </c>
      <c r="H15" s="20" t="s">
        <v>24</v>
      </c>
      <c r="I15" s="19" t="s">
        <v>11</v>
      </c>
      <c r="J15" s="19" t="s">
        <v>25</v>
      </c>
      <c r="K15" s="21" t="s">
        <v>26</v>
      </c>
    </row>
    <row r="16" spans="1:11" ht="15.75" x14ac:dyDescent="0.25">
      <c r="A16" s="8">
        <v>1</v>
      </c>
      <c r="B16" s="8" t="s">
        <v>1015</v>
      </c>
      <c r="C16" s="75">
        <v>4800</v>
      </c>
      <c r="D16" s="5">
        <v>46263</v>
      </c>
      <c r="E16" s="8"/>
      <c r="F16" s="8"/>
      <c r="G16" s="22">
        <v>1954</v>
      </c>
      <c r="H16" s="23"/>
      <c r="I16" s="24"/>
      <c r="J16" s="5">
        <v>46263</v>
      </c>
      <c r="K16" s="13" t="s">
        <v>1201</v>
      </c>
    </row>
    <row r="17" spans="1:11" ht="15.75" x14ac:dyDescent="0.25">
      <c r="A17" s="8">
        <v>2</v>
      </c>
      <c r="B17" s="8" t="s">
        <v>412</v>
      </c>
      <c r="C17" s="75">
        <v>1500</v>
      </c>
      <c r="D17" s="5">
        <v>46263</v>
      </c>
      <c r="E17" s="8"/>
      <c r="F17" s="8"/>
      <c r="G17" s="22">
        <v>3603</v>
      </c>
      <c r="H17" s="23"/>
      <c r="I17" s="24"/>
      <c r="J17" s="5">
        <v>46263</v>
      </c>
      <c r="K17" s="13" t="s">
        <v>1200</v>
      </c>
    </row>
    <row r="18" spans="1:11" ht="18.75" x14ac:dyDescent="0.25">
      <c r="A18" s="8"/>
      <c r="B18" s="25" t="s">
        <v>27</v>
      </c>
      <c r="C18" s="83">
        <f>SUM(C16:C17)</f>
        <v>6300</v>
      </c>
      <c r="D18" s="3"/>
      <c r="E18" s="8"/>
      <c r="F18" s="8"/>
      <c r="G18" s="8"/>
      <c r="H18" s="27">
        <v>0</v>
      </c>
      <c r="I18" s="24"/>
      <c r="J18" s="3"/>
      <c r="K18" s="28"/>
    </row>
    <row r="19" spans="1:11" x14ac:dyDescent="0.25">
      <c r="C19" s="29"/>
      <c r="H19" s="29"/>
    </row>
    <row r="20" spans="1:11" ht="16.5" x14ac:dyDescent="0.3">
      <c r="B20" s="30" t="s">
        <v>28</v>
      </c>
      <c r="C20" s="76">
        <f>SUM(C12)</f>
        <v>580</v>
      </c>
      <c r="E20" s="32"/>
      <c r="F20" s="32"/>
      <c r="G20" s="116"/>
      <c r="H20" s="116"/>
    </row>
    <row r="21" spans="1:11" ht="16.5" x14ac:dyDescent="0.3">
      <c r="B21" s="33" t="s">
        <v>29</v>
      </c>
      <c r="C21" s="77">
        <f>SUM(C10,C11)</f>
        <v>30000</v>
      </c>
      <c r="E21" s="35"/>
      <c r="F21" s="35"/>
      <c r="G21" s="36" t="s">
        <v>30</v>
      </c>
      <c r="H21" s="37"/>
    </row>
    <row r="22" spans="1:11" ht="24" x14ac:dyDescent="0.4">
      <c r="B22" s="38" t="s">
        <v>700</v>
      </c>
      <c r="C22" s="78">
        <f>SUM(C9)</f>
        <v>1350</v>
      </c>
      <c r="E22" s="40" t="s">
        <v>32</v>
      </c>
      <c r="F22" s="41"/>
      <c r="G22" s="42"/>
      <c r="H22" s="43"/>
      <c r="I22" s="42"/>
      <c r="J22" s="44"/>
    </row>
    <row r="23" spans="1:11" ht="18.75" x14ac:dyDescent="0.3">
      <c r="B23" s="45" t="s">
        <v>16</v>
      </c>
      <c r="C23" s="79">
        <f>SUM(C20:C22)</f>
        <v>31930</v>
      </c>
      <c r="G23" s="36"/>
      <c r="H23" s="37"/>
      <c r="I23" s="36"/>
      <c r="J23" s="36"/>
    </row>
  </sheetData>
  <mergeCells count="6">
    <mergeCell ref="G20:H20"/>
    <mergeCell ref="A1:K1"/>
    <mergeCell ref="A2:K2"/>
    <mergeCell ref="A3:K3"/>
    <mergeCell ref="A8:K8"/>
    <mergeCell ref="A14:K14"/>
  </mergeCells>
  <pageMargins left="0.59055118110236215" right="0" top="0.39370078740157483" bottom="0" header="0" footer="0"/>
  <pageSetup scale="86" orientation="landscape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B81D0-C815-4EB2-A7D8-57DC6607C46D}">
  <sheetPr>
    <pageSetUpPr fitToPage="1"/>
  </sheetPr>
  <dimension ref="A1:K30"/>
  <sheetViews>
    <sheetView workbookViewId="0">
      <selection activeCell="M19" sqref="M19"/>
    </sheetView>
  </sheetViews>
  <sheetFormatPr defaultRowHeight="15" x14ac:dyDescent="0.25"/>
  <cols>
    <col min="1" max="1" width="4.42578125" bestFit="1" customWidth="1"/>
    <col min="2" max="2" width="24.28515625" bestFit="1" customWidth="1"/>
    <col min="3" max="3" width="14.4257812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30.5703125" customWidth="1"/>
  </cols>
  <sheetData>
    <row r="1" spans="1:11" ht="24.75" x14ac:dyDescent="0.25">
      <c r="A1" s="117" t="s">
        <v>829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1203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46264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46263</v>
      </c>
      <c r="K5" s="8" t="s">
        <v>33</v>
      </c>
    </row>
    <row r="6" spans="1:11" ht="18.75" x14ac:dyDescent="0.3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4" x14ac:dyDescent="0.4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75" x14ac:dyDescent="0.25">
      <c r="A9" s="3">
        <v>1</v>
      </c>
      <c r="B9" s="3" t="s">
        <v>622</v>
      </c>
      <c r="C9" s="80">
        <v>5</v>
      </c>
      <c r="D9" s="5">
        <v>46264</v>
      </c>
      <c r="E9" s="14">
        <v>0</v>
      </c>
      <c r="F9" s="13" t="s">
        <v>18</v>
      </c>
      <c r="G9" s="55">
        <v>247</v>
      </c>
      <c r="H9" s="16">
        <v>0</v>
      </c>
      <c r="I9" s="3" t="s">
        <v>19</v>
      </c>
      <c r="J9" s="5">
        <f t="shared" ref="J9:J18" si="0">+D9+1</f>
        <v>46265</v>
      </c>
      <c r="K9" s="13" t="s">
        <v>115</v>
      </c>
    </row>
    <row r="10" spans="1:11" ht="15.75" x14ac:dyDescent="0.25">
      <c r="A10" s="3">
        <v>2</v>
      </c>
      <c r="B10" s="3" t="s">
        <v>622</v>
      </c>
      <c r="C10" s="80">
        <v>500</v>
      </c>
      <c r="D10" s="5">
        <f t="shared" ref="D10:D18" si="1">+D9</f>
        <v>46264</v>
      </c>
      <c r="E10" s="14">
        <v>0</v>
      </c>
      <c r="F10" s="13" t="s">
        <v>18</v>
      </c>
      <c r="G10" s="55">
        <v>8719</v>
      </c>
      <c r="H10" s="16">
        <v>0</v>
      </c>
      <c r="I10" s="3" t="s">
        <v>15</v>
      </c>
      <c r="J10" s="5">
        <f t="shared" si="0"/>
        <v>46265</v>
      </c>
      <c r="K10" s="13" t="s">
        <v>115</v>
      </c>
    </row>
    <row r="11" spans="1:11" ht="15.75" x14ac:dyDescent="0.25">
      <c r="A11" s="3">
        <v>3</v>
      </c>
      <c r="B11" s="3" t="s">
        <v>1197</v>
      </c>
      <c r="C11" s="80">
        <v>17800</v>
      </c>
      <c r="D11" s="5">
        <f t="shared" si="1"/>
        <v>46264</v>
      </c>
      <c r="E11" s="14">
        <v>0</v>
      </c>
      <c r="F11" s="13" t="s">
        <v>18</v>
      </c>
      <c r="G11" s="55">
        <v>1949</v>
      </c>
      <c r="H11" s="16">
        <v>0</v>
      </c>
      <c r="I11" s="3" t="s">
        <v>15</v>
      </c>
      <c r="J11" s="5">
        <f t="shared" si="0"/>
        <v>46265</v>
      </c>
      <c r="K11" s="13" t="s">
        <v>1210</v>
      </c>
    </row>
    <row r="12" spans="1:11" ht="15.75" x14ac:dyDescent="0.25">
      <c r="A12" s="3">
        <v>4</v>
      </c>
      <c r="B12" s="3" t="s">
        <v>1204</v>
      </c>
      <c r="C12" s="80">
        <v>180</v>
      </c>
      <c r="D12" s="5">
        <f t="shared" si="1"/>
        <v>46264</v>
      </c>
      <c r="E12" s="14">
        <v>0</v>
      </c>
      <c r="F12" s="13" t="s">
        <v>18</v>
      </c>
      <c r="G12" s="55">
        <v>7596</v>
      </c>
      <c r="H12" s="16">
        <v>0</v>
      </c>
      <c r="I12" s="3" t="s">
        <v>15</v>
      </c>
      <c r="J12" s="5">
        <f t="shared" si="0"/>
        <v>46265</v>
      </c>
      <c r="K12" s="13" t="s">
        <v>115</v>
      </c>
    </row>
    <row r="13" spans="1:11" ht="15.75" x14ac:dyDescent="0.25">
      <c r="A13" s="3">
        <v>5</v>
      </c>
      <c r="B13" s="3" t="s">
        <v>594</v>
      </c>
      <c r="C13" s="80">
        <v>1340</v>
      </c>
      <c r="D13" s="5">
        <f t="shared" si="1"/>
        <v>46264</v>
      </c>
      <c r="E13" s="14">
        <v>0</v>
      </c>
      <c r="F13" s="13" t="s">
        <v>18</v>
      </c>
      <c r="G13" s="55">
        <v>5841</v>
      </c>
      <c r="H13" s="16">
        <v>0</v>
      </c>
      <c r="I13" s="3" t="s">
        <v>15</v>
      </c>
      <c r="J13" s="5">
        <f t="shared" si="0"/>
        <v>46265</v>
      </c>
      <c r="K13" s="13" t="s">
        <v>745</v>
      </c>
    </row>
    <row r="14" spans="1:11" ht="15.75" x14ac:dyDescent="0.25">
      <c r="A14" s="3">
        <v>6</v>
      </c>
      <c r="B14" s="3" t="s">
        <v>1205</v>
      </c>
      <c r="C14" s="80">
        <v>1850</v>
      </c>
      <c r="D14" s="5">
        <f t="shared" si="1"/>
        <v>46264</v>
      </c>
      <c r="E14" s="14">
        <v>0</v>
      </c>
      <c r="F14" s="13" t="s">
        <v>18</v>
      </c>
      <c r="G14" s="55">
        <v>3176</v>
      </c>
      <c r="H14" s="16">
        <v>0</v>
      </c>
      <c r="I14" s="3" t="s">
        <v>15</v>
      </c>
      <c r="J14" s="5">
        <f t="shared" si="0"/>
        <v>46265</v>
      </c>
      <c r="K14" s="13" t="s">
        <v>204</v>
      </c>
    </row>
    <row r="15" spans="1:11" ht="15.75" x14ac:dyDescent="0.25">
      <c r="A15" s="3">
        <v>7</v>
      </c>
      <c r="B15" s="3" t="s">
        <v>1206</v>
      </c>
      <c r="C15" s="80">
        <v>77000</v>
      </c>
      <c r="D15" s="5">
        <f t="shared" si="1"/>
        <v>46264</v>
      </c>
      <c r="E15" s="14">
        <v>0</v>
      </c>
      <c r="F15" s="13" t="s">
        <v>18</v>
      </c>
      <c r="G15" s="55">
        <v>1303</v>
      </c>
      <c r="H15" s="16">
        <v>0</v>
      </c>
      <c r="I15" s="3" t="s">
        <v>15</v>
      </c>
      <c r="J15" s="5">
        <f t="shared" si="0"/>
        <v>46265</v>
      </c>
      <c r="K15" s="13" t="s">
        <v>1211</v>
      </c>
    </row>
    <row r="16" spans="1:11" ht="15.75" x14ac:dyDescent="0.25">
      <c r="A16" s="3">
        <v>8</v>
      </c>
      <c r="B16" s="3" t="s">
        <v>1207</v>
      </c>
      <c r="C16" s="80">
        <v>1300</v>
      </c>
      <c r="D16" s="5">
        <f t="shared" si="1"/>
        <v>46264</v>
      </c>
      <c r="E16" s="14">
        <v>0</v>
      </c>
      <c r="F16" s="13" t="s">
        <v>18</v>
      </c>
      <c r="G16" s="55">
        <v>4989</v>
      </c>
      <c r="H16" s="16">
        <v>0</v>
      </c>
      <c r="I16" s="3" t="s">
        <v>15</v>
      </c>
      <c r="J16" s="5">
        <f t="shared" si="0"/>
        <v>46265</v>
      </c>
      <c r="K16" s="13" t="s">
        <v>204</v>
      </c>
    </row>
    <row r="17" spans="1:11" ht="15.75" x14ac:dyDescent="0.25">
      <c r="A17" s="3">
        <v>9</v>
      </c>
      <c r="B17" s="3" t="s">
        <v>615</v>
      </c>
      <c r="C17" s="80">
        <v>1285</v>
      </c>
      <c r="D17" s="5">
        <f t="shared" si="1"/>
        <v>46264</v>
      </c>
      <c r="E17" s="14">
        <v>0</v>
      </c>
      <c r="F17" s="13" t="s">
        <v>18</v>
      </c>
      <c r="G17" s="55">
        <v>8757</v>
      </c>
      <c r="H17" s="16">
        <v>0</v>
      </c>
      <c r="I17" s="3" t="s">
        <v>15</v>
      </c>
      <c r="J17" s="5">
        <f t="shared" si="0"/>
        <v>46265</v>
      </c>
      <c r="K17" s="13" t="s">
        <v>1214</v>
      </c>
    </row>
    <row r="18" spans="1:11" ht="15.75" x14ac:dyDescent="0.25">
      <c r="A18" s="3">
        <v>10</v>
      </c>
      <c r="B18" s="3" t="s">
        <v>1208</v>
      </c>
      <c r="C18" s="80">
        <v>1900</v>
      </c>
      <c r="D18" s="5">
        <f t="shared" si="1"/>
        <v>46264</v>
      </c>
      <c r="E18" s="14">
        <v>0</v>
      </c>
      <c r="F18" s="13" t="s">
        <v>18</v>
      </c>
      <c r="G18" s="55">
        <v>3354</v>
      </c>
      <c r="H18" s="16">
        <v>0</v>
      </c>
      <c r="I18" s="3" t="s">
        <v>15</v>
      </c>
      <c r="J18" s="5">
        <f t="shared" si="0"/>
        <v>46265</v>
      </c>
      <c r="K18" s="13" t="s">
        <v>115</v>
      </c>
    </row>
    <row r="19" spans="1:11" ht="18.75" x14ac:dyDescent="0.3">
      <c r="A19" s="3"/>
      <c r="B19" s="17" t="s">
        <v>16</v>
      </c>
      <c r="C19" s="82">
        <f>SUM(C9:C18)</f>
        <v>103160</v>
      </c>
      <c r="D19" s="3"/>
      <c r="E19" s="3"/>
      <c r="F19" s="13"/>
      <c r="G19" s="13"/>
      <c r="H19" s="11"/>
      <c r="I19" s="3"/>
      <c r="J19" s="3"/>
      <c r="K19" s="3"/>
    </row>
    <row r="20" spans="1:11" ht="24.75" x14ac:dyDescent="0.5">
      <c r="A20" s="125" t="s">
        <v>20</v>
      </c>
      <c r="B20" s="126"/>
      <c r="C20" s="126"/>
      <c r="D20" s="126"/>
      <c r="E20" s="126"/>
      <c r="F20" s="126"/>
      <c r="G20" s="126"/>
      <c r="H20" s="126"/>
      <c r="I20" s="126"/>
      <c r="J20" s="126"/>
      <c r="K20" s="127"/>
    </row>
    <row r="21" spans="1:11" ht="18.75" x14ac:dyDescent="0.3">
      <c r="A21" s="19" t="s">
        <v>3</v>
      </c>
      <c r="B21" s="19" t="s">
        <v>21</v>
      </c>
      <c r="C21" s="50" t="s">
        <v>5</v>
      </c>
      <c r="D21" s="1" t="s">
        <v>22</v>
      </c>
      <c r="E21" s="19" t="s">
        <v>7</v>
      </c>
      <c r="F21" s="19" t="s">
        <v>8</v>
      </c>
      <c r="G21" s="19" t="s">
        <v>23</v>
      </c>
      <c r="H21" s="20" t="s">
        <v>24</v>
      </c>
      <c r="I21" s="19" t="s">
        <v>11</v>
      </c>
      <c r="J21" s="19" t="s">
        <v>25</v>
      </c>
      <c r="K21" s="21" t="s">
        <v>26</v>
      </c>
    </row>
    <row r="22" spans="1:11" ht="15.75" x14ac:dyDescent="0.25">
      <c r="A22" s="8">
        <v>1</v>
      </c>
      <c r="B22" s="8" t="s">
        <v>1209</v>
      </c>
      <c r="C22" s="75">
        <v>5600</v>
      </c>
      <c r="D22" s="5">
        <v>46264</v>
      </c>
      <c r="E22" s="8"/>
      <c r="F22" s="8"/>
      <c r="G22" s="22">
        <v>5426</v>
      </c>
      <c r="H22" s="23"/>
      <c r="I22" s="24"/>
      <c r="J22" s="5">
        <v>46264</v>
      </c>
      <c r="K22" s="13" t="s">
        <v>1212</v>
      </c>
    </row>
    <row r="23" spans="1:11" ht="15.75" x14ac:dyDescent="0.25">
      <c r="A23" s="8">
        <v>2</v>
      </c>
      <c r="B23" s="8" t="s">
        <v>41</v>
      </c>
      <c r="C23" s="75">
        <v>22126</v>
      </c>
      <c r="D23" s="5">
        <v>46264</v>
      </c>
      <c r="E23" s="8"/>
      <c r="F23" s="8"/>
      <c r="G23" s="22">
        <v>81</v>
      </c>
      <c r="H23" s="23"/>
      <c r="I23" s="24"/>
      <c r="J23" s="5">
        <v>46264</v>
      </c>
      <c r="K23" s="13" t="s">
        <v>115</v>
      </c>
    </row>
    <row r="24" spans="1:11" ht="15.75" x14ac:dyDescent="0.25">
      <c r="A24" s="8">
        <v>3</v>
      </c>
      <c r="B24" s="8" t="s">
        <v>412</v>
      </c>
      <c r="C24" s="75">
        <v>1200</v>
      </c>
      <c r="D24" s="5">
        <v>46264</v>
      </c>
      <c r="E24" s="8"/>
      <c r="F24" s="8"/>
      <c r="G24" s="22">
        <v>977</v>
      </c>
      <c r="H24" s="23"/>
      <c r="I24" s="24"/>
      <c r="J24" s="5">
        <v>46264</v>
      </c>
      <c r="K24" s="13" t="s">
        <v>1213</v>
      </c>
    </row>
    <row r="25" spans="1:11" ht="18.75" x14ac:dyDescent="0.25">
      <c r="A25" s="8"/>
      <c r="B25" s="25" t="s">
        <v>27</v>
      </c>
      <c r="C25" s="83">
        <f>SUM(C22:C24)</f>
        <v>28926</v>
      </c>
      <c r="D25" s="3"/>
      <c r="E25" s="8"/>
      <c r="F25" s="8"/>
      <c r="G25" s="8"/>
      <c r="H25" s="27">
        <v>0</v>
      </c>
      <c r="I25" s="24"/>
      <c r="J25" s="3"/>
      <c r="K25" s="28"/>
    </row>
    <row r="26" spans="1:11" x14ac:dyDescent="0.25">
      <c r="C26" s="29"/>
      <c r="H26" s="29"/>
    </row>
    <row r="27" spans="1:11" ht="16.5" x14ac:dyDescent="0.3">
      <c r="B27" s="30" t="s">
        <v>28</v>
      </c>
      <c r="C27" s="76">
        <f>SUM(C13,C14,C15,C16)</f>
        <v>81490</v>
      </c>
      <c r="E27" s="32"/>
      <c r="F27" s="32"/>
      <c r="G27" s="116"/>
      <c r="H27" s="116"/>
    </row>
    <row r="28" spans="1:11" ht="16.5" x14ac:dyDescent="0.3">
      <c r="B28" s="33" t="s">
        <v>29</v>
      </c>
      <c r="C28" s="77">
        <f>SUM(C9,C10,C12,C17,C18)</f>
        <v>3870</v>
      </c>
      <c r="E28" s="35"/>
      <c r="F28" s="35"/>
      <c r="G28" s="36" t="s">
        <v>30</v>
      </c>
      <c r="H28" s="37"/>
    </row>
    <row r="29" spans="1:11" ht="24" x14ac:dyDescent="0.4">
      <c r="B29" s="38" t="s">
        <v>1215</v>
      </c>
      <c r="C29" s="78">
        <f>SUM(C11)</f>
        <v>17800</v>
      </c>
      <c r="E29" s="40" t="s">
        <v>32</v>
      </c>
      <c r="F29" s="41"/>
      <c r="G29" s="42"/>
      <c r="H29" s="43"/>
      <c r="I29" s="42"/>
      <c r="J29" s="44"/>
    </row>
    <row r="30" spans="1:11" ht="18.75" x14ac:dyDescent="0.3">
      <c r="B30" s="45" t="s">
        <v>16</v>
      </c>
      <c r="C30" s="79">
        <f>SUM(C27:C29)</f>
        <v>103160</v>
      </c>
      <c r="G30" s="36"/>
      <c r="H30" s="37"/>
      <c r="I30" s="36"/>
      <c r="J30" s="36"/>
    </row>
  </sheetData>
  <mergeCells count="6">
    <mergeCell ref="G27:H27"/>
    <mergeCell ref="A1:K1"/>
    <mergeCell ref="A2:K2"/>
    <mergeCell ref="A3:K3"/>
    <mergeCell ref="A8:K8"/>
    <mergeCell ref="A20:K20"/>
  </mergeCells>
  <pageMargins left="0.59055118110236215" right="0" top="0.39370078740157483" bottom="0" header="0" footer="0"/>
  <pageSetup scale="83" orientation="landscape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959AE-8D75-43E1-AEB0-AF266E5199E2}">
  <dimension ref="A1:O37"/>
  <sheetViews>
    <sheetView topLeftCell="A21" workbookViewId="0">
      <selection activeCell="M26" sqref="M26"/>
    </sheetView>
  </sheetViews>
  <sheetFormatPr defaultRowHeight="15" x14ac:dyDescent="0.25"/>
  <cols>
    <col min="1" max="1" width="4.42578125" bestFit="1" customWidth="1"/>
    <col min="2" max="2" width="23.85546875" bestFit="1" customWidth="1"/>
    <col min="3" max="3" width="14.42578125" bestFit="1" customWidth="1"/>
    <col min="4" max="4" width="13.85546875" bestFit="1" customWidth="1"/>
    <col min="5" max="5" width="11.42578125" bestFit="1" customWidth="1"/>
    <col min="6" max="6" width="6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30.140625" bestFit="1" customWidth="1"/>
    <col min="15" max="15" width="13.140625" bestFit="1" customWidth="1"/>
  </cols>
  <sheetData>
    <row r="1" spans="1:11" ht="24.75" x14ac:dyDescent="0.25">
      <c r="A1" s="117" t="s">
        <v>829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1224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1225</v>
      </c>
      <c r="C5" s="80">
        <v>159415</v>
      </c>
      <c r="D5" s="5">
        <v>46265</v>
      </c>
      <c r="E5" s="6">
        <v>0</v>
      </c>
      <c r="F5" s="3" t="s">
        <v>14</v>
      </c>
      <c r="G5" s="49">
        <v>3721</v>
      </c>
      <c r="H5" s="7">
        <v>0</v>
      </c>
      <c r="I5" s="3" t="s">
        <v>15</v>
      </c>
      <c r="J5" s="5">
        <f>+D5-1</f>
        <v>46264</v>
      </c>
      <c r="K5" s="8" t="s">
        <v>1233</v>
      </c>
    </row>
    <row r="6" spans="1:11" ht="15.75" x14ac:dyDescent="0.25">
      <c r="A6" s="3">
        <v>2</v>
      </c>
      <c r="B6" s="3" t="s">
        <v>45</v>
      </c>
      <c r="C6" s="80">
        <v>41000</v>
      </c>
      <c r="D6" s="5">
        <v>46265</v>
      </c>
      <c r="E6" s="6">
        <v>0</v>
      </c>
      <c r="F6" s="3" t="s">
        <v>14</v>
      </c>
      <c r="G6" s="49">
        <v>9845</v>
      </c>
      <c r="H6" s="7">
        <v>0</v>
      </c>
      <c r="I6" s="3" t="s">
        <v>15</v>
      </c>
      <c r="J6" s="5">
        <f>+D6-1</f>
        <v>46264</v>
      </c>
      <c r="K6" s="8" t="s">
        <v>46</v>
      </c>
    </row>
    <row r="7" spans="1:11" ht="15.75" x14ac:dyDescent="0.25">
      <c r="A7" s="3">
        <v>3</v>
      </c>
      <c r="B7" s="3" t="s">
        <v>45</v>
      </c>
      <c r="C7" s="80">
        <v>32500</v>
      </c>
      <c r="D7" s="5">
        <v>46265</v>
      </c>
      <c r="E7" s="6">
        <v>0</v>
      </c>
      <c r="F7" s="3" t="s">
        <v>14</v>
      </c>
      <c r="G7" s="49">
        <v>9914</v>
      </c>
      <c r="H7" s="7">
        <v>0</v>
      </c>
      <c r="I7" s="3" t="s">
        <v>15</v>
      </c>
      <c r="J7" s="5">
        <f>+D7-1</f>
        <v>46264</v>
      </c>
      <c r="K7" s="8" t="s">
        <v>46</v>
      </c>
    </row>
    <row r="8" spans="1:11" ht="18.75" x14ac:dyDescent="0.3">
      <c r="A8" s="9"/>
      <c r="B8" s="10" t="s">
        <v>16</v>
      </c>
      <c r="C8" s="81">
        <f>SUM(C5:C7)</f>
        <v>232915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4" x14ac:dyDescent="0.4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75" x14ac:dyDescent="0.25">
      <c r="A11" s="3">
        <v>1</v>
      </c>
      <c r="B11" s="3" t="s">
        <v>1217</v>
      </c>
      <c r="C11" s="80">
        <v>535</v>
      </c>
      <c r="D11" s="5">
        <v>46265</v>
      </c>
      <c r="E11" s="14">
        <v>0</v>
      </c>
      <c r="F11" s="13" t="s">
        <v>18</v>
      </c>
      <c r="G11" s="55">
        <v>6686</v>
      </c>
      <c r="H11" s="16">
        <v>0</v>
      </c>
      <c r="I11" s="3" t="s">
        <v>19</v>
      </c>
      <c r="J11" s="5">
        <f t="shared" ref="J11:J22" si="0">+D11+1</f>
        <v>46266</v>
      </c>
      <c r="K11" s="13" t="s">
        <v>204</v>
      </c>
    </row>
    <row r="12" spans="1:11" ht="15.75" x14ac:dyDescent="0.25">
      <c r="A12" s="3">
        <v>2</v>
      </c>
      <c r="B12" s="3" t="s">
        <v>1218</v>
      </c>
      <c r="C12" s="80">
        <v>20</v>
      </c>
      <c r="D12" s="5">
        <f t="shared" ref="D12:D22" si="1">+D11</f>
        <v>46265</v>
      </c>
      <c r="E12" s="14">
        <v>0</v>
      </c>
      <c r="F12" s="13" t="s">
        <v>18</v>
      </c>
      <c r="G12" s="55">
        <v>3091</v>
      </c>
      <c r="H12" s="16">
        <v>0</v>
      </c>
      <c r="I12" s="3" t="s">
        <v>15</v>
      </c>
      <c r="J12" s="5">
        <f t="shared" si="0"/>
        <v>46266</v>
      </c>
      <c r="K12" s="13" t="s">
        <v>115</v>
      </c>
    </row>
    <row r="13" spans="1:11" ht="15.75" x14ac:dyDescent="0.25">
      <c r="A13" s="3">
        <v>3</v>
      </c>
      <c r="B13" s="3" t="s">
        <v>671</v>
      </c>
      <c r="C13" s="80">
        <v>3848</v>
      </c>
      <c r="D13" s="5">
        <f t="shared" si="1"/>
        <v>46265</v>
      </c>
      <c r="E13" s="14">
        <v>0</v>
      </c>
      <c r="F13" s="13" t="s">
        <v>18</v>
      </c>
      <c r="G13" s="55">
        <v>9966</v>
      </c>
      <c r="H13" s="16">
        <v>0</v>
      </c>
      <c r="I13" s="3" t="s">
        <v>15</v>
      </c>
      <c r="J13" s="5">
        <f t="shared" si="0"/>
        <v>46266</v>
      </c>
      <c r="K13" s="13" t="s">
        <v>1231</v>
      </c>
    </row>
    <row r="14" spans="1:11" ht="15.75" x14ac:dyDescent="0.25">
      <c r="A14" s="3">
        <v>4</v>
      </c>
      <c r="B14" s="3" t="s">
        <v>1219</v>
      </c>
      <c r="C14" s="80">
        <v>515</v>
      </c>
      <c r="D14" s="5">
        <f t="shared" si="1"/>
        <v>46265</v>
      </c>
      <c r="E14" s="14">
        <v>0</v>
      </c>
      <c r="F14" s="13" t="s">
        <v>18</v>
      </c>
      <c r="G14" s="55">
        <v>511</v>
      </c>
      <c r="H14" s="16">
        <v>0</v>
      </c>
      <c r="I14" s="3" t="s">
        <v>15</v>
      </c>
      <c r="J14" s="5">
        <f t="shared" si="0"/>
        <v>46266</v>
      </c>
      <c r="K14" s="13" t="s">
        <v>115</v>
      </c>
    </row>
    <row r="15" spans="1:11" ht="15.75" x14ac:dyDescent="0.25">
      <c r="A15" s="3">
        <v>5</v>
      </c>
      <c r="B15" s="3" t="s">
        <v>1220</v>
      </c>
      <c r="C15" s="80">
        <v>10</v>
      </c>
      <c r="D15" s="5">
        <f t="shared" si="1"/>
        <v>46265</v>
      </c>
      <c r="E15" s="14">
        <v>0</v>
      </c>
      <c r="F15" s="13" t="s">
        <v>18</v>
      </c>
      <c r="G15" s="55">
        <v>2154</v>
      </c>
      <c r="H15" s="16">
        <v>0</v>
      </c>
      <c r="I15" s="3" t="s">
        <v>15</v>
      </c>
      <c r="J15" s="5">
        <f t="shared" si="0"/>
        <v>46266</v>
      </c>
      <c r="K15" s="13" t="s">
        <v>115</v>
      </c>
    </row>
    <row r="16" spans="1:11" ht="15.75" x14ac:dyDescent="0.25">
      <c r="A16" s="3">
        <v>6</v>
      </c>
      <c r="B16" s="3" t="s">
        <v>1221</v>
      </c>
      <c r="C16" s="80">
        <v>1000</v>
      </c>
      <c r="D16" s="5">
        <f t="shared" si="1"/>
        <v>46265</v>
      </c>
      <c r="E16" s="14">
        <v>0</v>
      </c>
      <c r="F16" s="13" t="s">
        <v>18</v>
      </c>
      <c r="G16" s="55">
        <v>4819</v>
      </c>
      <c r="H16" s="16">
        <v>0</v>
      </c>
      <c r="I16" s="3" t="s">
        <v>15</v>
      </c>
      <c r="J16" s="5">
        <f t="shared" si="0"/>
        <v>46266</v>
      </c>
      <c r="K16" s="13" t="s">
        <v>1230</v>
      </c>
    </row>
    <row r="17" spans="1:15" ht="15.75" x14ac:dyDescent="0.25">
      <c r="A17" s="3">
        <v>7</v>
      </c>
      <c r="B17" s="3" t="s">
        <v>1205</v>
      </c>
      <c r="C17" s="80">
        <v>5355</v>
      </c>
      <c r="D17" s="5">
        <f t="shared" si="1"/>
        <v>46265</v>
      </c>
      <c r="E17" s="14">
        <v>0</v>
      </c>
      <c r="F17" s="13" t="s">
        <v>18</v>
      </c>
      <c r="G17" s="55">
        <v>4385</v>
      </c>
      <c r="H17" s="16">
        <v>0</v>
      </c>
      <c r="I17" s="3" t="s">
        <v>15</v>
      </c>
      <c r="J17" s="5">
        <f t="shared" si="0"/>
        <v>46266</v>
      </c>
      <c r="K17" s="13" t="s">
        <v>115</v>
      </c>
      <c r="O17" s="98"/>
    </row>
    <row r="18" spans="1:15" ht="15.75" x14ac:dyDescent="0.25">
      <c r="A18" s="3">
        <v>8</v>
      </c>
      <c r="B18" s="3" t="s">
        <v>455</v>
      </c>
      <c r="C18" s="80">
        <v>1700</v>
      </c>
      <c r="D18" s="5">
        <f t="shared" si="1"/>
        <v>46265</v>
      </c>
      <c r="E18" s="14">
        <v>0</v>
      </c>
      <c r="F18" s="13" t="s">
        <v>18</v>
      </c>
      <c r="G18" s="55">
        <v>512</v>
      </c>
      <c r="H18" s="16">
        <v>0</v>
      </c>
      <c r="I18" s="3" t="s">
        <v>15</v>
      </c>
      <c r="J18" s="5">
        <f t="shared" si="0"/>
        <v>46266</v>
      </c>
      <c r="K18" s="13" t="s">
        <v>1232</v>
      </c>
    </row>
    <row r="19" spans="1:15" ht="15.75" x14ac:dyDescent="0.25">
      <c r="A19" s="3">
        <v>9</v>
      </c>
      <c r="B19" s="3" t="s">
        <v>1222</v>
      </c>
      <c r="C19" s="80">
        <v>3300</v>
      </c>
      <c r="D19" s="5">
        <f t="shared" si="1"/>
        <v>46265</v>
      </c>
      <c r="E19" s="14">
        <v>0</v>
      </c>
      <c r="F19" s="13" t="s">
        <v>18</v>
      </c>
      <c r="G19" s="55">
        <v>6684</v>
      </c>
      <c r="H19" s="16">
        <v>0</v>
      </c>
      <c r="I19" s="3" t="s">
        <v>15</v>
      </c>
      <c r="J19" s="5">
        <f t="shared" si="0"/>
        <v>46266</v>
      </c>
      <c r="K19" s="13" t="s">
        <v>115</v>
      </c>
    </row>
    <row r="20" spans="1:15" ht="15.75" x14ac:dyDescent="0.25">
      <c r="A20" s="3">
        <v>10</v>
      </c>
      <c r="B20" s="3" t="s">
        <v>1223</v>
      </c>
      <c r="C20" s="80">
        <v>5700</v>
      </c>
      <c r="D20" s="5">
        <f t="shared" si="1"/>
        <v>46265</v>
      </c>
      <c r="E20" s="14">
        <v>0</v>
      </c>
      <c r="F20" s="13" t="s">
        <v>18</v>
      </c>
      <c r="G20" s="55">
        <v>2611</v>
      </c>
      <c r="H20" s="16">
        <v>0</v>
      </c>
      <c r="I20" s="3" t="s">
        <v>15</v>
      </c>
      <c r="J20" s="5">
        <f t="shared" si="0"/>
        <v>46266</v>
      </c>
      <c r="K20" s="13" t="s">
        <v>102</v>
      </c>
    </row>
    <row r="21" spans="1:15" ht="15.75" x14ac:dyDescent="0.25">
      <c r="A21" s="3">
        <v>11</v>
      </c>
      <c r="B21" s="3" t="s">
        <v>722</v>
      </c>
      <c r="C21" s="80">
        <v>1100</v>
      </c>
      <c r="D21" s="5">
        <f t="shared" si="1"/>
        <v>46265</v>
      </c>
      <c r="E21" s="14">
        <v>0</v>
      </c>
      <c r="F21" s="13" t="s">
        <v>18</v>
      </c>
      <c r="G21" s="55">
        <v>6600</v>
      </c>
      <c r="H21" s="16">
        <v>0</v>
      </c>
      <c r="I21" s="3" t="s">
        <v>15</v>
      </c>
      <c r="J21" s="5">
        <f t="shared" si="0"/>
        <v>46266</v>
      </c>
      <c r="K21" s="13" t="s">
        <v>745</v>
      </c>
    </row>
    <row r="22" spans="1:15" ht="15.75" x14ac:dyDescent="0.25">
      <c r="A22" s="3">
        <v>12</v>
      </c>
      <c r="B22" s="3" t="s">
        <v>722</v>
      </c>
      <c r="C22" s="80">
        <v>2000</v>
      </c>
      <c r="D22" s="5">
        <f t="shared" si="1"/>
        <v>46265</v>
      </c>
      <c r="E22" s="14">
        <v>0</v>
      </c>
      <c r="F22" s="13" t="s">
        <v>18</v>
      </c>
      <c r="G22" s="55">
        <v>266</v>
      </c>
      <c r="H22" s="16">
        <v>0</v>
      </c>
      <c r="I22" s="3" t="s">
        <v>15</v>
      </c>
      <c r="J22" s="5">
        <f t="shared" si="0"/>
        <v>46266</v>
      </c>
      <c r="K22" s="13" t="s">
        <v>203</v>
      </c>
    </row>
    <row r="23" spans="1:15" ht="18.75" x14ac:dyDescent="0.3">
      <c r="A23" s="3"/>
      <c r="B23" s="17" t="s">
        <v>16</v>
      </c>
      <c r="C23" s="82">
        <f>SUM(C11:C22)</f>
        <v>25083</v>
      </c>
      <c r="D23" s="3"/>
      <c r="E23" s="3"/>
      <c r="F23" s="13"/>
      <c r="G23" s="13"/>
      <c r="H23" s="11"/>
      <c r="I23" s="3"/>
      <c r="J23" s="3"/>
      <c r="K23" s="3"/>
    </row>
    <row r="24" spans="1:15" ht="24.75" x14ac:dyDescent="0.5">
      <c r="A24" s="125" t="s">
        <v>20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7"/>
    </row>
    <row r="25" spans="1:15" ht="18.75" x14ac:dyDescent="0.3">
      <c r="A25" s="19" t="s">
        <v>3</v>
      </c>
      <c r="B25" s="19" t="s">
        <v>21</v>
      </c>
      <c r="C25" s="50" t="s">
        <v>5</v>
      </c>
      <c r="D25" s="1" t="s">
        <v>22</v>
      </c>
      <c r="E25" s="19" t="s">
        <v>7</v>
      </c>
      <c r="F25" s="19" t="s">
        <v>8</v>
      </c>
      <c r="G25" s="19" t="s">
        <v>23</v>
      </c>
      <c r="H25" s="20" t="s">
        <v>24</v>
      </c>
      <c r="I25" s="19" t="s">
        <v>11</v>
      </c>
      <c r="J25" s="19" t="s">
        <v>25</v>
      </c>
      <c r="K25" s="21" t="s">
        <v>26</v>
      </c>
    </row>
    <row r="26" spans="1:15" ht="15.75" x14ac:dyDescent="0.25">
      <c r="A26" s="8">
        <v>1</v>
      </c>
      <c r="B26" s="8" t="s">
        <v>41</v>
      </c>
      <c r="C26" s="75">
        <v>30006</v>
      </c>
      <c r="D26" s="5">
        <v>46265</v>
      </c>
      <c r="E26" s="8"/>
      <c r="F26" s="8"/>
      <c r="G26" s="22">
        <v>29</v>
      </c>
      <c r="H26" s="23"/>
      <c r="I26" s="24"/>
      <c r="J26" s="5">
        <v>46265</v>
      </c>
      <c r="K26" s="13" t="s">
        <v>115</v>
      </c>
    </row>
    <row r="27" spans="1:15" ht="15.75" x14ac:dyDescent="0.25">
      <c r="A27" s="8">
        <v>2</v>
      </c>
      <c r="B27" s="8" t="s">
        <v>1226</v>
      </c>
      <c r="C27" s="75">
        <v>2810</v>
      </c>
      <c r="D27" s="5">
        <v>46265</v>
      </c>
      <c r="E27" s="8"/>
      <c r="F27" s="8"/>
      <c r="G27" s="22">
        <v>8459</v>
      </c>
      <c r="H27" s="23"/>
      <c r="I27" s="24"/>
      <c r="J27" s="5">
        <v>46265</v>
      </c>
      <c r="K27" s="13" t="s">
        <v>1162</v>
      </c>
    </row>
    <row r="28" spans="1:15" ht="15.75" x14ac:dyDescent="0.25">
      <c r="A28" s="8">
        <v>3</v>
      </c>
      <c r="B28" s="8" t="s">
        <v>229</v>
      </c>
      <c r="C28" s="75">
        <v>69550</v>
      </c>
      <c r="D28" s="5">
        <v>46265</v>
      </c>
      <c r="E28" s="8"/>
      <c r="F28" s="8"/>
      <c r="G28" s="22" t="s">
        <v>1227</v>
      </c>
      <c r="H28" s="23"/>
      <c r="I28" s="24"/>
      <c r="J28" s="5">
        <v>46265</v>
      </c>
      <c r="K28" s="13" t="s">
        <v>1235</v>
      </c>
    </row>
    <row r="29" spans="1:15" ht="15.75" x14ac:dyDescent="0.25">
      <c r="A29" s="8">
        <v>4</v>
      </c>
      <c r="B29" s="8" t="s">
        <v>1228</v>
      </c>
      <c r="C29" s="75">
        <v>99613</v>
      </c>
      <c r="D29" s="5">
        <v>46265</v>
      </c>
      <c r="E29" s="8"/>
      <c r="F29" s="8"/>
      <c r="G29" s="22">
        <v>121</v>
      </c>
      <c r="H29" s="23"/>
      <c r="I29" s="24"/>
      <c r="J29" s="5">
        <v>46265</v>
      </c>
      <c r="K29" s="13" t="s">
        <v>1236</v>
      </c>
    </row>
    <row r="30" spans="1:15" ht="15.75" x14ac:dyDescent="0.25">
      <c r="A30" s="8">
        <v>5</v>
      </c>
      <c r="B30" s="8" t="s">
        <v>823</v>
      </c>
      <c r="C30" s="75">
        <v>35000</v>
      </c>
      <c r="D30" s="5">
        <v>46265</v>
      </c>
      <c r="E30" s="8"/>
      <c r="F30" s="8"/>
      <c r="G30" s="22">
        <v>5208</v>
      </c>
      <c r="H30" s="23"/>
      <c r="I30" s="24"/>
      <c r="J30" s="5">
        <v>46265</v>
      </c>
      <c r="K30" s="13" t="s">
        <v>115</v>
      </c>
    </row>
    <row r="31" spans="1:15" ht="15.75" x14ac:dyDescent="0.25">
      <c r="A31" s="8">
        <v>6</v>
      </c>
      <c r="B31" s="8" t="s">
        <v>1229</v>
      </c>
      <c r="C31" s="75">
        <v>20000</v>
      </c>
      <c r="D31" s="5">
        <v>46265</v>
      </c>
      <c r="E31" s="8"/>
      <c r="F31" s="8"/>
      <c r="G31" s="22">
        <v>4212</v>
      </c>
      <c r="H31" s="23"/>
      <c r="I31" s="24"/>
      <c r="J31" s="5">
        <v>46265</v>
      </c>
      <c r="K31" s="13" t="s">
        <v>1234</v>
      </c>
    </row>
    <row r="32" spans="1:15" ht="18.75" x14ac:dyDescent="0.25">
      <c r="A32" s="8"/>
      <c r="B32" s="25" t="s">
        <v>27</v>
      </c>
      <c r="C32" s="83">
        <f>SUM(C26:C31)</f>
        <v>256979</v>
      </c>
      <c r="D32" s="3"/>
      <c r="E32" s="8"/>
      <c r="F32" s="8"/>
      <c r="G32" s="8"/>
      <c r="H32" s="27">
        <v>0</v>
      </c>
      <c r="I32" s="24"/>
      <c r="J32" s="3"/>
      <c r="K32" s="28"/>
    </row>
    <row r="33" spans="2:10" x14ac:dyDescent="0.25">
      <c r="C33" s="29"/>
      <c r="H33" s="29"/>
    </row>
    <row r="34" spans="2:10" ht="16.5" x14ac:dyDescent="0.3">
      <c r="B34" s="30" t="s">
        <v>28</v>
      </c>
      <c r="C34" s="76">
        <f>SUM(C11,C13,C18,C20,C21,C22)</f>
        <v>14883</v>
      </c>
      <c r="E34" s="32"/>
      <c r="F34" s="32"/>
      <c r="G34" s="116"/>
      <c r="H34" s="116"/>
    </row>
    <row r="35" spans="2:10" ht="16.5" x14ac:dyDescent="0.3">
      <c r="B35" s="33" t="s">
        <v>29</v>
      </c>
      <c r="C35" s="77">
        <f>SUM(C12,C14,C15,C17,C19)</f>
        <v>9200</v>
      </c>
      <c r="E35" s="35"/>
      <c r="F35" s="35"/>
      <c r="G35" s="36" t="s">
        <v>30</v>
      </c>
      <c r="H35" s="37"/>
    </row>
    <row r="36" spans="2:10" ht="24" x14ac:dyDescent="0.4">
      <c r="B36" s="38" t="s">
        <v>1230</v>
      </c>
      <c r="C36" s="78">
        <f>SUM(C16)</f>
        <v>1000</v>
      </c>
      <c r="E36" s="40" t="s">
        <v>32</v>
      </c>
      <c r="F36" s="41"/>
      <c r="G36" s="42"/>
      <c r="H36" s="43"/>
      <c r="I36" s="42"/>
      <c r="J36" s="44"/>
    </row>
    <row r="37" spans="2:10" ht="18.75" x14ac:dyDescent="0.3">
      <c r="B37" s="45" t="s">
        <v>16</v>
      </c>
      <c r="C37" s="79">
        <f>SUM(C34:C36)</f>
        <v>25083</v>
      </c>
      <c r="G37" s="36"/>
      <c r="H37" s="37"/>
      <c r="I37" s="36"/>
      <c r="J37" s="36"/>
    </row>
  </sheetData>
  <mergeCells count="6">
    <mergeCell ref="G34:H34"/>
    <mergeCell ref="A1:K1"/>
    <mergeCell ref="A2:K2"/>
    <mergeCell ref="A3:K3"/>
    <mergeCell ref="A10:K10"/>
    <mergeCell ref="A24:K24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3CA05-B0C5-48DB-AEA7-254662A5B143}">
  <sheetPr>
    <pageSetUpPr fitToPage="1"/>
  </sheetPr>
  <dimension ref="A1:K31"/>
  <sheetViews>
    <sheetView topLeftCell="A14" workbookViewId="0">
      <selection activeCell="E16" sqref="E16"/>
    </sheetView>
  </sheetViews>
  <sheetFormatPr defaultRowHeight="15" x14ac:dyDescent="0.25"/>
  <cols>
    <col min="1" max="1" width="4.42578125" bestFit="1" customWidth="1"/>
    <col min="2" max="2" width="20.7109375" bestFit="1" customWidth="1"/>
    <col min="3" max="3" width="14.4257812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34.28515625" customWidth="1"/>
  </cols>
  <sheetData>
    <row r="1" spans="1:11" ht="24.75" x14ac:dyDescent="0.25">
      <c r="A1" s="117" t="s">
        <v>829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1237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46266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46265</v>
      </c>
      <c r="K5" s="8" t="s">
        <v>33</v>
      </c>
    </row>
    <row r="6" spans="1:11" ht="18.75" x14ac:dyDescent="0.3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4" x14ac:dyDescent="0.4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75" x14ac:dyDescent="0.25">
      <c r="A9" s="3">
        <v>1</v>
      </c>
      <c r="B9" s="3" t="s">
        <v>1238</v>
      </c>
      <c r="C9" s="80">
        <v>505</v>
      </c>
      <c r="D9" s="5">
        <v>46266</v>
      </c>
      <c r="E9" s="14">
        <v>0</v>
      </c>
      <c r="F9" s="13" t="s">
        <v>18</v>
      </c>
      <c r="G9" s="55">
        <v>4658</v>
      </c>
      <c r="H9" s="16">
        <v>0</v>
      </c>
      <c r="I9" s="3" t="s">
        <v>19</v>
      </c>
      <c r="J9" s="5">
        <f t="shared" ref="J9:J18" si="0">+D9+1</f>
        <v>46267</v>
      </c>
      <c r="K9" s="13" t="s">
        <v>115</v>
      </c>
    </row>
    <row r="10" spans="1:11" ht="15.75" x14ac:dyDescent="0.25">
      <c r="A10" s="3">
        <v>2</v>
      </c>
      <c r="B10" s="3" t="s">
        <v>1206</v>
      </c>
      <c r="C10" s="80">
        <v>2000</v>
      </c>
      <c r="D10" s="5">
        <f t="shared" ref="D10:D18" si="1">+D9</f>
        <v>46266</v>
      </c>
      <c r="E10" s="14">
        <v>0</v>
      </c>
      <c r="F10" s="13" t="s">
        <v>18</v>
      </c>
      <c r="G10" s="55">
        <v>7572</v>
      </c>
      <c r="H10" s="16">
        <v>0</v>
      </c>
      <c r="I10" s="3" t="s">
        <v>15</v>
      </c>
      <c r="J10" s="5">
        <f t="shared" si="0"/>
        <v>46267</v>
      </c>
      <c r="K10" s="13" t="s">
        <v>157</v>
      </c>
    </row>
    <row r="11" spans="1:11" ht="15.75" x14ac:dyDescent="0.25">
      <c r="A11" s="3">
        <v>3</v>
      </c>
      <c r="B11" s="3" t="s">
        <v>1206</v>
      </c>
      <c r="C11" s="80">
        <v>2000</v>
      </c>
      <c r="D11" s="5">
        <f t="shared" si="1"/>
        <v>46266</v>
      </c>
      <c r="E11" s="14">
        <v>0</v>
      </c>
      <c r="F11" s="13" t="s">
        <v>18</v>
      </c>
      <c r="G11" s="55">
        <v>8770</v>
      </c>
      <c r="H11" s="16">
        <v>0</v>
      </c>
      <c r="I11" s="3" t="s">
        <v>15</v>
      </c>
      <c r="J11" s="5">
        <f t="shared" si="0"/>
        <v>46267</v>
      </c>
      <c r="K11" s="13" t="s">
        <v>157</v>
      </c>
    </row>
    <row r="12" spans="1:11" ht="15.75" x14ac:dyDescent="0.25">
      <c r="A12" s="3">
        <v>4</v>
      </c>
      <c r="B12" s="3" t="s">
        <v>1239</v>
      </c>
      <c r="C12" s="80">
        <v>2880</v>
      </c>
      <c r="D12" s="5">
        <f t="shared" si="1"/>
        <v>46266</v>
      </c>
      <c r="E12" s="14">
        <v>0</v>
      </c>
      <c r="F12" s="13" t="s">
        <v>18</v>
      </c>
      <c r="G12" s="55">
        <v>906</v>
      </c>
      <c r="H12" s="16">
        <v>0</v>
      </c>
      <c r="I12" s="3" t="s">
        <v>15</v>
      </c>
      <c r="J12" s="5">
        <f t="shared" si="0"/>
        <v>46267</v>
      </c>
      <c r="K12" s="13" t="s">
        <v>115</v>
      </c>
    </row>
    <row r="13" spans="1:11" ht="15.75" x14ac:dyDescent="0.25">
      <c r="A13" s="3">
        <v>5</v>
      </c>
      <c r="B13" s="3" t="s">
        <v>1240</v>
      </c>
      <c r="C13" s="80">
        <v>710</v>
      </c>
      <c r="D13" s="5">
        <f t="shared" si="1"/>
        <v>46266</v>
      </c>
      <c r="E13" s="14">
        <v>0</v>
      </c>
      <c r="F13" s="13" t="s">
        <v>18</v>
      </c>
      <c r="G13" s="55">
        <v>9258</v>
      </c>
      <c r="H13" s="16">
        <v>0</v>
      </c>
      <c r="I13" s="3" t="s">
        <v>15</v>
      </c>
      <c r="J13" s="5">
        <f t="shared" si="0"/>
        <v>46267</v>
      </c>
      <c r="K13" s="13" t="s">
        <v>1248</v>
      </c>
    </row>
    <row r="14" spans="1:11" ht="15.75" x14ac:dyDescent="0.25">
      <c r="A14" s="3">
        <v>6</v>
      </c>
      <c r="B14" s="3" t="s">
        <v>1241</v>
      </c>
      <c r="C14" s="80">
        <v>465</v>
      </c>
      <c r="D14" s="5">
        <f t="shared" si="1"/>
        <v>46266</v>
      </c>
      <c r="E14" s="14">
        <v>0</v>
      </c>
      <c r="F14" s="13" t="s">
        <v>18</v>
      </c>
      <c r="G14" s="55">
        <v>5611</v>
      </c>
      <c r="H14" s="16">
        <v>0</v>
      </c>
      <c r="I14" s="3" t="s">
        <v>15</v>
      </c>
      <c r="J14" s="5">
        <f t="shared" si="0"/>
        <v>46267</v>
      </c>
      <c r="K14" s="13" t="s">
        <v>115</v>
      </c>
    </row>
    <row r="15" spans="1:11" ht="15.75" x14ac:dyDescent="0.25">
      <c r="A15" s="3">
        <v>7</v>
      </c>
      <c r="B15" s="3" t="s">
        <v>1242</v>
      </c>
      <c r="C15" s="80">
        <v>1200</v>
      </c>
      <c r="D15" s="5">
        <f t="shared" si="1"/>
        <v>46266</v>
      </c>
      <c r="E15" s="14">
        <v>0</v>
      </c>
      <c r="F15" s="13" t="s">
        <v>18</v>
      </c>
      <c r="G15" s="55">
        <v>3682</v>
      </c>
      <c r="H15" s="16">
        <v>0</v>
      </c>
      <c r="I15" s="3" t="s">
        <v>15</v>
      </c>
      <c r="J15" s="5">
        <f t="shared" si="0"/>
        <v>46267</v>
      </c>
      <c r="K15" s="13" t="s">
        <v>115</v>
      </c>
    </row>
    <row r="16" spans="1:11" ht="15.75" x14ac:dyDescent="0.25">
      <c r="A16" s="3">
        <v>8</v>
      </c>
      <c r="B16" s="3" t="s">
        <v>1243</v>
      </c>
      <c r="C16" s="80">
        <v>1950</v>
      </c>
      <c r="D16" s="5">
        <f t="shared" si="1"/>
        <v>46266</v>
      </c>
      <c r="E16" s="14">
        <v>0</v>
      </c>
      <c r="F16" s="13" t="s">
        <v>18</v>
      </c>
      <c r="G16" s="55">
        <v>8789</v>
      </c>
      <c r="H16" s="16">
        <v>0</v>
      </c>
      <c r="I16" s="3" t="s">
        <v>15</v>
      </c>
      <c r="J16" s="5">
        <f t="shared" si="0"/>
        <v>46267</v>
      </c>
      <c r="K16" s="13" t="s">
        <v>115</v>
      </c>
    </row>
    <row r="17" spans="1:11" ht="15.75" x14ac:dyDescent="0.25">
      <c r="A17" s="3">
        <v>9</v>
      </c>
      <c r="B17" s="3" t="s">
        <v>1244</v>
      </c>
      <c r="C17" s="80">
        <v>7050</v>
      </c>
      <c r="D17" s="5">
        <f t="shared" si="1"/>
        <v>46266</v>
      </c>
      <c r="E17" s="14">
        <v>0</v>
      </c>
      <c r="F17" s="13" t="s">
        <v>18</v>
      </c>
      <c r="G17" s="55">
        <v>7957</v>
      </c>
      <c r="H17" s="16">
        <v>0</v>
      </c>
      <c r="I17" s="3" t="s">
        <v>15</v>
      </c>
      <c r="J17" s="5">
        <f t="shared" si="0"/>
        <v>46267</v>
      </c>
      <c r="K17" s="13" t="s">
        <v>115</v>
      </c>
    </row>
    <row r="18" spans="1:11" ht="15.75" x14ac:dyDescent="0.25">
      <c r="A18" s="3">
        <v>10</v>
      </c>
      <c r="B18" s="3" t="s">
        <v>1245</v>
      </c>
      <c r="C18" s="80">
        <v>500</v>
      </c>
      <c r="D18" s="5">
        <f t="shared" si="1"/>
        <v>46266</v>
      </c>
      <c r="E18" s="14">
        <v>0</v>
      </c>
      <c r="F18" s="13" t="s">
        <v>18</v>
      </c>
      <c r="G18" s="55">
        <v>5505</v>
      </c>
      <c r="H18" s="16">
        <v>0</v>
      </c>
      <c r="I18" s="3" t="s">
        <v>15</v>
      </c>
      <c r="J18" s="5">
        <f t="shared" si="0"/>
        <v>46267</v>
      </c>
      <c r="K18" s="13" t="s">
        <v>115</v>
      </c>
    </row>
    <row r="19" spans="1:11" ht="18.75" x14ac:dyDescent="0.3">
      <c r="A19" s="3"/>
      <c r="B19" s="17" t="s">
        <v>16</v>
      </c>
      <c r="C19" s="82">
        <f>SUM(C9:C18)</f>
        <v>19260</v>
      </c>
      <c r="D19" s="3"/>
      <c r="E19" s="3"/>
      <c r="F19" s="13"/>
      <c r="G19" s="13"/>
      <c r="H19" s="11"/>
      <c r="I19" s="3"/>
      <c r="J19" s="3"/>
      <c r="K19" s="3"/>
    </row>
    <row r="20" spans="1:11" ht="24.75" x14ac:dyDescent="0.5">
      <c r="A20" s="125" t="s">
        <v>20</v>
      </c>
      <c r="B20" s="126"/>
      <c r="C20" s="126"/>
      <c r="D20" s="126"/>
      <c r="E20" s="126"/>
      <c r="F20" s="126"/>
      <c r="G20" s="126"/>
      <c r="H20" s="126"/>
      <c r="I20" s="126"/>
      <c r="J20" s="126"/>
      <c r="K20" s="127"/>
    </row>
    <row r="21" spans="1:11" ht="18.75" x14ac:dyDescent="0.3">
      <c r="A21" s="19" t="s">
        <v>3</v>
      </c>
      <c r="B21" s="19" t="s">
        <v>21</v>
      </c>
      <c r="C21" s="50" t="s">
        <v>5</v>
      </c>
      <c r="D21" s="1" t="s">
        <v>22</v>
      </c>
      <c r="E21" s="19" t="s">
        <v>7</v>
      </c>
      <c r="F21" s="19" t="s">
        <v>8</v>
      </c>
      <c r="G21" s="19" t="s">
        <v>23</v>
      </c>
      <c r="H21" s="20" t="s">
        <v>24</v>
      </c>
      <c r="I21" s="19" t="s">
        <v>11</v>
      </c>
      <c r="J21" s="19" t="s">
        <v>25</v>
      </c>
      <c r="K21" s="21" t="s">
        <v>26</v>
      </c>
    </row>
    <row r="22" spans="1:11" ht="15.75" x14ac:dyDescent="0.25">
      <c r="A22" s="8">
        <v>1</v>
      </c>
      <c r="B22" s="8" t="s">
        <v>412</v>
      </c>
      <c r="C22" s="75">
        <v>1000</v>
      </c>
      <c r="D22" s="5">
        <v>46266</v>
      </c>
      <c r="E22" s="8"/>
      <c r="F22" s="8"/>
      <c r="G22" s="22">
        <v>5683</v>
      </c>
      <c r="H22" s="23"/>
      <c r="I22" s="24"/>
      <c r="J22" s="5">
        <v>46266</v>
      </c>
      <c r="K22" s="13" t="s">
        <v>1249</v>
      </c>
    </row>
    <row r="23" spans="1:11" ht="15.75" x14ac:dyDescent="0.25">
      <c r="A23" s="8">
        <v>2</v>
      </c>
      <c r="B23" s="8" t="s">
        <v>1246</v>
      </c>
      <c r="C23" s="75">
        <v>100000</v>
      </c>
      <c r="D23" s="5">
        <v>46266</v>
      </c>
      <c r="E23" s="8"/>
      <c r="F23" s="8"/>
      <c r="G23" s="22">
        <v>7749</v>
      </c>
      <c r="H23" s="23"/>
      <c r="I23" s="24"/>
      <c r="J23" s="5">
        <v>46266</v>
      </c>
      <c r="K23" s="13" t="s">
        <v>277</v>
      </c>
    </row>
    <row r="24" spans="1:11" ht="15.75" x14ac:dyDescent="0.25">
      <c r="A24" s="8">
        <v>3</v>
      </c>
      <c r="B24" s="8" t="s">
        <v>41</v>
      </c>
      <c r="C24" s="75">
        <v>14351</v>
      </c>
      <c r="D24" s="5">
        <v>46266</v>
      </c>
      <c r="E24" s="8"/>
      <c r="F24" s="8"/>
      <c r="G24" s="22">
        <v>163</v>
      </c>
      <c r="H24" s="23"/>
      <c r="I24" s="24"/>
      <c r="J24" s="5">
        <v>46266</v>
      </c>
      <c r="K24" s="13" t="s">
        <v>115</v>
      </c>
    </row>
    <row r="25" spans="1:11" ht="15.75" x14ac:dyDescent="0.25">
      <c r="A25" s="8">
        <v>4</v>
      </c>
      <c r="B25" s="8" t="s">
        <v>1247</v>
      </c>
      <c r="C25" s="75">
        <v>1000</v>
      </c>
      <c r="D25" s="5">
        <v>46266</v>
      </c>
      <c r="E25" s="8"/>
      <c r="F25" s="8"/>
      <c r="G25" s="22">
        <v>9077</v>
      </c>
      <c r="H25" s="23"/>
      <c r="I25" s="24"/>
      <c r="J25" s="5">
        <v>46266</v>
      </c>
      <c r="K25" s="13" t="s">
        <v>1250</v>
      </c>
    </row>
    <row r="26" spans="1:11" ht="18.75" x14ac:dyDescent="0.25">
      <c r="A26" s="8"/>
      <c r="B26" s="25" t="s">
        <v>27</v>
      </c>
      <c r="C26" s="83">
        <f>SUM(C22:C25)</f>
        <v>116351</v>
      </c>
      <c r="D26" s="3"/>
      <c r="E26" s="8"/>
      <c r="F26" s="8"/>
      <c r="G26" s="8"/>
      <c r="H26" s="27">
        <v>0</v>
      </c>
      <c r="I26" s="24"/>
      <c r="J26" s="3"/>
      <c r="K26" s="28"/>
    </row>
    <row r="27" spans="1:11" x14ac:dyDescent="0.25">
      <c r="C27" s="29"/>
      <c r="H27" s="29"/>
    </row>
    <row r="28" spans="1:11" ht="16.5" x14ac:dyDescent="0.3">
      <c r="B28" s="30" t="s">
        <v>28</v>
      </c>
      <c r="C28" s="76">
        <f>SUM(C11,C10,C13)</f>
        <v>4710</v>
      </c>
      <c r="E28" s="32"/>
      <c r="F28" s="32"/>
      <c r="G28" s="116"/>
      <c r="H28" s="116"/>
    </row>
    <row r="29" spans="1:11" ht="16.5" x14ac:dyDescent="0.3">
      <c r="B29" s="33" t="s">
        <v>29</v>
      </c>
      <c r="C29" s="77">
        <f>SUM(C9,C12,C14,C15,C16,C17,C18)</f>
        <v>14550</v>
      </c>
      <c r="E29" s="35"/>
      <c r="F29" s="35"/>
      <c r="G29" s="36" t="s">
        <v>30</v>
      </c>
      <c r="H29" s="37"/>
    </row>
    <row r="30" spans="1:11" ht="24" x14ac:dyDescent="0.4">
      <c r="B30" s="38" t="s">
        <v>31</v>
      </c>
      <c r="C30" s="78"/>
      <c r="E30" s="40" t="s">
        <v>32</v>
      </c>
      <c r="F30" s="41"/>
      <c r="G30" s="42"/>
      <c r="H30" s="43"/>
      <c r="I30" s="42"/>
      <c r="J30" s="44"/>
    </row>
    <row r="31" spans="1:11" ht="18.75" x14ac:dyDescent="0.3">
      <c r="B31" s="45" t="s">
        <v>16</v>
      </c>
      <c r="C31" s="79">
        <f>SUM(C28:C30)</f>
        <v>19260</v>
      </c>
      <c r="G31" s="36"/>
      <c r="H31" s="37"/>
      <c r="I31" s="36"/>
      <c r="J31" s="36"/>
    </row>
  </sheetData>
  <mergeCells count="6">
    <mergeCell ref="G28:H28"/>
    <mergeCell ref="A1:K1"/>
    <mergeCell ref="A2:K2"/>
    <mergeCell ref="A3:K3"/>
    <mergeCell ref="A8:K8"/>
    <mergeCell ref="A20:K20"/>
  </mergeCells>
  <pageMargins left="0.59055118110236215" right="0" top="0.39370078740157483" bottom="0" header="0" footer="0"/>
  <pageSetup scale="83" orientation="landscape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11E95-86A8-4F72-97E7-3D7FA4E82A6B}">
  <sheetPr>
    <pageSetUpPr fitToPage="1"/>
  </sheetPr>
  <dimension ref="A1:K29"/>
  <sheetViews>
    <sheetView topLeftCell="B1" workbookViewId="0">
      <selection activeCell="L5" sqref="L5"/>
    </sheetView>
  </sheetViews>
  <sheetFormatPr defaultRowHeight="15" x14ac:dyDescent="0.25"/>
  <cols>
    <col min="1" max="1" width="4.42578125" bestFit="1" customWidth="1"/>
    <col min="2" max="2" width="26.7109375" bestFit="1" customWidth="1"/>
    <col min="3" max="3" width="12.7109375" bestFit="1" customWidth="1"/>
    <col min="4" max="4" width="13.85546875" bestFit="1" customWidth="1"/>
    <col min="5" max="5" width="11.42578125" bestFit="1" customWidth="1"/>
    <col min="6" max="6" width="9.5703125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4.7109375" customWidth="1"/>
  </cols>
  <sheetData>
    <row r="1" spans="1:11" ht="24.75" x14ac:dyDescent="0.25">
      <c r="A1" s="117" t="s">
        <v>829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1251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547</v>
      </c>
      <c r="C5" s="80">
        <v>22000</v>
      </c>
      <c r="D5" s="5">
        <v>46267</v>
      </c>
      <c r="E5" s="6">
        <v>0</v>
      </c>
      <c r="F5" s="3" t="s">
        <v>14</v>
      </c>
      <c r="G5" s="49">
        <v>270</v>
      </c>
      <c r="H5" s="7">
        <v>0</v>
      </c>
      <c r="I5" s="3" t="s">
        <v>15</v>
      </c>
      <c r="J5" s="5">
        <f>+D5-1</f>
        <v>46266</v>
      </c>
      <c r="K5" s="8" t="s">
        <v>261</v>
      </c>
    </row>
    <row r="6" spans="1:11" ht="15.75" x14ac:dyDescent="0.25">
      <c r="A6" s="3">
        <v>2</v>
      </c>
      <c r="B6" s="3" t="s">
        <v>1257</v>
      </c>
      <c r="C6" s="80">
        <v>10000</v>
      </c>
      <c r="D6" s="5">
        <v>46267</v>
      </c>
      <c r="E6" s="6">
        <v>0</v>
      </c>
      <c r="F6" s="3" t="s">
        <v>14</v>
      </c>
      <c r="G6" s="49">
        <v>2943</v>
      </c>
      <c r="H6" s="7">
        <v>0</v>
      </c>
      <c r="I6" s="3" t="s">
        <v>15</v>
      </c>
      <c r="J6" s="5">
        <f>+D6-1</f>
        <v>46266</v>
      </c>
      <c r="K6" s="8" t="s">
        <v>1258</v>
      </c>
    </row>
    <row r="7" spans="1:11" ht="15.75" x14ac:dyDescent="0.25">
      <c r="A7" s="3">
        <v>3</v>
      </c>
      <c r="B7" s="3"/>
      <c r="C7" s="80">
        <v>0</v>
      </c>
      <c r="D7" s="5"/>
      <c r="E7" s="6"/>
      <c r="F7" s="3"/>
      <c r="G7" s="49"/>
      <c r="H7" s="7"/>
      <c r="I7" s="3"/>
      <c r="J7" s="5"/>
      <c r="K7" s="8"/>
    </row>
    <row r="8" spans="1:11" ht="18.75" x14ac:dyDescent="0.3">
      <c r="A8" s="9"/>
      <c r="B8" s="10" t="s">
        <v>16</v>
      </c>
      <c r="C8" s="81">
        <f>SUM(C5:C7)</f>
        <v>32000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4" x14ac:dyDescent="0.4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75" x14ac:dyDescent="0.25">
      <c r="A11" s="3">
        <v>1</v>
      </c>
      <c r="B11" s="3" t="s">
        <v>500</v>
      </c>
      <c r="C11" s="80">
        <v>2100</v>
      </c>
      <c r="D11" s="5">
        <v>46267</v>
      </c>
      <c r="E11" s="14">
        <v>0</v>
      </c>
      <c r="F11" s="13" t="s">
        <v>18</v>
      </c>
      <c r="G11" s="55">
        <v>5309</v>
      </c>
      <c r="H11" s="16">
        <v>0</v>
      </c>
      <c r="I11" s="3" t="s">
        <v>19</v>
      </c>
      <c r="J11" s="5">
        <f t="shared" ref="J11:J19" si="0">+D11+1</f>
        <v>46268</v>
      </c>
      <c r="K11" s="13" t="s">
        <v>115</v>
      </c>
    </row>
    <row r="12" spans="1:11" ht="15.75" x14ac:dyDescent="0.25">
      <c r="A12" s="3">
        <v>2</v>
      </c>
      <c r="B12" s="3" t="s">
        <v>1252</v>
      </c>
      <c r="C12" s="80">
        <v>1000</v>
      </c>
      <c r="D12" s="5">
        <f t="shared" ref="D12:D19" si="1">+D11</f>
        <v>46267</v>
      </c>
      <c r="E12" s="14">
        <v>0</v>
      </c>
      <c r="F12" s="13" t="s">
        <v>18</v>
      </c>
      <c r="G12" s="55">
        <v>4781</v>
      </c>
      <c r="H12" s="16">
        <v>0</v>
      </c>
      <c r="I12" s="3" t="s">
        <v>15</v>
      </c>
      <c r="J12" s="5">
        <f t="shared" si="0"/>
        <v>46268</v>
      </c>
      <c r="K12" s="13" t="s">
        <v>204</v>
      </c>
    </row>
    <row r="13" spans="1:11" ht="15.75" x14ac:dyDescent="0.25">
      <c r="A13" s="3">
        <v>3</v>
      </c>
      <c r="B13" s="3" t="s">
        <v>1253</v>
      </c>
      <c r="C13" s="80">
        <v>1120</v>
      </c>
      <c r="D13" s="5">
        <f t="shared" si="1"/>
        <v>46267</v>
      </c>
      <c r="E13" s="14">
        <v>0</v>
      </c>
      <c r="F13" s="13" t="s">
        <v>18</v>
      </c>
      <c r="G13" s="55">
        <v>8606</v>
      </c>
      <c r="H13" s="16">
        <v>0</v>
      </c>
      <c r="I13" s="3" t="s">
        <v>15</v>
      </c>
      <c r="J13" s="5">
        <f t="shared" si="0"/>
        <v>46268</v>
      </c>
      <c r="K13" s="13" t="s">
        <v>204</v>
      </c>
    </row>
    <row r="14" spans="1:11" ht="15.75" x14ac:dyDescent="0.25">
      <c r="A14" s="3">
        <v>4</v>
      </c>
      <c r="B14" s="3" t="s">
        <v>173</v>
      </c>
      <c r="C14" s="80">
        <v>3400</v>
      </c>
      <c r="D14" s="5">
        <f t="shared" si="1"/>
        <v>46267</v>
      </c>
      <c r="E14" s="14">
        <v>0</v>
      </c>
      <c r="F14" s="13" t="s">
        <v>18</v>
      </c>
      <c r="G14" s="55">
        <v>6328</v>
      </c>
      <c r="H14" s="16">
        <v>0</v>
      </c>
      <c r="I14" s="3" t="s">
        <v>15</v>
      </c>
      <c r="J14" s="5">
        <f t="shared" si="0"/>
        <v>46268</v>
      </c>
      <c r="K14" s="13" t="s">
        <v>115</v>
      </c>
    </row>
    <row r="15" spans="1:11" ht="15.75" x14ac:dyDescent="0.25">
      <c r="A15" s="3">
        <v>5</v>
      </c>
      <c r="B15" s="3" t="s">
        <v>1253</v>
      </c>
      <c r="C15" s="80">
        <v>1500</v>
      </c>
      <c r="D15" s="5">
        <f t="shared" si="1"/>
        <v>46267</v>
      </c>
      <c r="E15" s="14">
        <v>0</v>
      </c>
      <c r="F15" s="13" t="s">
        <v>18</v>
      </c>
      <c r="G15" s="55">
        <v>4392</v>
      </c>
      <c r="H15" s="16">
        <v>0</v>
      </c>
      <c r="I15" s="3" t="s">
        <v>15</v>
      </c>
      <c r="J15" s="5">
        <f t="shared" si="0"/>
        <v>46268</v>
      </c>
      <c r="K15" s="13" t="s">
        <v>203</v>
      </c>
    </row>
    <row r="16" spans="1:11" ht="15.75" x14ac:dyDescent="0.25">
      <c r="A16" s="3">
        <v>6</v>
      </c>
      <c r="B16" s="3" t="s">
        <v>1254</v>
      </c>
      <c r="C16" s="80">
        <v>10</v>
      </c>
      <c r="D16" s="5">
        <f t="shared" si="1"/>
        <v>46267</v>
      </c>
      <c r="E16" s="14">
        <v>0</v>
      </c>
      <c r="F16" s="13" t="s">
        <v>18</v>
      </c>
      <c r="G16" s="55">
        <v>2644</v>
      </c>
      <c r="H16" s="16">
        <v>0</v>
      </c>
      <c r="I16" s="3" t="s">
        <v>15</v>
      </c>
      <c r="J16" s="5">
        <f t="shared" si="0"/>
        <v>46268</v>
      </c>
      <c r="K16" s="13" t="s">
        <v>115</v>
      </c>
    </row>
    <row r="17" spans="1:11" ht="15.75" x14ac:dyDescent="0.25">
      <c r="A17" s="3">
        <v>7</v>
      </c>
      <c r="B17" s="3" t="s">
        <v>1255</v>
      </c>
      <c r="C17" s="80">
        <v>1290</v>
      </c>
      <c r="D17" s="5">
        <f t="shared" si="1"/>
        <v>46267</v>
      </c>
      <c r="E17" s="14">
        <v>0</v>
      </c>
      <c r="F17" s="13" t="s">
        <v>18</v>
      </c>
      <c r="G17" s="55">
        <v>1970</v>
      </c>
      <c r="H17" s="16">
        <v>0</v>
      </c>
      <c r="I17" s="3" t="s">
        <v>15</v>
      </c>
      <c r="J17" s="5">
        <f t="shared" si="0"/>
        <v>46268</v>
      </c>
      <c r="K17" s="13" t="s">
        <v>115</v>
      </c>
    </row>
    <row r="18" spans="1:11" ht="15.75" x14ac:dyDescent="0.25">
      <c r="A18" s="3">
        <v>8</v>
      </c>
      <c r="B18" s="3" t="s">
        <v>1256</v>
      </c>
      <c r="C18" s="80">
        <v>3840</v>
      </c>
      <c r="D18" s="5">
        <f t="shared" si="1"/>
        <v>46267</v>
      </c>
      <c r="E18" s="14">
        <v>0</v>
      </c>
      <c r="F18" s="13" t="s">
        <v>18</v>
      </c>
      <c r="G18" s="55">
        <v>2599</v>
      </c>
      <c r="H18" s="16">
        <v>0</v>
      </c>
      <c r="I18" s="3" t="s">
        <v>15</v>
      </c>
      <c r="J18" s="5">
        <f t="shared" si="0"/>
        <v>46268</v>
      </c>
      <c r="K18" s="13" t="s">
        <v>204</v>
      </c>
    </row>
    <row r="19" spans="1:11" ht="15.75" x14ac:dyDescent="0.25">
      <c r="A19" s="3">
        <v>9</v>
      </c>
      <c r="B19" s="3" t="s">
        <v>961</v>
      </c>
      <c r="C19" s="80">
        <v>1300</v>
      </c>
      <c r="D19" s="5">
        <f t="shared" si="1"/>
        <v>46267</v>
      </c>
      <c r="E19" s="14">
        <v>0</v>
      </c>
      <c r="F19" s="13" t="s">
        <v>18</v>
      </c>
      <c r="G19" s="55">
        <v>4600</v>
      </c>
      <c r="H19" s="16">
        <v>0</v>
      </c>
      <c r="I19" s="3" t="s">
        <v>15</v>
      </c>
      <c r="J19" s="5">
        <f t="shared" si="0"/>
        <v>46268</v>
      </c>
      <c r="K19" s="13" t="s">
        <v>204</v>
      </c>
    </row>
    <row r="20" spans="1:11" ht="18.75" x14ac:dyDescent="0.3">
      <c r="A20" s="3"/>
      <c r="B20" s="17" t="s">
        <v>16</v>
      </c>
      <c r="C20" s="82">
        <f>SUM(C11:C19)</f>
        <v>15560</v>
      </c>
      <c r="D20" s="3"/>
      <c r="E20" s="3"/>
      <c r="F20" s="13"/>
      <c r="G20" s="13"/>
      <c r="H20" s="11"/>
      <c r="I20" s="3"/>
      <c r="J20" s="3"/>
      <c r="K20" s="3"/>
    </row>
    <row r="21" spans="1:11" ht="24.75" x14ac:dyDescent="0.5">
      <c r="A21" s="125" t="s">
        <v>20</v>
      </c>
      <c r="B21" s="126"/>
      <c r="C21" s="126"/>
      <c r="D21" s="126"/>
      <c r="E21" s="126"/>
      <c r="F21" s="126"/>
      <c r="G21" s="126"/>
      <c r="H21" s="126"/>
      <c r="I21" s="126"/>
      <c r="J21" s="126"/>
      <c r="K21" s="127"/>
    </row>
    <row r="22" spans="1:11" ht="18.75" x14ac:dyDescent="0.3">
      <c r="A22" s="19" t="s">
        <v>3</v>
      </c>
      <c r="B22" s="19" t="s">
        <v>21</v>
      </c>
      <c r="C22" s="50" t="s">
        <v>5</v>
      </c>
      <c r="D22" s="1" t="s">
        <v>22</v>
      </c>
      <c r="E22" s="19" t="s">
        <v>7</v>
      </c>
      <c r="F22" s="19" t="s">
        <v>8</v>
      </c>
      <c r="G22" s="19" t="s">
        <v>23</v>
      </c>
      <c r="H22" s="20" t="s">
        <v>24</v>
      </c>
      <c r="I22" s="19" t="s">
        <v>11</v>
      </c>
      <c r="J22" s="19" t="s">
        <v>25</v>
      </c>
      <c r="K22" s="21" t="s">
        <v>26</v>
      </c>
    </row>
    <row r="23" spans="1:11" ht="15.75" x14ac:dyDescent="0.25">
      <c r="A23" s="8">
        <v>1</v>
      </c>
      <c r="B23" s="8" t="s">
        <v>64</v>
      </c>
      <c r="C23" s="75">
        <v>24556</v>
      </c>
      <c r="D23" s="5">
        <v>46267</v>
      </c>
      <c r="E23" s="8"/>
      <c r="F23" s="8"/>
      <c r="G23" s="22">
        <v>161</v>
      </c>
      <c r="H23" s="23"/>
      <c r="I23" s="24"/>
      <c r="J23" s="5">
        <v>46267</v>
      </c>
      <c r="K23" s="13" t="s">
        <v>115</v>
      </c>
    </row>
    <row r="24" spans="1:11" ht="18.75" x14ac:dyDescent="0.25">
      <c r="A24" s="8"/>
      <c r="B24" s="25" t="s">
        <v>27</v>
      </c>
      <c r="C24" s="83">
        <f>SUM(C23:C23)</f>
        <v>24556</v>
      </c>
      <c r="D24" s="3"/>
      <c r="E24" s="8"/>
      <c r="F24" s="8"/>
      <c r="G24" s="8"/>
      <c r="H24" s="27">
        <v>0</v>
      </c>
      <c r="I24" s="24"/>
      <c r="J24" s="3"/>
      <c r="K24" s="28"/>
    </row>
    <row r="25" spans="1:11" x14ac:dyDescent="0.25">
      <c r="C25" s="29"/>
      <c r="H25" s="29"/>
    </row>
    <row r="26" spans="1:11" ht="16.5" x14ac:dyDescent="0.3">
      <c r="B26" s="30" t="s">
        <v>28</v>
      </c>
      <c r="C26" s="76">
        <f>SUM(C12,C13,C15,C18,C19)</f>
        <v>8760</v>
      </c>
      <c r="E26" s="32"/>
      <c r="F26" s="32"/>
      <c r="G26" s="116"/>
      <c r="H26" s="116"/>
    </row>
    <row r="27" spans="1:11" ht="16.5" x14ac:dyDescent="0.3">
      <c r="B27" s="33" t="s">
        <v>29</v>
      </c>
      <c r="C27" s="77">
        <f>SUM(C11,C14,C16,C17)</f>
        <v>6800</v>
      </c>
      <c r="E27" s="35"/>
      <c r="F27" s="35"/>
      <c r="G27" s="36" t="s">
        <v>30</v>
      </c>
      <c r="H27" s="37"/>
    </row>
    <row r="28" spans="1:11" ht="24" x14ac:dyDescent="0.4">
      <c r="B28" s="38" t="s">
        <v>31</v>
      </c>
      <c r="C28" s="78"/>
      <c r="E28" s="40" t="s">
        <v>32</v>
      </c>
      <c r="F28" s="41"/>
      <c r="G28" s="42"/>
      <c r="H28" s="43"/>
      <c r="I28" s="42"/>
      <c r="J28" s="44"/>
    </row>
    <row r="29" spans="1:11" ht="18.75" x14ac:dyDescent="0.3">
      <c r="B29" s="45" t="s">
        <v>16</v>
      </c>
      <c r="C29" s="79">
        <f>SUM(C26:C28)</f>
        <v>15560</v>
      </c>
      <c r="G29" s="36"/>
      <c r="H29" s="37"/>
      <c r="I29" s="36"/>
      <c r="J29" s="36"/>
    </row>
  </sheetData>
  <mergeCells count="6">
    <mergeCell ref="G26:H26"/>
    <mergeCell ref="A1:K1"/>
    <mergeCell ref="A2:K2"/>
    <mergeCell ref="A3:K3"/>
    <mergeCell ref="A10:K10"/>
    <mergeCell ref="A21:K21"/>
  </mergeCells>
  <pageMargins left="0.59055118110236215" right="0" top="0.39370078740157483" bottom="0" header="0" footer="0"/>
  <pageSetup scale="85" orientation="landscape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1AEA4-D043-448A-A254-4D2E5D88BEFF}">
  <sheetPr>
    <pageSetUpPr fitToPage="1"/>
  </sheetPr>
  <dimension ref="A1:K23"/>
  <sheetViews>
    <sheetView topLeftCell="A4" workbookViewId="0">
      <selection sqref="A1:K23"/>
    </sheetView>
  </sheetViews>
  <sheetFormatPr defaultRowHeight="15" x14ac:dyDescent="0.25"/>
  <cols>
    <col min="1" max="1" width="4.42578125" bestFit="1" customWidth="1"/>
    <col min="2" max="2" width="22" bestFit="1" customWidth="1"/>
    <col min="3" max="3" width="12.710937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.140625" customWidth="1"/>
    <col min="10" max="10" width="16.85546875" bestFit="1" customWidth="1"/>
    <col min="11" max="11" width="36.7109375" customWidth="1"/>
  </cols>
  <sheetData>
    <row r="1" spans="1:11" ht="24.75" x14ac:dyDescent="0.25">
      <c r="A1" s="117" t="s">
        <v>829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1265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1261</v>
      </c>
      <c r="C5" s="80">
        <v>8500</v>
      </c>
      <c r="D5" s="5">
        <v>46268</v>
      </c>
      <c r="E5" s="6">
        <v>0</v>
      </c>
      <c r="F5" s="3" t="s">
        <v>14</v>
      </c>
      <c r="G5" s="49">
        <v>2037</v>
      </c>
      <c r="H5" s="7">
        <v>0</v>
      </c>
      <c r="I5" s="3" t="s">
        <v>15</v>
      </c>
      <c r="J5" s="5">
        <f>+D5-1</f>
        <v>46267</v>
      </c>
      <c r="K5" s="8" t="s">
        <v>1263</v>
      </c>
    </row>
    <row r="6" spans="1:11" ht="15.75" x14ac:dyDescent="0.25">
      <c r="A6" s="3">
        <v>2</v>
      </c>
      <c r="B6" s="3" t="s">
        <v>974</v>
      </c>
      <c r="C6" s="80">
        <v>10000</v>
      </c>
      <c r="D6" s="5">
        <v>46268</v>
      </c>
      <c r="E6" s="6">
        <v>0</v>
      </c>
      <c r="F6" s="3" t="s">
        <v>14</v>
      </c>
      <c r="G6" s="49">
        <v>1268</v>
      </c>
      <c r="H6" s="7">
        <v>0</v>
      </c>
      <c r="I6" s="3" t="s">
        <v>15</v>
      </c>
      <c r="J6" s="5">
        <f>+D6-1</f>
        <v>46267</v>
      </c>
      <c r="K6" s="8" t="s">
        <v>1278</v>
      </c>
    </row>
    <row r="7" spans="1:11" ht="18.75" x14ac:dyDescent="0.3">
      <c r="A7" s="9"/>
      <c r="B7" s="10" t="s">
        <v>16</v>
      </c>
      <c r="C7" s="81">
        <f>SUM(C5:C6)</f>
        <v>18500</v>
      </c>
      <c r="D7" s="3"/>
      <c r="E7" s="12"/>
      <c r="F7" s="9"/>
      <c r="G7" s="13"/>
      <c r="H7" s="11">
        <f>SUM(H5:H5)</f>
        <v>0</v>
      </c>
      <c r="I7" s="9"/>
      <c r="J7" s="9"/>
      <c r="K7" s="9"/>
    </row>
    <row r="8" spans="1:11" x14ac:dyDescent="0.25">
      <c r="G8" t="s">
        <v>1266</v>
      </c>
    </row>
    <row r="9" spans="1:11" ht="24" x14ac:dyDescent="0.4">
      <c r="A9" s="122" t="s">
        <v>17</v>
      </c>
      <c r="B9" s="123"/>
      <c r="C9" s="123"/>
      <c r="D9" s="123"/>
      <c r="E9" s="123"/>
      <c r="F9" s="123"/>
      <c r="G9" s="123"/>
      <c r="H9" s="123"/>
      <c r="I9" s="123"/>
      <c r="J9" s="123"/>
      <c r="K9" s="124"/>
    </row>
    <row r="10" spans="1:11" ht="15.75" x14ac:dyDescent="0.25">
      <c r="A10" s="3">
        <v>1</v>
      </c>
      <c r="B10" s="3" t="s">
        <v>1259</v>
      </c>
      <c r="C10" s="80">
        <v>24463</v>
      </c>
      <c r="D10" s="5">
        <v>46268</v>
      </c>
      <c r="E10" s="14">
        <v>0</v>
      </c>
      <c r="F10" s="13" t="s">
        <v>18</v>
      </c>
      <c r="G10" s="55">
        <v>24463</v>
      </c>
      <c r="H10" s="16">
        <v>0</v>
      </c>
      <c r="I10" s="3" t="s">
        <v>19</v>
      </c>
      <c r="J10" s="5">
        <f t="shared" ref="J10:J11" si="0">+D10+1</f>
        <v>46269</v>
      </c>
      <c r="K10" s="13" t="s">
        <v>102</v>
      </c>
    </row>
    <row r="11" spans="1:11" ht="15.75" x14ac:dyDescent="0.25">
      <c r="A11" s="3">
        <v>2</v>
      </c>
      <c r="B11" s="3" t="s">
        <v>1260</v>
      </c>
      <c r="C11" s="80">
        <v>2250</v>
      </c>
      <c r="D11" s="5">
        <f t="shared" ref="D11" si="1">+D10</f>
        <v>46268</v>
      </c>
      <c r="E11" s="14">
        <v>0</v>
      </c>
      <c r="F11" s="13" t="s">
        <v>18</v>
      </c>
      <c r="G11" s="55">
        <v>3550</v>
      </c>
      <c r="H11" s="16">
        <v>0</v>
      </c>
      <c r="I11" s="3" t="s">
        <v>15</v>
      </c>
      <c r="J11" s="5">
        <f t="shared" si="0"/>
        <v>46269</v>
      </c>
      <c r="K11" s="13" t="s">
        <v>745</v>
      </c>
    </row>
    <row r="12" spans="1:11" ht="18.75" x14ac:dyDescent="0.3">
      <c r="A12" s="3"/>
      <c r="B12" s="17" t="s">
        <v>16</v>
      </c>
      <c r="C12" s="82">
        <f>SUM(C10:C11)</f>
        <v>26713</v>
      </c>
      <c r="D12" s="3"/>
      <c r="E12" s="3"/>
      <c r="F12" s="13"/>
      <c r="G12" s="13"/>
      <c r="H12" s="11"/>
      <c r="I12" s="3"/>
      <c r="J12" s="3"/>
      <c r="K12" s="3"/>
    </row>
    <row r="13" spans="1:11" ht="24.75" x14ac:dyDescent="0.5">
      <c r="A13" s="125" t="s">
        <v>20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7"/>
    </row>
    <row r="14" spans="1:11" ht="18.75" x14ac:dyDescent="0.3">
      <c r="A14" s="19" t="s">
        <v>3</v>
      </c>
      <c r="B14" s="19" t="s">
        <v>21</v>
      </c>
      <c r="C14" s="50" t="s">
        <v>5</v>
      </c>
      <c r="D14" s="1" t="s">
        <v>22</v>
      </c>
      <c r="E14" s="19" t="s">
        <v>7</v>
      </c>
      <c r="F14" s="19" t="s">
        <v>8</v>
      </c>
      <c r="G14" s="19" t="s">
        <v>23</v>
      </c>
      <c r="H14" s="20" t="s">
        <v>24</v>
      </c>
      <c r="I14" s="19" t="s">
        <v>11</v>
      </c>
      <c r="J14" s="19" t="s">
        <v>25</v>
      </c>
      <c r="K14" s="21" t="s">
        <v>26</v>
      </c>
    </row>
    <row r="15" spans="1:11" ht="15.75" x14ac:dyDescent="0.25">
      <c r="A15" s="8">
        <v>1</v>
      </c>
      <c r="B15" s="8" t="s">
        <v>1012</v>
      </c>
      <c r="C15" s="75">
        <v>2400</v>
      </c>
      <c r="D15" s="5">
        <v>46268</v>
      </c>
      <c r="E15" s="8"/>
      <c r="F15" s="8"/>
      <c r="G15" s="22">
        <v>6341</v>
      </c>
      <c r="H15" s="23"/>
      <c r="I15" s="24"/>
      <c r="J15" s="5">
        <v>46268</v>
      </c>
      <c r="K15" s="13" t="s">
        <v>1279</v>
      </c>
    </row>
    <row r="16" spans="1:11" ht="15.75" x14ac:dyDescent="0.25">
      <c r="A16" s="8">
        <v>2</v>
      </c>
      <c r="B16" s="8" t="s">
        <v>412</v>
      </c>
      <c r="C16" s="75">
        <v>1000</v>
      </c>
      <c r="D16" s="5">
        <v>46268</v>
      </c>
      <c r="E16" s="8"/>
      <c r="F16" s="8"/>
      <c r="G16" s="22">
        <v>3172</v>
      </c>
      <c r="H16" s="23"/>
      <c r="I16" s="24"/>
      <c r="J16" s="5">
        <v>46268</v>
      </c>
      <c r="K16" s="13" t="s">
        <v>1264</v>
      </c>
    </row>
    <row r="17" spans="1:11" ht="15.75" x14ac:dyDescent="0.25">
      <c r="A17" s="8">
        <v>3</v>
      </c>
      <c r="B17" s="8" t="s">
        <v>1262</v>
      </c>
      <c r="C17" s="75">
        <v>500</v>
      </c>
      <c r="D17" s="5">
        <v>46268</v>
      </c>
      <c r="E17" s="8"/>
      <c r="F17" s="8"/>
      <c r="G17" s="22">
        <v>9347</v>
      </c>
      <c r="H17" s="23"/>
      <c r="I17" s="24"/>
      <c r="J17" s="5">
        <v>46268</v>
      </c>
      <c r="K17" s="13" t="s">
        <v>1280</v>
      </c>
    </row>
    <row r="18" spans="1:11" ht="18.75" x14ac:dyDescent="0.25">
      <c r="A18" s="8"/>
      <c r="B18" s="25" t="s">
        <v>27</v>
      </c>
      <c r="C18" s="83">
        <f>SUM(C15:C17)</f>
        <v>3900</v>
      </c>
      <c r="D18" s="3"/>
      <c r="E18" s="8"/>
      <c r="F18" s="8"/>
      <c r="G18" s="8"/>
      <c r="H18" s="27">
        <v>0</v>
      </c>
      <c r="I18" s="24"/>
      <c r="J18" s="3"/>
      <c r="K18" s="28"/>
    </row>
    <row r="19" spans="1:11" x14ac:dyDescent="0.25">
      <c r="C19" s="29"/>
      <c r="H19" s="29"/>
    </row>
    <row r="20" spans="1:11" ht="16.5" x14ac:dyDescent="0.3">
      <c r="B20" s="30" t="s">
        <v>28</v>
      </c>
      <c r="C20" s="76">
        <f>SUM(C10,C11)</f>
        <v>26713</v>
      </c>
      <c r="E20" s="32"/>
      <c r="F20" s="32"/>
      <c r="G20" s="116"/>
      <c r="H20" s="116"/>
    </row>
    <row r="21" spans="1:11" ht="16.5" x14ac:dyDescent="0.3">
      <c r="B21" s="33" t="s">
        <v>29</v>
      </c>
      <c r="C21" s="77"/>
      <c r="E21" s="35"/>
      <c r="F21" s="35"/>
      <c r="G21" s="36" t="s">
        <v>30</v>
      </c>
      <c r="H21" s="37"/>
    </row>
    <row r="22" spans="1:11" ht="24" x14ac:dyDescent="0.4">
      <c r="B22" s="38" t="s">
        <v>31</v>
      </c>
      <c r="C22" s="78"/>
      <c r="E22" s="40" t="s">
        <v>32</v>
      </c>
      <c r="F22" s="41"/>
      <c r="G22" s="42"/>
      <c r="H22" s="43"/>
      <c r="I22" s="42"/>
      <c r="J22" s="44"/>
    </row>
    <row r="23" spans="1:11" ht="18.75" x14ac:dyDescent="0.3">
      <c r="B23" s="45" t="s">
        <v>16</v>
      </c>
      <c r="C23" s="79">
        <f>SUM(C20:C22)</f>
        <v>26713</v>
      </c>
      <c r="G23" s="36"/>
      <c r="H23" s="37"/>
      <c r="I23" s="36"/>
      <c r="J23" s="36"/>
    </row>
  </sheetData>
  <mergeCells count="6">
    <mergeCell ref="G20:H20"/>
    <mergeCell ref="A1:K1"/>
    <mergeCell ref="A2:K2"/>
    <mergeCell ref="A3:K3"/>
    <mergeCell ref="A9:K9"/>
    <mergeCell ref="A13:K13"/>
  </mergeCells>
  <pageMargins left="0.59055118110236215" right="0" top="0.39370078740157483" bottom="0" header="0" footer="0"/>
  <pageSetup scale="82" orientation="landscape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D93B-5004-4132-A0C9-BD4392F7C62D}">
  <sheetPr>
    <pageSetUpPr fitToPage="1"/>
  </sheetPr>
  <dimension ref="A1:K30"/>
  <sheetViews>
    <sheetView workbookViewId="0">
      <selection activeCell="M9" sqref="M9"/>
    </sheetView>
  </sheetViews>
  <sheetFormatPr defaultRowHeight="15" x14ac:dyDescent="0.25"/>
  <cols>
    <col min="1" max="1" width="4.42578125" bestFit="1" customWidth="1"/>
    <col min="2" max="2" width="25.7109375" bestFit="1" customWidth="1"/>
    <col min="3" max="3" width="12.710937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8.5703125" customWidth="1"/>
  </cols>
  <sheetData>
    <row r="1" spans="1:11" ht="24.75" x14ac:dyDescent="0.25">
      <c r="A1" s="117" t="s">
        <v>829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1267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45</v>
      </c>
      <c r="C5" s="80">
        <v>26400</v>
      </c>
      <c r="D5" s="5">
        <v>46269</v>
      </c>
      <c r="E5" s="6">
        <v>0</v>
      </c>
      <c r="F5" s="3" t="s">
        <v>14</v>
      </c>
      <c r="G5" s="49">
        <v>465</v>
      </c>
      <c r="H5" s="7">
        <v>0</v>
      </c>
      <c r="I5" s="3" t="s">
        <v>15</v>
      </c>
      <c r="J5" s="5">
        <f>+D5-1</f>
        <v>46268</v>
      </c>
      <c r="K5" s="8" t="s">
        <v>261</v>
      </c>
    </row>
    <row r="6" spans="1:11" ht="15.75" x14ac:dyDescent="0.25">
      <c r="A6" s="3">
        <v>2</v>
      </c>
      <c r="B6" s="3"/>
      <c r="C6" s="80">
        <v>0</v>
      </c>
      <c r="D6" s="5">
        <v>46269</v>
      </c>
      <c r="E6" s="6">
        <v>0</v>
      </c>
      <c r="F6" s="3" t="s">
        <v>14</v>
      </c>
      <c r="G6" s="49"/>
      <c r="H6" s="7">
        <v>0</v>
      </c>
      <c r="I6" s="3" t="s">
        <v>15</v>
      </c>
      <c r="J6" s="5">
        <f>+D6-1</f>
        <v>46268</v>
      </c>
      <c r="K6" s="8"/>
    </row>
    <row r="7" spans="1:11" ht="18.75" x14ac:dyDescent="0.3">
      <c r="A7" s="9"/>
      <c r="B7" s="10" t="s">
        <v>16</v>
      </c>
      <c r="C7" s="81">
        <f>SUM(C5:C6)</f>
        <v>26400</v>
      </c>
      <c r="D7" s="3"/>
      <c r="E7" s="12"/>
      <c r="F7" s="9"/>
      <c r="G7" s="13"/>
      <c r="H7" s="11">
        <f>SUM(H5:H5)</f>
        <v>0</v>
      </c>
      <c r="I7" s="9"/>
      <c r="J7" s="9"/>
      <c r="K7" s="9"/>
    </row>
    <row r="9" spans="1:11" ht="24" x14ac:dyDescent="0.4">
      <c r="A9" s="122" t="s">
        <v>17</v>
      </c>
      <c r="B9" s="123"/>
      <c r="C9" s="123"/>
      <c r="D9" s="123"/>
      <c r="E9" s="123"/>
      <c r="F9" s="123"/>
      <c r="G9" s="123"/>
      <c r="H9" s="123"/>
      <c r="I9" s="123"/>
      <c r="J9" s="123"/>
      <c r="K9" s="124"/>
    </row>
    <row r="10" spans="1:11" ht="15.75" x14ac:dyDescent="0.25">
      <c r="A10" s="3">
        <v>1</v>
      </c>
      <c r="B10" s="3" t="s">
        <v>474</v>
      </c>
      <c r="C10" s="80">
        <v>1265</v>
      </c>
      <c r="D10" s="5">
        <v>46269</v>
      </c>
      <c r="E10" s="14">
        <v>0</v>
      </c>
      <c r="F10" s="13" t="s">
        <v>18</v>
      </c>
      <c r="G10" s="55">
        <v>7165</v>
      </c>
      <c r="H10" s="16">
        <v>0</v>
      </c>
      <c r="I10" s="3" t="s">
        <v>19</v>
      </c>
      <c r="J10" s="5">
        <f t="shared" ref="J10:J19" si="0">+D10+1</f>
        <v>46270</v>
      </c>
      <c r="K10" s="13" t="s">
        <v>203</v>
      </c>
    </row>
    <row r="11" spans="1:11" ht="15.75" x14ac:dyDescent="0.25">
      <c r="A11" s="3">
        <v>2</v>
      </c>
      <c r="B11" s="3" t="s">
        <v>1268</v>
      </c>
      <c r="C11" s="80">
        <v>2100</v>
      </c>
      <c r="D11" s="5">
        <f t="shared" ref="D11:D19" si="1">+D10</f>
        <v>46269</v>
      </c>
      <c r="E11" s="14">
        <v>0</v>
      </c>
      <c r="F11" s="13" t="s">
        <v>18</v>
      </c>
      <c r="G11" s="55">
        <v>8933</v>
      </c>
      <c r="H11" s="16">
        <v>0</v>
      </c>
      <c r="I11" s="3" t="s">
        <v>15</v>
      </c>
      <c r="J11" s="5">
        <f t="shared" si="0"/>
        <v>46270</v>
      </c>
      <c r="K11" s="13" t="s">
        <v>115</v>
      </c>
    </row>
    <row r="12" spans="1:11" ht="15.75" x14ac:dyDescent="0.25">
      <c r="A12" s="3">
        <v>3</v>
      </c>
      <c r="B12" s="3" t="s">
        <v>1269</v>
      </c>
      <c r="C12" s="80">
        <v>20940</v>
      </c>
      <c r="D12" s="5">
        <f t="shared" si="1"/>
        <v>46269</v>
      </c>
      <c r="E12" s="14">
        <v>0</v>
      </c>
      <c r="F12" s="13" t="s">
        <v>18</v>
      </c>
      <c r="G12" s="55">
        <v>2144</v>
      </c>
      <c r="H12" s="16">
        <v>0</v>
      </c>
      <c r="I12" s="3" t="s">
        <v>15</v>
      </c>
      <c r="J12" s="5">
        <f t="shared" si="0"/>
        <v>46270</v>
      </c>
      <c r="K12" s="13" t="s">
        <v>1275</v>
      </c>
    </row>
    <row r="13" spans="1:11" ht="15.75" x14ac:dyDescent="0.25">
      <c r="A13" s="3">
        <v>4</v>
      </c>
      <c r="B13" s="3" t="s">
        <v>1270</v>
      </c>
      <c r="C13" s="80">
        <v>770</v>
      </c>
      <c r="D13" s="5">
        <f t="shared" si="1"/>
        <v>46269</v>
      </c>
      <c r="E13" s="14">
        <v>0</v>
      </c>
      <c r="F13" s="13" t="s">
        <v>18</v>
      </c>
      <c r="G13" s="55">
        <v>8917</v>
      </c>
      <c r="H13" s="16">
        <v>0</v>
      </c>
      <c r="I13" s="3" t="s">
        <v>15</v>
      </c>
      <c r="J13" s="5">
        <f t="shared" si="0"/>
        <v>46270</v>
      </c>
      <c r="K13" s="13" t="s">
        <v>115</v>
      </c>
    </row>
    <row r="14" spans="1:11" ht="15.75" x14ac:dyDescent="0.25">
      <c r="A14" s="3">
        <v>5</v>
      </c>
      <c r="B14" s="3" t="s">
        <v>1197</v>
      </c>
      <c r="C14" s="80">
        <v>9000</v>
      </c>
      <c r="D14" s="5">
        <f t="shared" si="1"/>
        <v>46269</v>
      </c>
      <c r="E14" s="14">
        <v>0</v>
      </c>
      <c r="F14" s="13" t="s">
        <v>18</v>
      </c>
      <c r="G14" s="55">
        <v>4249</v>
      </c>
      <c r="H14" s="16">
        <v>0</v>
      </c>
      <c r="I14" s="3" t="s">
        <v>15</v>
      </c>
      <c r="J14" s="5">
        <f t="shared" si="0"/>
        <v>46270</v>
      </c>
      <c r="K14" s="13" t="s">
        <v>1276</v>
      </c>
    </row>
    <row r="15" spans="1:11" ht="15.75" x14ac:dyDescent="0.25">
      <c r="A15" s="3">
        <v>6</v>
      </c>
      <c r="B15" s="3" t="s">
        <v>1197</v>
      </c>
      <c r="C15" s="80">
        <v>20000</v>
      </c>
      <c r="D15" s="5">
        <f t="shared" si="1"/>
        <v>46269</v>
      </c>
      <c r="E15" s="14">
        <v>0</v>
      </c>
      <c r="F15" s="13" t="s">
        <v>18</v>
      </c>
      <c r="G15" s="55">
        <v>558</v>
      </c>
      <c r="H15" s="16">
        <v>0</v>
      </c>
      <c r="I15" s="3" t="s">
        <v>15</v>
      </c>
      <c r="J15" s="5">
        <f t="shared" si="0"/>
        <v>46270</v>
      </c>
      <c r="K15" s="13" t="s">
        <v>1276</v>
      </c>
    </row>
    <row r="16" spans="1:11" ht="15.75" x14ac:dyDescent="0.25">
      <c r="A16" s="3">
        <v>7</v>
      </c>
      <c r="B16" s="3" t="s">
        <v>1271</v>
      </c>
      <c r="C16" s="80">
        <v>2570</v>
      </c>
      <c r="D16" s="5">
        <f t="shared" si="1"/>
        <v>46269</v>
      </c>
      <c r="E16" s="14">
        <v>0</v>
      </c>
      <c r="F16" s="13" t="s">
        <v>18</v>
      </c>
      <c r="G16" s="55">
        <v>4263</v>
      </c>
      <c r="H16" s="16">
        <v>0</v>
      </c>
      <c r="I16" s="3" t="s">
        <v>15</v>
      </c>
      <c r="J16" s="5">
        <f t="shared" si="0"/>
        <v>46270</v>
      </c>
      <c r="K16" s="13" t="s">
        <v>115</v>
      </c>
    </row>
    <row r="17" spans="1:11" ht="15.75" x14ac:dyDescent="0.25">
      <c r="A17" s="3">
        <v>8</v>
      </c>
      <c r="B17" s="3" t="s">
        <v>1272</v>
      </c>
      <c r="C17" s="80">
        <v>920</v>
      </c>
      <c r="D17" s="5">
        <f t="shared" si="1"/>
        <v>46269</v>
      </c>
      <c r="E17" s="14">
        <v>0</v>
      </c>
      <c r="F17" s="13" t="s">
        <v>18</v>
      </c>
      <c r="G17" s="55">
        <v>4247</v>
      </c>
      <c r="H17" s="16">
        <v>0</v>
      </c>
      <c r="I17" s="3" t="s">
        <v>15</v>
      </c>
      <c r="J17" s="5">
        <f t="shared" si="0"/>
        <v>46270</v>
      </c>
      <c r="K17" s="13" t="s">
        <v>115</v>
      </c>
    </row>
    <row r="18" spans="1:11" ht="15.75" x14ac:dyDescent="0.25">
      <c r="A18" s="3">
        <v>9</v>
      </c>
      <c r="B18" s="3" t="s">
        <v>1273</v>
      </c>
      <c r="C18" s="80">
        <v>3170</v>
      </c>
      <c r="D18" s="5">
        <f t="shared" si="1"/>
        <v>46269</v>
      </c>
      <c r="E18" s="14">
        <v>0</v>
      </c>
      <c r="F18" s="13" t="s">
        <v>18</v>
      </c>
      <c r="G18" s="55">
        <v>1394</v>
      </c>
      <c r="H18" s="16">
        <v>0</v>
      </c>
      <c r="I18" s="3" t="s">
        <v>15</v>
      </c>
      <c r="J18" s="5">
        <f t="shared" si="0"/>
        <v>46270</v>
      </c>
      <c r="K18" s="13" t="s">
        <v>115</v>
      </c>
    </row>
    <row r="19" spans="1:11" ht="15.75" x14ac:dyDescent="0.25">
      <c r="A19" s="3">
        <v>10</v>
      </c>
      <c r="B19" s="3" t="s">
        <v>894</v>
      </c>
      <c r="C19" s="80">
        <v>2880</v>
      </c>
      <c r="D19" s="5">
        <f t="shared" si="1"/>
        <v>46269</v>
      </c>
      <c r="E19" s="14">
        <v>0</v>
      </c>
      <c r="F19" s="13" t="s">
        <v>18</v>
      </c>
      <c r="G19" s="55">
        <v>200</v>
      </c>
      <c r="H19" s="16">
        <v>0</v>
      </c>
      <c r="I19" s="3" t="s">
        <v>15</v>
      </c>
      <c r="J19" s="5">
        <f t="shared" si="0"/>
        <v>46270</v>
      </c>
      <c r="K19" s="13" t="s">
        <v>115</v>
      </c>
    </row>
    <row r="20" spans="1:11" ht="18.75" x14ac:dyDescent="0.3">
      <c r="A20" s="3"/>
      <c r="B20" s="17" t="s">
        <v>16</v>
      </c>
      <c r="C20" s="82">
        <f>SUM(C10:C19)</f>
        <v>63615</v>
      </c>
      <c r="D20" s="3"/>
      <c r="E20" s="3"/>
      <c r="F20" s="13"/>
      <c r="G20" s="13"/>
      <c r="H20" s="11"/>
      <c r="I20" s="3"/>
      <c r="J20" s="3"/>
      <c r="K20" s="3"/>
    </row>
    <row r="21" spans="1:11" ht="24.75" x14ac:dyDescent="0.5">
      <c r="A21" s="125" t="s">
        <v>20</v>
      </c>
      <c r="B21" s="126"/>
      <c r="C21" s="126"/>
      <c r="D21" s="126"/>
      <c r="E21" s="126"/>
      <c r="F21" s="126"/>
      <c r="G21" s="126"/>
      <c r="H21" s="126"/>
      <c r="I21" s="126"/>
      <c r="J21" s="126"/>
      <c r="K21" s="127"/>
    </row>
    <row r="22" spans="1:11" ht="18.75" x14ac:dyDescent="0.3">
      <c r="A22" s="19" t="s">
        <v>3</v>
      </c>
      <c r="B22" s="19" t="s">
        <v>21</v>
      </c>
      <c r="C22" s="50" t="s">
        <v>5</v>
      </c>
      <c r="D22" s="1" t="s">
        <v>22</v>
      </c>
      <c r="E22" s="19" t="s">
        <v>7</v>
      </c>
      <c r="F22" s="19" t="s">
        <v>8</v>
      </c>
      <c r="G22" s="19" t="s">
        <v>23</v>
      </c>
      <c r="H22" s="20" t="s">
        <v>24</v>
      </c>
      <c r="I22" s="19" t="s">
        <v>11</v>
      </c>
      <c r="J22" s="19" t="s">
        <v>25</v>
      </c>
      <c r="K22" s="21" t="s">
        <v>26</v>
      </c>
    </row>
    <row r="23" spans="1:11" ht="15.75" x14ac:dyDescent="0.25">
      <c r="A23" s="8">
        <v>1</v>
      </c>
      <c r="B23" s="8" t="s">
        <v>41</v>
      </c>
      <c r="C23" s="75">
        <v>26601</v>
      </c>
      <c r="D23" s="5">
        <v>46269</v>
      </c>
      <c r="E23" s="8"/>
      <c r="F23" s="8"/>
      <c r="G23" s="22">
        <v>92</v>
      </c>
      <c r="H23" s="23"/>
      <c r="I23" s="24"/>
      <c r="J23" s="5">
        <v>46269</v>
      </c>
      <c r="K23" s="13" t="s">
        <v>115</v>
      </c>
    </row>
    <row r="24" spans="1:11" ht="15.75" x14ac:dyDescent="0.25">
      <c r="A24" s="8">
        <v>2</v>
      </c>
      <c r="B24" s="8" t="s">
        <v>1274</v>
      </c>
      <c r="C24" s="75">
        <v>5555</v>
      </c>
      <c r="D24" s="5">
        <v>46269</v>
      </c>
      <c r="E24" s="8"/>
      <c r="F24" s="8"/>
      <c r="G24" s="22">
        <v>3250</v>
      </c>
      <c r="H24" s="23"/>
      <c r="I24" s="24"/>
      <c r="J24" s="5">
        <v>46269</v>
      </c>
      <c r="K24" s="13" t="s">
        <v>1277</v>
      </c>
    </row>
    <row r="25" spans="1:11" ht="18.75" x14ac:dyDescent="0.25">
      <c r="A25" s="8"/>
      <c r="B25" s="25" t="s">
        <v>27</v>
      </c>
      <c r="C25" s="83">
        <f>SUM(C23:C24)</f>
        <v>32156</v>
      </c>
      <c r="D25" s="3"/>
      <c r="E25" s="8"/>
      <c r="F25" s="8"/>
      <c r="G25" s="8"/>
      <c r="H25" s="27">
        <v>0</v>
      </c>
      <c r="I25" s="24"/>
      <c r="J25" s="3"/>
      <c r="K25" s="28"/>
    </row>
    <row r="26" spans="1:11" x14ac:dyDescent="0.25">
      <c r="C26" s="29"/>
      <c r="H26" s="29"/>
    </row>
    <row r="27" spans="1:11" ht="16.5" x14ac:dyDescent="0.3">
      <c r="B27" s="30" t="s">
        <v>28</v>
      </c>
      <c r="C27" s="76">
        <f>SUM(C10,C12)</f>
        <v>22205</v>
      </c>
      <c r="E27" s="32"/>
      <c r="F27" s="32"/>
      <c r="G27" s="116"/>
      <c r="H27" s="116"/>
    </row>
    <row r="28" spans="1:11" ht="16.5" x14ac:dyDescent="0.3">
      <c r="B28" s="33" t="s">
        <v>29</v>
      </c>
      <c r="C28" s="77">
        <f>SUM(C11,C13,C14,C15,C16,C17,C18,C19)</f>
        <v>41410</v>
      </c>
      <c r="E28" s="35"/>
      <c r="F28" s="35"/>
      <c r="G28" s="36" t="s">
        <v>30</v>
      </c>
      <c r="H28" s="37"/>
    </row>
    <row r="29" spans="1:11" ht="24" x14ac:dyDescent="0.4">
      <c r="B29" s="38" t="s">
        <v>31</v>
      </c>
      <c r="C29" s="78"/>
      <c r="E29" s="40" t="s">
        <v>32</v>
      </c>
      <c r="F29" s="41"/>
      <c r="G29" s="42"/>
      <c r="H29" s="43"/>
      <c r="I29" s="42"/>
      <c r="J29" s="44"/>
    </row>
    <row r="30" spans="1:11" ht="18.75" x14ac:dyDescent="0.3">
      <c r="B30" s="45" t="s">
        <v>16</v>
      </c>
      <c r="C30" s="79">
        <f>SUM(C27:C29)</f>
        <v>63615</v>
      </c>
      <c r="G30" s="36"/>
      <c r="H30" s="37"/>
      <c r="I30" s="36"/>
      <c r="J30" s="36"/>
    </row>
  </sheetData>
  <mergeCells count="6">
    <mergeCell ref="G27:H27"/>
    <mergeCell ref="A1:K1"/>
    <mergeCell ref="A2:K2"/>
    <mergeCell ref="A3:K3"/>
    <mergeCell ref="A9:K9"/>
    <mergeCell ref="A21:K21"/>
  </mergeCells>
  <pageMargins left="0.59055118110236215" right="0" top="0.39370078740157483" bottom="0" header="0" footer="0"/>
  <pageSetup scale="85" orientation="landscape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152F4-7336-4C0D-85A4-96DF8AE7A7B8}">
  <dimension ref="A1:K32"/>
  <sheetViews>
    <sheetView tabSelected="1" topLeftCell="A18" workbookViewId="0">
      <selection activeCell="E16" sqref="E16"/>
    </sheetView>
  </sheetViews>
  <sheetFormatPr defaultRowHeight="15" x14ac:dyDescent="0.25"/>
  <cols>
    <col min="1" max="1" width="4.42578125" bestFit="1" customWidth="1"/>
    <col min="2" max="2" width="24" bestFit="1" customWidth="1"/>
    <col min="3" max="3" width="12.7109375" bestFit="1" customWidth="1"/>
    <col min="4" max="4" width="13.85546875" bestFit="1" customWidth="1"/>
    <col min="5" max="6" width="9.5703125" customWidth="1"/>
    <col min="7" max="7" width="12.85546875" bestFit="1" customWidth="1"/>
    <col min="8" max="8" width="10.28515625" bestFit="1" customWidth="1"/>
    <col min="9" max="9" width="9.42578125" customWidth="1"/>
    <col min="10" max="10" width="16.85546875" bestFit="1" customWidth="1"/>
    <col min="11" max="11" width="42.5703125" bestFit="1" customWidth="1"/>
  </cols>
  <sheetData>
    <row r="1" spans="1:11" ht="24.75" x14ac:dyDescent="0.25">
      <c r="A1" s="117" t="s">
        <v>829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1281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/>
      <c r="C5" s="80">
        <v>0</v>
      </c>
      <c r="D5" s="5">
        <v>46270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46269</v>
      </c>
      <c r="K5" s="8" t="s">
        <v>33</v>
      </c>
    </row>
    <row r="6" spans="1:11" ht="18.75" x14ac:dyDescent="0.3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4" x14ac:dyDescent="0.4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75" x14ac:dyDescent="0.25">
      <c r="A9" s="3">
        <v>1</v>
      </c>
      <c r="B9" s="3" t="s">
        <v>1282</v>
      </c>
      <c r="C9" s="80">
        <v>1760</v>
      </c>
      <c r="D9" s="5">
        <v>46270</v>
      </c>
      <c r="E9" s="14">
        <v>0</v>
      </c>
      <c r="F9" s="13" t="s">
        <v>18</v>
      </c>
      <c r="G9" s="55">
        <v>8078</v>
      </c>
      <c r="H9" s="16">
        <v>0</v>
      </c>
      <c r="I9" s="3" t="s">
        <v>19</v>
      </c>
      <c r="J9" s="5">
        <f t="shared" ref="J9:J17" si="0">+D9+1</f>
        <v>46271</v>
      </c>
      <c r="K9" s="13"/>
    </row>
    <row r="10" spans="1:11" ht="15.75" x14ac:dyDescent="0.25">
      <c r="A10" s="3">
        <v>2</v>
      </c>
      <c r="B10" s="3" t="s">
        <v>1283</v>
      </c>
      <c r="C10" s="80">
        <v>785</v>
      </c>
      <c r="D10" s="5">
        <f t="shared" ref="D10:D17" si="1">+D9</f>
        <v>46270</v>
      </c>
      <c r="E10" s="14">
        <v>0</v>
      </c>
      <c r="F10" s="13" t="s">
        <v>18</v>
      </c>
      <c r="G10" s="55">
        <v>5563</v>
      </c>
      <c r="H10" s="16">
        <v>0</v>
      </c>
      <c r="I10" s="3" t="s">
        <v>15</v>
      </c>
      <c r="J10" s="5">
        <f t="shared" si="0"/>
        <v>46271</v>
      </c>
      <c r="K10" s="13"/>
    </row>
    <row r="11" spans="1:11" ht="15.75" x14ac:dyDescent="0.25">
      <c r="A11" s="3">
        <v>3</v>
      </c>
      <c r="B11" s="3" t="s">
        <v>1284</v>
      </c>
      <c r="C11" s="80">
        <v>7400</v>
      </c>
      <c r="D11" s="5">
        <f t="shared" si="1"/>
        <v>46270</v>
      </c>
      <c r="E11" s="14">
        <v>0</v>
      </c>
      <c r="F11" s="13" t="s">
        <v>18</v>
      </c>
      <c r="G11" s="55">
        <v>4721</v>
      </c>
      <c r="H11" s="16">
        <v>0</v>
      </c>
      <c r="I11" s="3" t="s">
        <v>15</v>
      </c>
      <c r="J11" s="5">
        <f t="shared" si="0"/>
        <v>46271</v>
      </c>
      <c r="K11" s="13" t="s">
        <v>1288</v>
      </c>
    </row>
    <row r="12" spans="1:11" ht="15.75" x14ac:dyDescent="0.25">
      <c r="A12" s="3">
        <v>4</v>
      </c>
      <c r="B12" s="3" t="s">
        <v>1252</v>
      </c>
      <c r="C12" s="80">
        <v>1400</v>
      </c>
      <c r="D12" s="5">
        <f t="shared" si="1"/>
        <v>46270</v>
      </c>
      <c r="E12" s="14">
        <v>0</v>
      </c>
      <c r="F12" s="13" t="s">
        <v>18</v>
      </c>
      <c r="G12" s="55">
        <v>7900</v>
      </c>
      <c r="H12" s="16">
        <v>0</v>
      </c>
      <c r="I12" s="3" t="s">
        <v>15</v>
      </c>
      <c r="J12" s="5">
        <f t="shared" si="0"/>
        <v>46271</v>
      </c>
      <c r="K12" s="13" t="s">
        <v>204</v>
      </c>
    </row>
    <row r="13" spans="1:11" ht="15.75" x14ac:dyDescent="0.25">
      <c r="A13" s="3">
        <v>5</v>
      </c>
      <c r="B13" s="3" t="s">
        <v>1285</v>
      </c>
      <c r="C13" s="80">
        <v>1010</v>
      </c>
      <c r="D13" s="5">
        <f t="shared" si="1"/>
        <v>46270</v>
      </c>
      <c r="E13" s="14">
        <v>0</v>
      </c>
      <c r="F13" s="13" t="s">
        <v>18</v>
      </c>
      <c r="G13" s="55">
        <v>5016</v>
      </c>
      <c r="H13" s="16">
        <v>0</v>
      </c>
      <c r="I13" s="3" t="s">
        <v>15</v>
      </c>
      <c r="J13" s="5">
        <f t="shared" si="0"/>
        <v>46271</v>
      </c>
      <c r="K13" s="13"/>
    </row>
    <row r="14" spans="1:11" ht="15.75" x14ac:dyDescent="0.25">
      <c r="A14" s="3">
        <v>6</v>
      </c>
      <c r="B14" s="3" t="s">
        <v>989</v>
      </c>
      <c r="C14" s="80">
        <v>3680</v>
      </c>
      <c r="D14" s="5">
        <f t="shared" si="1"/>
        <v>46270</v>
      </c>
      <c r="E14" s="14">
        <v>0</v>
      </c>
      <c r="F14" s="13" t="s">
        <v>18</v>
      </c>
      <c r="G14" s="55">
        <v>5852</v>
      </c>
      <c r="H14" s="16">
        <v>0</v>
      </c>
      <c r="I14" s="3" t="s">
        <v>15</v>
      </c>
      <c r="J14" s="5">
        <f t="shared" si="0"/>
        <v>46271</v>
      </c>
      <c r="K14" s="13"/>
    </row>
    <row r="15" spans="1:11" ht="15.75" x14ac:dyDescent="0.25">
      <c r="A15" s="3">
        <v>7</v>
      </c>
      <c r="B15" s="3" t="s">
        <v>1286</v>
      </c>
      <c r="C15" s="80">
        <v>1175</v>
      </c>
      <c r="D15" s="5">
        <f t="shared" si="1"/>
        <v>46270</v>
      </c>
      <c r="E15" s="14">
        <v>0</v>
      </c>
      <c r="F15" s="13" t="s">
        <v>18</v>
      </c>
      <c r="G15" s="55">
        <v>6571</v>
      </c>
      <c r="H15" s="16">
        <v>0</v>
      </c>
      <c r="I15" s="3" t="s">
        <v>15</v>
      </c>
      <c r="J15" s="5">
        <f t="shared" si="0"/>
        <v>46271</v>
      </c>
      <c r="K15" s="13"/>
    </row>
    <row r="16" spans="1:11" ht="15.75" x14ac:dyDescent="0.25">
      <c r="A16" s="3">
        <v>8</v>
      </c>
      <c r="B16" s="3" t="s">
        <v>961</v>
      </c>
      <c r="C16" s="80">
        <v>155</v>
      </c>
      <c r="D16" s="5">
        <f t="shared" si="1"/>
        <v>46270</v>
      </c>
      <c r="E16" s="14">
        <v>0</v>
      </c>
      <c r="F16" s="13" t="s">
        <v>18</v>
      </c>
      <c r="G16" s="55">
        <v>3569</v>
      </c>
      <c r="H16" s="16">
        <v>0</v>
      </c>
      <c r="I16" s="3" t="s">
        <v>15</v>
      </c>
      <c r="J16" s="5">
        <f t="shared" si="0"/>
        <v>46271</v>
      </c>
      <c r="K16" s="13" t="s">
        <v>204</v>
      </c>
    </row>
    <row r="17" spans="1:11" ht="15.75" x14ac:dyDescent="0.25">
      <c r="A17" s="3">
        <v>9</v>
      </c>
      <c r="B17" s="3" t="s">
        <v>845</v>
      </c>
      <c r="C17" s="80">
        <v>21000</v>
      </c>
      <c r="D17" s="5">
        <f t="shared" si="1"/>
        <v>46270</v>
      </c>
      <c r="E17" s="14">
        <v>0</v>
      </c>
      <c r="F17" s="13" t="s">
        <v>18</v>
      </c>
      <c r="G17" s="55">
        <v>8508</v>
      </c>
      <c r="H17" s="16">
        <v>0</v>
      </c>
      <c r="I17" s="3" t="s">
        <v>15</v>
      </c>
      <c r="J17" s="5">
        <f t="shared" si="0"/>
        <v>46271</v>
      </c>
      <c r="K17" s="13" t="s">
        <v>1290</v>
      </c>
    </row>
    <row r="18" spans="1:11" ht="18.75" x14ac:dyDescent="0.3">
      <c r="A18" s="3"/>
      <c r="B18" s="17" t="s">
        <v>16</v>
      </c>
      <c r="C18" s="82">
        <f>SUM(C9:C17)</f>
        <v>38365</v>
      </c>
      <c r="D18" s="3"/>
      <c r="E18" s="3"/>
      <c r="F18" s="13"/>
      <c r="G18" s="13"/>
      <c r="H18" s="11"/>
      <c r="I18" s="3"/>
      <c r="J18" s="3"/>
      <c r="K18" s="3"/>
    </row>
    <row r="19" spans="1:11" ht="24.75" x14ac:dyDescent="0.5">
      <c r="A19" s="125" t="s">
        <v>20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7"/>
    </row>
    <row r="20" spans="1:11" ht="18.75" x14ac:dyDescent="0.3">
      <c r="A20" s="19" t="s">
        <v>3</v>
      </c>
      <c r="B20" s="19" t="s">
        <v>21</v>
      </c>
      <c r="C20" s="50" t="s">
        <v>5</v>
      </c>
      <c r="D20" s="1" t="s">
        <v>22</v>
      </c>
      <c r="E20" s="19" t="s">
        <v>7</v>
      </c>
      <c r="F20" s="19" t="s">
        <v>8</v>
      </c>
      <c r="G20" s="19" t="s">
        <v>23</v>
      </c>
      <c r="H20" s="20" t="s">
        <v>24</v>
      </c>
      <c r="I20" s="19" t="s">
        <v>11</v>
      </c>
      <c r="J20" s="19" t="s">
        <v>25</v>
      </c>
      <c r="K20" s="21" t="s">
        <v>26</v>
      </c>
    </row>
    <row r="21" spans="1:11" ht="15.75" x14ac:dyDescent="0.25">
      <c r="A21" s="8">
        <v>1</v>
      </c>
      <c r="B21" s="8" t="s">
        <v>64</v>
      </c>
      <c r="C21" s="75">
        <v>36831</v>
      </c>
      <c r="D21" s="5">
        <v>46270</v>
      </c>
      <c r="E21" s="8"/>
      <c r="F21" s="8"/>
      <c r="G21" s="22">
        <v>17</v>
      </c>
      <c r="H21" s="23"/>
      <c r="I21" s="24"/>
      <c r="J21" s="5">
        <v>46270</v>
      </c>
      <c r="K21" s="13" t="s">
        <v>115</v>
      </c>
    </row>
    <row r="22" spans="1:11" ht="15.75" x14ac:dyDescent="0.25">
      <c r="A22" s="8">
        <v>2</v>
      </c>
      <c r="B22" s="8" t="s">
        <v>962</v>
      </c>
      <c r="C22" s="75">
        <v>2.36</v>
      </c>
      <c r="D22" s="5">
        <v>46270</v>
      </c>
      <c r="E22" s="8"/>
      <c r="F22" s="8"/>
      <c r="G22" s="22">
        <v>0</v>
      </c>
      <c r="H22" s="23"/>
      <c r="I22" s="24"/>
      <c r="J22" s="5">
        <v>46270</v>
      </c>
      <c r="K22" s="13" t="s">
        <v>1292</v>
      </c>
    </row>
    <row r="23" spans="1:11" ht="15.75" x14ac:dyDescent="0.25">
      <c r="A23" s="8">
        <v>3</v>
      </c>
      <c r="B23" s="8" t="s">
        <v>76</v>
      </c>
      <c r="C23" s="75">
        <v>12000</v>
      </c>
      <c r="D23" s="5">
        <v>46270</v>
      </c>
      <c r="E23" s="8"/>
      <c r="F23" s="8"/>
      <c r="G23" s="22">
        <v>7519</v>
      </c>
      <c r="H23" s="23"/>
      <c r="I23" s="24"/>
      <c r="J23" s="5">
        <v>46270</v>
      </c>
      <c r="K23" s="13" t="s">
        <v>187</v>
      </c>
    </row>
    <row r="24" spans="1:11" ht="15.75" x14ac:dyDescent="0.25">
      <c r="A24" s="8">
        <v>4</v>
      </c>
      <c r="B24" s="8" t="s">
        <v>642</v>
      </c>
      <c r="C24" s="75">
        <v>19500</v>
      </c>
      <c r="D24" s="5">
        <v>46270</v>
      </c>
      <c r="E24" s="8"/>
      <c r="F24" s="8"/>
      <c r="G24" s="22">
        <v>8500</v>
      </c>
      <c r="H24" s="23"/>
      <c r="I24" s="24"/>
      <c r="J24" s="5">
        <v>46270</v>
      </c>
      <c r="K24" s="13" t="s">
        <v>277</v>
      </c>
    </row>
    <row r="25" spans="1:11" ht="15.75" x14ac:dyDescent="0.25">
      <c r="A25" s="8">
        <v>5</v>
      </c>
      <c r="B25" s="8" t="s">
        <v>1287</v>
      </c>
      <c r="C25" s="75">
        <v>26000</v>
      </c>
      <c r="D25" s="5">
        <v>46270</v>
      </c>
      <c r="E25" s="8"/>
      <c r="F25" s="8"/>
      <c r="G25" s="22">
        <v>4873</v>
      </c>
      <c r="H25" s="23"/>
      <c r="I25" s="24"/>
      <c r="J25" s="5">
        <v>46270</v>
      </c>
      <c r="K25" s="13" t="s">
        <v>1289</v>
      </c>
    </row>
    <row r="26" spans="1:11" ht="15.75" x14ac:dyDescent="0.25">
      <c r="A26" s="8">
        <v>6</v>
      </c>
      <c r="B26" s="8" t="s">
        <v>412</v>
      </c>
      <c r="C26" s="75">
        <v>3000</v>
      </c>
      <c r="D26" s="5">
        <v>46270</v>
      </c>
      <c r="E26" s="8"/>
      <c r="F26" s="8"/>
      <c r="G26" s="22">
        <v>2617</v>
      </c>
      <c r="H26" s="23"/>
      <c r="I26" s="24"/>
      <c r="J26" s="5">
        <v>46270</v>
      </c>
      <c r="K26" s="13" t="s">
        <v>1291</v>
      </c>
    </row>
    <row r="27" spans="1:11" ht="18.75" x14ac:dyDescent="0.25">
      <c r="A27" s="8"/>
      <c r="B27" s="25" t="s">
        <v>27</v>
      </c>
      <c r="C27" s="83">
        <f>SUM(C21:C26)</f>
        <v>97333.36</v>
      </c>
      <c r="D27" s="3"/>
      <c r="E27" s="8"/>
      <c r="F27" s="8"/>
      <c r="G27" s="8"/>
      <c r="H27" s="27">
        <v>0</v>
      </c>
      <c r="I27" s="24"/>
      <c r="J27" s="3"/>
      <c r="K27" s="28"/>
    </row>
    <row r="28" spans="1:11" x14ac:dyDescent="0.25">
      <c r="C28" s="29"/>
      <c r="H28" s="29"/>
    </row>
    <row r="29" spans="1:11" ht="16.5" x14ac:dyDescent="0.3">
      <c r="B29" s="30" t="s">
        <v>28</v>
      </c>
      <c r="C29" s="76"/>
      <c r="E29" s="32"/>
      <c r="F29" s="32"/>
      <c r="G29" s="116"/>
      <c r="H29" s="116"/>
    </row>
    <row r="30" spans="1:11" ht="16.5" x14ac:dyDescent="0.3">
      <c r="B30" s="33" t="s">
        <v>29</v>
      </c>
      <c r="C30" s="77"/>
      <c r="E30" s="35"/>
      <c r="F30" s="35"/>
      <c r="G30" s="36" t="s">
        <v>30</v>
      </c>
      <c r="H30" s="37"/>
    </row>
    <row r="31" spans="1:11" ht="24" x14ac:dyDescent="0.4">
      <c r="B31" s="38" t="s">
        <v>31</v>
      </c>
      <c r="C31" s="78"/>
      <c r="E31" s="40" t="s">
        <v>32</v>
      </c>
      <c r="F31" s="41"/>
      <c r="G31" s="42"/>
      <c r="H31" s="43"/>
      <c r="I31" s="42"/>
      <c r="J31" s="44"/>
    </row>
    <row r="32" spans="1:11" ht="18.75" x14ac:dyDescent="0.3">
      <c r="B32" s="45" t="s">
        <v>16</v>
      </c>
      <c r="C32" s="79">
        <f>SUM(C29:C31)</f>
        <v>0</v>
      </c>
      <c r="G32" s="36"/>
      <c r="H32" s="37"/>
      <c r="I32" s="36"/>
      <c r="J32" s="36"/>
    </row>
  </sheetData>
  <mergeCells count="6">
    <mergeCell ref="G29:H29"/>
    <mergeCell ref="A1:K1"/>
    <mergeCell ref="A2:K2"/>
    <mergeCell ref="A3:K3"/>
    <mergeCell ref="A8:K8"/>
    <mergeCell ref="A19:K19"/>
  </mergeCell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8B8AC-234D-4B02-A639-3BB5C0E8E2AA}">
  <dimension ref="A1:K34"/>
  <sheetViews>
    <sheetView workbookViewId="0">
      <selection sqref="A1:K34"/>
    </sheetView>
  </sheetViews>
  <sheetFormatPr defaultRowHeight="15" x14ac:dyDescent="0.25"/>
  <sheetData>
    <row r="1" spans="1:11" ht="24.75" x14ac:dyDescent="0.25">
      <c r="A1" s="117" t="s">
        <v>829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998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46204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46203</v>
      </c>
      <c r="K5" s="8" t="s">
        <v>33</v>
      </c>
    </row>
    <row r="6" spans="1:11" ht="15.75" x14ac:dyDescent="0.25">
      <c r="A6" s="3">
        <v>2</v>
      </c>
      <c r="B6" s="3"/>
      <c r="C6" s="80">
        <v>0</v>
      </c>
      <c r="D6" s="5">
        <v>46204</v>
      </c>
      <c r="E6" s="6">
        <v>0</v>
      </c>
      <c r="F6" s="3" t="s">
        <v>14</v>
      </c>
      <c r="G6" s="49"/>
      <c r="H6" s="7">
        <v>0</v>
      </c>
      <c r="I6" s="3" t="s">
        <v>15</v>
      </c>
      <c r="J6" s="5">
        <f>+D6-1</f>
        <v>46203</v>
      </c>
      <c r="K6" s="8"/>
    </row>
    <row r="7" spans="1:11" ht="15.75" x14ac:dyDescent="0.25">
      <c r="A7" s="3">
        <v>3</v>
      </c>
      <c r="B7" s="3"/>
      <c r="C7" s="80">
        <v>0</v>
      </c>
      <c r="D7" s="5"/>
      <c r="E7" s="6"/>
      <c r="F7" s="3"/>
      <c r="G7" s="49"/>
      <c r="H7" s="7"/>
      <c r="I7" s="3"/>
      <c r="J7" s="5"/>
      <c r="K7" s="8"/>
    </row>
    <row r="8" spans="1:11" ht="18.75" x14ac:dyDescent="0.3">
      <c r="A8" s="9"/>
      <c r="B8" s="10" t="s">
        <v>16</v>
      </c>
      <c r="C8" s="81">
        <f>SUM(C5:C7)</f>
        <v>0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4" x14ac:dyDescent="0.4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75" x14ac:dyDescent="0.25">
      <c r="A11" s="3">
        <v>1</v>
      </c>
      <c r="B11" s="3"/>
      <c r="C11" s="80">
        <v>0</v>
      </c>
      <c r="D11" s="5">
        <v>46204</v>
      </c>
      <c r="E11" s="14">
        <v>0</v>
      </c>
      <c r="F11" s="13" t="s">
        <v>18</v>
      </c>
      <c r="G11" s="55"/>
      <c r="H11" s="16">
        <v>0</v>
      </c>
      <c r="I11" s="3" t="s">
        <v>19</v>
      </c>
      <c r="J11" s="5">
        <f t="shared" ref="J11:J21" si="0">+D11+1</f>
        <v>46205</v>
      </c>
      <c r="K11" s="13"/>
    </row>
    <row r="12" spans="1:11" ht="15.75" x14ac:dyDescent="0.25">
      <c r="A12" s="3">
        <v>2</v>
      </c>
      <c r="B12" s="3"/>
      <c r="C12" s="80">
        <v>0</v>
      </c>
      <c r="D12" s="5">
        <f t="shared" ref="D12:D21" si="1">+D11</f>
        <v>46204</v>
      </c>
      <c r="E12" s="14">
        <v>0</v>
      </c>
      <c r="F12" s="13" t="s">
        <v>18</v>
      </c>
      <c r="G12" s="55"/>
      <c r="H12" s="16">
        <v>0</v>
      </c>
      <c r="I12" s="3" t="s">
        <v>15</v>
      </c>
      <c r="J12" s="5">
        <f t="shared" si="0"/>
        <v>46205</v>
      </c>
      <c r="K12" s="13"/>
    </row>
    <row r="13" spans="1:11" ht="15.75" x14ac:dyDescent="0.25">
      <c r="A13" s="3">
        <v>3</v>
      </c>
      <c r="B13" s="3"/>
      <c r="C13" s="80">
        <v>0</v>
      </c>
      <c r="D13" s="5">
        <f t="shared" si="1"/>
        <v>46204</v>
      </c>
      <c r="E13" s="14">
        <v>0</v>
      </c>
      <c r="F13" s="13" t="s">
        <v>18</v>
      </c>
      <c r="G13" s="55"/>
      <c r="H13" s="16">
        <v>0</v>
      </c>
      <c r="I13" s="3" t="s">
        <v>15</v>
      </c>
      <c r="J13" s="5">
        <f t="shared" si="0"/>
        <v>46205</v>
      </c>
      <c r="K13" s="13"/>
    </row>
    <row r="14" spans="1:11" ht="15.75" x14ac:dyDescent="0.25">
      <c r="A14" s="3">
        <v>4</v>
      </c>
      <c r="B14" s="3"/>
      <c r="C14" s="80">
        <v>0</v>
      </c>
      <c r="D14" s="5">
        <f t="shared" si="1"/>
        <v>46204</v>
      </c>
      <c r="E14" s="14">
        <v>0</v>
      </c>
      <c r="F14" s="13" t="s">
        <v>18</v>
      </c>
      <c r="G14" s="55"/>
      <c r="H14" s="16">
        <v>0</v>
      </c>
      <c r="I14" s="3" t="s">
        <v>15</v>
      </c>
      <c r="J14" s="5">
        <f t="shared" si="0"/>
        <v>46205</v>
      </c>
      <c r="K14" s="13"/>
    </row>
    <row r="15" spans="1:11" ht="15.75" x14ac:dyDescent="0.25">
      <c r="A15" s="3">
        <v>5</v>
      </c>
      <c r="B15" s="3"/>
      <c r="C15" s="80">
        <v>0</v>
      </c>
      <c r="D15" s="5">
        <f t="shared" si="1"/>
        <v>46204</v>
      </c>
      <c r="E15" s="14">
        <v>0</v>
      </c>
      <c r="F15" s="13" t="s">
        <v>18</v>
      </c>
      <c r="G15" s="55"/>
      <c r="H15" s="16">
        <v>0</v>
      </c>
      <c r="I15" s="3" t="s">
        <v>15</v>
      </c>
      <c r="J15" s="5">
        <f t="shared" si="0"/>
        <v>46205</v>
      </c>
      <c r="K15" s="13"/>
    </row>
    <row r="16" spans="1:11" ht="15.75" x14ac:dyDescent="0.25">
      <c r="A16" s="3">
        <v>6</v>
      </c>
      <c r="B16" s="3"/>
      <c r="C16" s="80">
        <v>0</v>
      </c>
      <c r="D16" s="5">
        <f t="shared" si="1"/>
        <v>46204</v>
      </c>
      <c r="E16" s="14">
        <v>0</v>
      </c>
      <c r="F16" s="13" t="s">
        <v>18</v>
      </c>
      <c r="G16" s="55"/>
      <c r="H16" s="16">
        <v>0</v>
      </c>
      <c r="I16" s="3" t="s">
        <v>15</v>
      </c>
      <c r="J16" s="5">
        <f t="shared" si="0"/>
        <v>46205</v>
      </c>
      <c r="K16" s="13"/>
    </row>
    <row r="17" spans="1:11" ht="15.75" x14ac:dyDescent="0.25">
      <c r="A17" s="3">
        <v>7</v>
      </c>
      <c r="B17" s="3"/>
      <c r="C17" s="80">
        <v>0</v>
      </c>
      <c r="D17" s="5">
        <f t="shared" si="1"/>
        <v>46204</v>
      </c>
      <c r="E17" s="14">
        <v>0</v>
      </c>
      <c r="F17" s="13" t="s">
        <v>18</v>
      </c>
      <c r="G17" s="55"/>
      <c r="H17" s="16">
        <v>0</v>
      </c>
      <c r="I17" s="3" t="s">
        <v>15</v>
      </c>
      <c r="J17" s="5">
        <f t="shared" si="0"/>
        <v>46205</v>
      </c>
      <c r="K17" s="13"/>
    </row>
    <row r="18" spans="1:11" ht="15.75" x14ac:dyDescent="0.25">
      <c r="A18" s="3">
        <v>8</v>
      </c>
      <c r="B18" s="3"/>
      <c r="C18" s="80">
        <v>0</v>
      </c>
      <c r="D18" s="5">
        <f t="shared" si="1"/>
        <v>46204</v>
      </c>
      <c r="E18" s="14">
        <v>0</v>
      </c>
      <c r="F18" s="13" t="s">
        <v>18</v>
      </c>
      <c r="G18" s="55"/>
      <c r="H18" s="16">
        <v>0</v>
      </c>
      <c r="I18" s="3" t="s">
        <v>15</v>
      </c>
      <c r="J18" s="5">
        <f t="shared" si="0"/>
        <v>46205</v>
      </c>
      <c r="K18" s="13"/>
    </row>
    <row r="19" spans="1:11" ht="15.75" x14ac:dyDescent="0.25">
      <c r="A19" s="3">
        <v>9</v>
      </c>
      <c r="B19" s="3"/>
      <c r="C19" s="80">
        <v>0</v>
      </c>
      <c r="D19" s="5">
        <f t="shared" si="1"/>
        <v>46204</v>
      </c>
      <c r="E19" s="14">
        <v>0</v>
      </c>
      <c r="F19" s="13" t="s">
        <v>18</v>
      </c>
      <c r="G19" s="55"/>
      <c r="H19" s="16">
        <v>0</v>
      </c>
      <c r="I19" s="3" t="s">
        <v>15</v>
      </c>
      <c r="J19" s="5">
        <f t="shared" si="0"/>
        <v>46205</v>
      </c>
      <c r="K19" s="13"/>
    </row>
    <row r="20" spans="1:11" ht="15.75" x14ac:dyDescent="0.25">
      <c r="A20" s="3">
        <v>10</v>
      </c>
      <c r="B20" s="3"/>
      <c r="C20" s="80">
        <v>0</v>
      </c>
      <c r="D20" s="5">
        <f t="shared" si="1"/>
        <v>46204</v>
      </c>
      <c r="E20" s="14">
        <v>0</v>
      </c>
      <c r="F20" s="13" t="s">
        <v>18</v>
      </c>
      <c r="G20" s="55"/>
      <c r="H20" s="16">
        <v>0</v>
      </c>
      <c r="I20" s="3" t="s">
        <v>15</v>
      </c>
      <c r="J20" s="5">
        <f t="shared" si="0"/>
        <v>46205</v>
      </c>
      <c r="K20" s="13"/>
    </row>
    <row r="21" spans="1:11" ht="15.75" x14ac:dyDescent="0.25">
      <c r="A21" s="3">
        <v>11</v>
      </c>
      <c r="B21" s="3"/>
      <c r="C21" s="80">
        <v>0</v>
      </c>
      <c r="D21" s="5">
        <f t="shared" si="1"/>
        <v>46204</v>
      </c>
      <c r="E21" s="14">
        <v>0</v>
      </c>
      <c r="F21" s="13" t="s">
        <v>18</v>
      </c>
      <c r="G21" s="55"/>
      <c r="H21" s="16">
        <v>0</v>
      </c>
      <c r="I21" s="3" t="s">
        <v>15</v>
      </c>
      <c r="J21" s="5">
        <f t="shared" si="0"/>
        <v>46205</v>
      </c>
      <c r="K21" s="13"/>
    </row>
    <row r="22" spans="1:11" ht="18.75" x14ac:dyDescent="0.3">
      <c r="A22" s="3"/>
      <c r="B22" s="17" t="s">
        <v>16</v>
      </c>
      <c r="C22" s="82">
        <f>SUM(C11:C21)</f>
        <v>0</v>
      </c>
      <c r="D22" s="3"/>
      <c r="E22" s="3"/>
      <c r="F22" s="13"/>
      <c r="G22" s="13"/>
      <c r="H22" s="11"/>
      <c r="I22" s="3"/>
      <c r="J22" s="3"/>
      <c r="K22" s="3"/>
    </row>
    <row r="23" spans="1:11" ht="24.75" x14ac:dyDescent="0.5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.75" x14ac:dyDescent="0.3">
      <c r="A24" s="19" t="s">
        <v>3</v>
      </c>
      <c r="B24" s="19" t="s">
        <v>21</v>
      </c>
      <c r="C24" s="5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75" x14ac:dyDescent="0.25">
      <c r="A25" s="8">
        <v>1</v>
      </c>
      <c r="B25" s="8"/>
      <c r="C25" s="75">
        <v>0</v>
      </c>
      <c r="D25" s="5">
        <v>46204</v>
      </c>
      <c r="E25" s="8"/>
      <c r="F25" s="8"/>
      <c r="G25" s="22"/>
      <c r="H25" s="23"/>
      <c r="I25" s="24"/>
      <c r="J25" s="5">
        <v>46204</v>
      </c>
      <c r="K25" s="13"/>
    </row>
    <row r="26" spans="1:11" ht="15.75" x14ac:dyDescent="0.25">
      <c r="A26" s="8">
        <v>2</v>
      </c>
      <c r="B26" s="8"/>
      <c r="C26" s="75">
        <v>0</v>
      </c>
      <c r="D26" s="5">
        <v>46204</v>
      </c>
      <c r="E26" s="8"/>
      <c r="F26" s="8"/>
      <c r="G26" s="22"/>
      <c r="H26" s="23"/>
      <c r="I26" s="24"/>
      <c r="J26" s="5">
        <v>46204</v>
      </c>
      <c r="K26" s="13"/>
    </row>
    <row r="27" spans="1:11" ht="15.75" x14ac:dyDescent="0.25">
      <c r="A27" s="8">
        <v>3</v>
      </c>
      <c r="B27" s="8"/>
      <c r="C27" s="75">
        <v>0</v>
      </c>
      <c r="D27" s="5">
        <v>46204</v>
      </c>
      <c r="E27" s="8"/>
      <c r="F27" s="8"/>
      <c r="G27" s="22"/>
      <c r="H27" s="23"/>
      <c r="I27" s="24"/>
      <c r="J27" s="5">
        <v>46204</v>
      </c>
      <c r="K27" s="13"/>
    </row>
    <row r="28" spans="1:11" ht="15.75" x14ac:dyDescent="0.25">
      <c r="A28" s="8">
        <v>4</v>
      </c>
      <c r="B28" s="8"/>
      <c r="C28" s="75">
        <v>0</v>
      </c>
      <c r="D28" s="5">
        <v>46204</v>
      </c>
      <c r="E28" s="8"/>
      <c r="F28" s="8"/>
      <c r="G28" s="22"/>
      <c r="H28" s="23"/>
      <c r="I28" s="24"/>
      <c r="J28" s="5">
        <v>46204</v>
      </c>
      <c r="K28" s="13"/>
    </row>
    <row r="29" spans="1:11" ht="18.75" x14ac:dyDescent="0.25">
      <c r="A29" s="8"/>
      <c r="B29" s="25" t="s">
        <v>27</v>
      </c>
      <c r="C29" s="83">
        <f>SUM(C25:C28)</f>
        <v>0</v>
      </c>
      <c r="D29" s="3"/>
      <c r="E29" s="8"/>
      <c r="F29" s="8"/>
      <c r="G29" s="8"/>
      <c r="H29" s="27">
        <v>0</v>
      </c>
      <c r="I29" s="24"/>
      <c r="J29" s="3"/>
      <c r="K29" s="28"/>
    </row>
    <row r="30" spans="1:11" x14ac:dyDescent="0.25">
      <c r="C30" s="29"/>
      <c r="H30" s="29"/>
    </row>
    <row r="31" spans="1:11" ht="16.5" x14ac:dyDescent="0.3">
      <c r="B31" s="30" t="s">
        <v>28</v>
      </c>
      <c r="C31" s="76">
        <f>SUM(C14,C19)</f>
        <v>0</v>
      </c>
      <c r="E31" s="32"/>
      <c r="F31" s="32"/>
      <c r="G31" s="116"/>
      <c r="H31" s="116"/>
    </row>
    <row r="32" spans="1:11" ht="16.5" x14ac:dyDescent="0.3">
      <c r="B32" s="33" t="s">
        <v>29</v>
      </c>
      <c r="C32" s="77">
        <f>SUM(C11,C12,C17,C18,C20,C21)</f>
        <v>0</v>
      </c>
      <c r="E32" s="35"/>
      <c r="F32" s="35"/>
      <c r="G32" s="36" t="s">
        <v>30</v>
      </c>
      <c r="H32" s="37"/>
    </row>
    <row r="33" spans="2:10" ht="24" x14ac:dyDescent="0.4">
      <c r="B33" s="38" t="s">
        <v>31</v>
      </c>
      <c r="C33" s="78">
        <f>SUM(C13,C15,C16)</f>
        <v>0</v>
      </c>
      <c r="E33" s="40" t="s">
        <v>32</v>
      </c>
      <c r="F33" s="41"/>
      <c r="G33" s="42"/>
      <c r="H33" s="43"/>
      <c r="I33" s="42"/>
      <c r="J33" s="44"/>
    </row>
    <row r="34" spans="2:10" ht="18.75" x14ac:dyDescent="0.3">
      <c r="B34" s="45" t="s">
        <v>16</v>
      </c>
      <c r="C34" s="79">
        <f>SUM(C31:C33)</f>
        <v>0</v>
      </c>
      <c r="G34" s="36"/>
      <c r="H34" s="37"/>
      <c r="I34" s="36"/>
      <c r="J34" s="36"/>
    </row>
  </sheetData>
  <mergeCells count="6">
    <mergeCell ref="G31:H31"/>
    <mergeCell ref="A1:K1"/>
    <mergeCell ref="A2:K2"/>
    <mergeCell ref="A3:K3"/>
    <mergeCell ref="A10:K10"/>
    <mergeCell ref="A23:K23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080A5-9CB0-4958-B458-82B5C3A066DD}">
  <dimension ref="A1:K34"/>
  <sheetViews>
    <sheetView workbookViewId="0">
      <selection sqref="A1:K34"/>
    </sheetView>
  </sheetViews>
  <sheetFormatPr defaultRowHeight="15" x14ac:dyDescent="0.25"/>
  <sheetData>
    <row r="1" spans="1:11" ht="24.75" x14ac:dyDescent="0.25">
      <c r="A1" s="117" t="s">
        <v>829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998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46204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46203</v>
      </c>
      <c r="K5" s="8" t="s">
        <v>33</v>
      </c>
    </row>
    <row r="6" spans="1:11" ht="15.75" x14ac:dyDescent="0.25">
      <c r="A6" s="3">
        <v>2</v>
      </c>
      <c r="B6" s="3"/>
      <c r="C6" s="80">
        <v>0</v>
      </c>
      <c r="D6" s="5">
        <v>46204</v>
      </c>
      <c r="E6" s="6">
        <v>0</v>
      </c>
      <c r="F6" s="3" t="s">
        <v>14</v>
      </c>
      <c r="G6" s="49"/>
      <c r="H6" s="7">
        <v>0</v>
      </c>
      <c r="I6" s="3" t="s">
        <v>15</v>
      </c>
      <c r="J6" s="5">
        <f>+D6-1</f>
        <v>46203</v>
      </c>
      <c r="K6" s="8"/>
    </row>
    <row r="7" spans="1:11" ht="15.75" x14ac:dyDescent="0.25">
      <c r="A7" s="3">
        <v>3</v>
      </c>
      <c r="B7" s="3"/>
      <c r="C7" s="80">
        <v>0</v>
      </c>
      <c r="D7" s="5"/>
      <c r="E7" s="6"/>
      <c r="F7" s="3"/>
      <c r="G7" s="49"/>
      <c r="H7" s="7"/>
      <c r="I7" s="3"/>
      <c r="J7" s="5"/>
      <c r="K7" s="8"/>
    </row>
    <row r="8" spans="1:11" ht="18.75" x14ac:dyDescent="0.3">
      <c r="A8" s="9"/>
      <c r="B8" s="10" t="s">
        <v>16</v>
      </c>
      <c r="C8" s="81">
        <f>SUM(C5:C7)</f>
        <v>0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4" x14ac:dyDescent="0.4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75" x14ac:dyDescent="0.25">
      <c r="A11" s="3">
        <v>1</v>
      </c>
      <c r="B11" s="3"/>
      <c r="C11" s="80">
        <v>0</v>
      </c>
      <c r="D11" s="5">
        <v>46204</v>
      </c>
      <c r="E11" s="14">
        <v>0</v>
      </c>
      <c r="F11" s="13" t="s">
        <v>18</v>
      </c>
      <c r="G11" s="55"/>
      <c r="H11" s="16">
        <v>0</v>
      </c>
      <c r="I11" s="3" t="s">
        <v>19</v>
      </c>
      <c r="J11" s="5">
        <f t="shared" ref="J11:J21" si="0">+D11+1</f>
        <v>46205</v>
      </c>
      <c r="K11" s="13"/>
    </row>
    <row r="12" spans="1:11" ht="15.75" x14ac:dyDescent="0.25">
      <c r="A12" s="3">
        <v>2</v>
      </c>
      <c r="B12" s="3"/>
      <c r="C12" s="80">
        <v>0</v>
      </c>
      <c r="D12" s="5">
        <f t="shared" ref="D12:D21" si="1">+D11</f>
        <v>46204</v>
      </c>
      <c r="E12" s="14">
        <v>0</v>
      </c>
      <c r="F12" s="13" t="s">
        <v>18</v>
      </c>
      <c r="G12" s="55"/>
      <c r="H12" s="16">
        <v>0</v>
      </c>
      <c r="I12" s="3" t="s">
        <v>15</v>
      </c>
      <c r="J12" s="5">
        <f t="shared" si="0"/>
        <v>46205</v>
      </c>
      <c r="K12" s="13"/>
    </row>
    <row r="13" spans="1:11" ht="15.75" x14ac:dyDescent="0.25">
      <c r="A13" s="3">
        <v>3</v>
      </c>
      <c r="B13" s="3"/>
      <c r="C13" s="80">
        <v>0</v>
      </c>
      <c r="D13" s="5">
        <f t="shared" si="1"/>
        <v>46204</v>
      </c>
      <c r="E13" s="14">
        <v>0</v>
      </c>
      <c r="F13" s="13" t="s">
        <v>18</v>
      </c>
      <c r="G13" s="55"/>
      <c r="H13" s="16">
        <v>0</v>
      </c>
      <c r="I13" s="3" t="s">
        <v>15</v>
      </c>
      <c r="J13" s="5">
        <f t="shared" si="0"/>
        <v>46205</v>
      </c>
      <c r="K13" s="13"/>
    </row>
    <row r="14" spans="1:11" ht="15.75" x14ac:dyDescent="0.25">
      <c r="A14" s="3">
        <v>4</v>
      </c>
      <c r="B14" s="3"/>
      <c r="C14" s="80">
        <v>0</v>
      </c>
      <c r="D14" s="5">
        <f t="shared" si="1"/>
        <v>46204</v>
      </c>
      <c r="E14" s="14">
        <v>0</v>
      </c>
      <c r="F14" s="13" t="s">
        <v>18</v>
      </c>
      <c r="G14" s="55"/>
      <c r="H14" s="16">
        <v>0</v>
      </c>
      <c r="I14" s="3" t="s">
        <v>15</v>
      </c>
      <c r="J14" s="5">
        <f t="shared" si="0"/>
        <v>46205</v>
      </c>
      <c r="K14" s="13"/>
    </row>
    <row r="15" spans="1:11" ht="15.75" x14ac:dyDescent="0.25">
      <c r="A15" s="3">
        <v>5</v>
      </c>
      <c r="B15" s="3"/>
      <c r="C15" s="80">
        <v>0</v>
      </c>
      <c r="D15" s="5">
        <f t="shared" si="1"/>
        <v>46204</v>
      </c>
      <c r="E15" s="14">
        <v>0</v>
      </c>
      <c r="F15" s="13" t="s">
        <v>18</v>
      </c>
      <c r="G15" s="55"/>
      <c r="H15" s="16">
        <v>0</v>
      </c>
      <c r="I15" s="3" t="s">
        <v>15</v>
      </c>
      <c r="J15" s="5">
        <f t="shared" si="0"/>
        <v>46205</v>
      </c>
      <c r="K15" s="13"/>
    </row>
    <row r="16" spans="1:11" ht="15.75" x14ac:dyDescent="0.25">
      <c r="A16" s="3">
        <v>6</v>
      </c>
      <c r="B16" s="3"/>
      <c r="C16" s="80">
        <v>0</v>
      </c>
      <c r="D16" s="5">
        <f t="shared" si="1"/>
        <v>46204</v>
      </c>
      <c r="E16" s="14">
        <v>0</v>
      </c>
      <c r="F16" s="13" t="s">
        <v>18</v>
      </c>
      <c r="G16" s="55"/>
      <c r="H16" s="16">
        <v>0</v>
      </c>
      <c r="I16" s="3" t="s">
        <v>15</v>
      </c>
      <c r="J16" s="5">
        <f t="shared" si="0"/>
        <v>46205</v>
      </c>
      <c r="K16" s="13"/>
    </row>
    <row r="17" spans="1:11" ht="15.75" x14ac:dyDescent="0.25">
      <c r="A17" s="3">
        <v>7</v>
      </c>
      <c r="B17" s="3"/>
      <c r="C17" s="80">
        <v>0</v>
      </c>
      <c r="D17" s="5">
        <f t="shared" si="1"/>
        <v>46204</v>
      </c>
      <c r="E17" s="14">
        <v>0</v>
      </c>
      <c r="F17" s="13" t="s">
        <v>18</v>
      </c>
      <c r="G17" s="55"/>
      <c r="H17" s="16">
        <v>0</v>
      </c>
      <c r="I17" s="3" t="s">
        <v>15</v>
      </c>
      <c r="J17" s="5">
        <f t="shared" si="0"/>
        <v>46205</v>
      </c>
      <c r="K17" s="13"/>
    </row>
    <row r="18" spans="1:11" ht="15.75" x14ac:dyDescent="0.25">
      <c r="A18" s="3">
        <v>8</v>
      </c>
      <c r="B18" s="3"/>
      <c r="C18" s="80">
        <v>0</v>
      </c>
      <c r="D18" s="5">
        <f t="shared" si="1"/>
        <v>46204</v>
      </c>
      <c r="E18" s="14">
        <v>0</v>
      </c>
      <c r="F18" s="13" t="s">
        <v>18</v>
      </c>
      <c r="G18" s="55"/>
      <c r="H18" s="16">
        <v>0</v>
      </c>
      <c r="I18" s="3" t="s">
        <v>15</v>
      </c>
      <c r="J18" s="5">
        <f t="shared" si="0"/>
        <v>46205</v>
      </c>
      <c r="K18" s="13"/>
    </row>
    <row r="19" spans="1:11" ht="15.75" x14ac:dyDescent="0.25">
      <c r="A19" s="3">
        <v>9</v>
      </c>
      <c r="B19" s="3"/>
      <c r="C19" s="80">
        <v>0</v>
      </c>
      <c r="D19" s="5">
        <f t="shared" si="1"/>
        <v>46204</v>
      </c>
      <c r="E19" s="14">
        <v>0</v>
      </c>
      <c r="F19" s="13" t="s">
        <v>18</v>
      </c>
      <c r="G19" s="55"/>
      <c r="H19" s="16">
        <v>0</v>
      </c>
      <c r="I19" s="3" t="s">
        <v>15</v>
      </c>
      <c r="J19" s="5">
        <f t="shared" si="0"/>
        <v>46205</v>
      </c>
      <c r="K19" s="13"/>
    </row>
    <row r="20" spans="1:11" ht="15.75" x14ac:dyDescent="0.25">
      <c r="A20" s="3">
        <v>10</v>
      </c>
      <c r="B20" s="3"/>
      <c r="C20" s="80">
        <v>0</v>
      </c>
      <c r="D20" s="5">
        <f t="shared" si="1"/>
        <v>46204</v>
      </c>
      <c r="E20" s="14">
        <v>0</v>
      </c>
      <c r="F20" s="13" t="s">
        <v>18</v>
      </c>
      <c r="G20" s="55"/>
      <c r="H20" s="16">
        <v>0</v>
      </c>
      <c r="I20" s="3" t="s">
        <v>15</v>
      </c>
      <c r="J20" s="5">
        <f t="shared" si="0"/>
        <v>46205</v>
      </c>
      <c r="K20" s="13"/>
    </row>
    <row r="21" spans="1:11" ht="15.75" x14ac:dyDescent="0.25">
      <c r="A21" s="3">
        <v>11</v>
      </c>
      <c r="B21" s="3"/>
      <c r="C21" s="80">
        <v>0</v>
      </c>
      <c r="D21" s="5">
        <f t="shared" si="1"/>
        <v>46204</v>
      </c>
      <c r="E21" s="14">
        <v>0</v>
      </c>
      <c r="F21" s="13" t="s">
        <v>18</v>
      </c>
      <c r="G21" s="55"/>
      <c r="H21" s="16">
        <v>0</v>
      </c>
      <c r="I21" s="3" t="s">
        <v>15</v>
      </c>
      <c r="J21" s="5">
        <f t="shared" si="0"/>
        <v>46205</v>
      </c>
      <c r="K21" s="13"/>
    </row>
    <row r="22" spans="1:11" ht="18.75" x14ac:dyDescent="0.3">
      <c r="A22" s="3"/>
      <c r="B22" s="17" t="s">
        <v>16</v>
      </c>
      <c r="C22" s="82">
        <f>SUM(C11:C21)</f>
        <v>0</v>
      </c>
      <c r="D22" s="3"/>
      <c r="E22" s="3"/>
      <c r="F22" s="13"/>
      <c r="G22" s="13"/>
      <c r="H22" s="11"/>
      <c r="I22" s="3"/>
      <c r="J22" s="3"/>
      <c r="K22" s="3"/>
    </row>
    <row r="23" spans="1:11" ht="24.75" x14ac:dyDescent="0.5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.75" x14ac:dyDescent="0.3">
      <c r="A24" s="19" t="s">
        <v>3</v>
      </c>
      <c r="B24" s="19" t="s">
        <v>21</v>
      </c>
      <c r="C24" s="5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75" x14ac:dyDescent="0.25">
      <c r="A25" s="8">
        <v>1</v>
      </c>
      <c r="B25" s="8"/>
      <c r="C25" s="75">
        <v>0</v>
      </c>
      <c r="D25" s="5">
        <v>46204</v>
      </c>
      <c r="E25" s="8"/>
      <c r="F25" s="8"/>
      <c r="G25" s="22"/>
      <c r="H25" s="23"/>
      <c r="I25" s="24"/>
      <c r="J25" s="5">
        <v>46204</v>
      </c>
      <c r="K25" s="13"/>
    </row>
    <row r="26" spans="1:11" ht="15.75" x14ac:dyDescent="0.25">
      <c r="A26" s="8">
        <v>2</v>
      </c>
      <c r="B26" s="8"/>
      <c r="C26" s="75">
        <v>0</v>
      </c>
      <c r="D26" s="5">
        <v>46204</v>
      </c>
      <c r="E26" s="8"/>
      <c r="F26" s="8"/>
      <c r="G26" s="22"/>
      <c r="H26" s="23"/>
      <c r="I26" s="24"/>
      <c r="J26" s="5">
        <v>46204</v>
      </c>
      <c r="K26" s="13"/>
    </row>
    <row r="27" spans="1:11" ht="15.75" x14ac:dyDescent="0.25">
      <c r="A27" s="8">
        <v>3</v>
      </c>
      <c r="B27" s="8"/>
      <c r="C27" s="75">
        <v>0</v>
      </c>
      <c r="D27" s="5">
        <v>46204</v>
      </c>
      <c r="E27" s="8"/>
      <c r="F27" s="8"/>
      <c r="G27" s="22"/>
      <c r="H27" s="23"/>
      <c r="I27" s="24"/>
      <c r="J27" s="5">
        <v>46204</v>
      </c>
      <c r="K27" s="13"/>
    </row>
    <row r="28" spans="1:11" ht="15.75" x14ac:dyDescent="0.25">
      <c r="A28" s="8">
        <v>4</v>
      </c>
      <c r="B28" s="8"/>
      <c r="C28" s="75">
        <v>0</v>
      </c>
      <c r="D28" s="5">
        <v>46204</v>
      </c>
      <c r="E28" s="8"/>
      <c r="F28" s="8"/>
      <c r="G28" s="22"/>
      <c r="H28" s="23"/>
      <c r="I28" s="24"/>
      <c r="J28" s="5">
        <v>46204</v>
      </c>
      <c r="K28" s="13"/>
    </row>
    <row r="29" spans="1:11" ht="18.75" x14ac:dyDescent="0.25">
      <c r="A29" s="8"/>
      <c r="B29" s="25" t="s">
        <v>27</v>
      </c>
      <c r="C29" s="83">
        <f>SUM(C25:C28)</f>
        <v>0</v>
      </c>
      <c r="D29" s="3"/>
      <c r="E29" s="8"/>
      <c r="F29" s="8"/>
      <c r="G29" s="8"/>
      <c r="H29" s="27">
        <v>0</v>
      </c>
      <c r="I29" s="24"/>
      <c r="J29" s="3"/>
      <c r="K29" s="28"/>
    </row>
    <row r="30" spans="1:11" x14ac:dyDescent="0.25">
      <c r="C30" s="29"/>
      <c r="H30" s="29"/>
    </row>
    <row r="31" spans="1:11" ht="16.5" x14ac:dyDescent="0.3">
      <c r="B31" s="30" t="s">
        <v>28</v>
      </c>
      <c r="C31" s="76">
        <f>SUM(C14,C19)</f>
        <v>0</v>
      </c>
      <c r="E31" s="32"/>
      <c r="F31" s="32"/>
      <c r="G31" s="116"/>
      <c r="H31" s="116"/>
    </row>
    <row r="32" spans="1:11" ht="16.5" x14ac:dyDescent="0.3">
      <c r="B32" s="33" t="s">
        <v>29</v>
      </c>
      <c r="C32" s="77">
        <f>SUM(C11,C12,C17,C18,C20,C21)</f>
        <v>0</v>
      </c>
      <c r="E32" s="35"/>
      <c r="F32" s="35"/>
      <c r="G32" s="36" t="s">
        <v>30</v>
      </c>
      <c r="H32" s="37"/>
    </row>
    <row r="33" spans="2:10" ht="24" x14ac:dyDescent="0.4">
      <c r="B33" s="38" t="s">
        <v>31</v>
      </c>
      <c r="C33" s="78">
        <f>SUM(C13,C15,C16)</f>
        <v>0</v>
      </c>
      <c r="E33" s="40" t="s">
        <v>32</v>
      </c>
      <c r="F33" s="41"/>
      <c r="G33" s="42"/>
      <c r="H33" s="43"/>
      <c r="I33" s="42"/>
      <c r="J33" s="44"/>
    </row>
    <row r="34" spans="2:10" ht="18.75" x14ac:dyDescent="0.3">
      <c r="B34" s="45" t="s">
        <v>16</v>
      </c>
      <c r="C34" s="79">
        <f>SUM(C31:C33)</f>
        <v>0</v>
      </c>
      <c r="G34" s="36"/>
      <c r="H34" s="37"/>
      <c r="I34" s="36"/>
      <c r="J34" s="36"/>
    </row>
  </sheetData>
  <mergeCells count="6">
    <mergeCell ref="G31:H31"/>
    <mergeCell ref="A1:K1"/>
    <mergeCell ref="A2:K2"/>
    <mergeCell ref="A3:K3"/>
    <mergeCell ref="A10:K10"/>
    <mergeCell ref="A23:K23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99F86-EA35-484E-9AA0-74C51DA53304}">
  <dimension ref="A1:K34"/>
  <sheetViews>
    <sheetView workbookViewId="0">
      <selection sqref="A1:K34"/>
    </sheetView>
  </sheetViews>
  <sheetFormatPr defaultRowHeight="15" x14ac:dyDescent="0.25"/>
  <sheetData>
    <row r="1" spans="1:11" ht="24.75" x14ac:dyDescent="0.25">
      <c r="A1" s="117" t="s">
        <v>829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998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46204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46203</v>
      </c>
      <c r="K5" s="8" t="s">
        <v>33</v>
      </c>
    </row>
    <row r="6" spans="1:11" ht="15.75" x14ac:dyDescent="0.25">
      <c r="A6" s="3">
        <v>2</v>
      </c>
      <c r="B6" s="3"/>
      <c r="C6" s="80">
        <v>0</v>
      </c>
      <c r="D6" s="5">
        <v>46204</v>
      </c>
      <c r="E6" s="6">
        <v>0</v>
      </c>
      <c r="F6" s="3" t="s">
        <v>14</v>
      </c>
      <c r="G6" s="49"/>
      <c r="H6" s="7">
        <v>0</v>
      </c>
      <c r="I6" s="3" t="s">
        <v>15</v>
      </c>
      <c r="J6" s="5">
        <f>+D6-1</f>
        <v>46203</v>
      </c>
      <c r="K6" s="8"/>
    </row>
    <row r="7" spans="1:11" ht="15.75" x14ac:dyDescent="0.25">
      <c r="A7" s="3">
        <v>3</v>
      </c>
      <c r="B7" s="3"/>
      <c r="C7" s="80">
        <v>0</v>
      </c>
      <c r="D7" s="5"/>
      <c r="E7" s="6"/>
      <c r="F7" s="3"/>
      <c r="G7" s="49"/>
      <c r="H7" s="7"/>
      <c r="I7" s="3"/>
      <c r="J7" s="5"/>
      <c r="K7" s="8"/>
    </row>
    <row r="8" spans="1:11" ht="18.75" x14ac:dyDescent="0.3">
      <c r="A8" s="9"/>
      <c r="B8" s="10" t="s">
        <v>16</v>
      </c>
      <c r="C8" s="81">
        <f>SUM(C5:C7)</f>
        <v>0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4" x14ac:dyDescent="0.4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75" x14ac:dyDescent="0.25">
      <c r="A11" s="3">
        <v>1</v>
      </c>
      <c r="B11" s="3"/>
      <c r="C11" s="80">
        <v>0</v>
      </c>
      <c r="D11" s="5">
        <v>46204</v>
      </c>
      <c r="E11" s="14">
        <v>0</v>
      </c>
      <c r="F11" s="13" t="s">
        <v>18</v>
      </c>
      <c r="G11" s="55"/>
      <c r="H11" s="16">
        <v>0</v>
      </c>
      <c r="I11" s="3" t="s">
        <v>19</v>
      </c>
      <c r="J11" s="5">
        <f t="shared" ref="J11:J21" si="0">+D11+1</f>
        <v>46205</v>
      </c>
      <c r="K11" s="13"/>
    </row>
    <row r="12" spans="1:11" ht="15.75" x14ac:dyDescent="0.25">
      <c r="A12" s="3">
        <v>2</v>
      </c>
      <c r="B12" s="3"/>
      <c r="C12" s="80">
        <v>0</v>
      </c>
      <c r="D12" s="5">
        <f t="shared" ref="D12:D21" si="1">+D11</f>
        <v>46204</v>
      </c>
      <c r="E12" s="14">
        <v>0</v>
      </c>
      <c r="F12" s="13" t="s">
        <v>18</v>
      </c>
      <c r="G12" s="55"/>
      <c r="H12" s="16">
        <v>0</v>
      </c>
      <c r="I12" s="3" t="s">
        <v>15</v>
      </c>
      <c r="J12" s="5">
        <f t="shared" si="0"/>
        <v>46205</v>
      </c>
      <c r="K12" s="13"/>
    </row>
    <row r="13" spans="1:11" ht="15.75" x14ac:dyDescent="0.25">
      <c r="A13" s="3">
        <v>3</v>
      </c>
      <c r="B13" s="3"/>
      <c r="C13" s="80">
        <v>0</v>
      </c>
      <c r="D13" s="5">
        <f t="shared" si="1"/>
        <v>46204</v>
      </c>
      <c r="E13" s="14">
        <v>0</v>
      </c>
      <c r="F13" s="13" t="s">
        <v>18</v>
      </c>
      <c r="G13" s="55"/>
      <c r="H13" s="16">
        <v>0</v>
      </c>
      <c r="I13" s="3" t="s">
        <v>15</v>
      </c>
      <c r="J13" s="5">
        <f t="shared" si="0"/>
        <v>46205</v>
      </c>
      <c r="K13" s="13"/>
    </row>
    <row r="14" spans="1:11" ht="15.75" x14ac:dyDescent="0.25">
      <c r="A14" s="3">
        <v>4</v>
      </c>
      <c r="B14" s="3"/>
      <c r="C14" s="80">
        <v>0</v>
      </c>
      <c r="D14" s="5">
        <f t="shared" si="1"/>
        <v>46204</v>
      </c>
      <c r="E14" s="14">
        <v>0</v>
      </c>
      <c r="F14" s="13" t="s">
        <v>18</v>
      </c>
      <c r="G14" s="55"/>
      <c r="H14" s="16">
        <v>0</v>
      </c>
      <c r="I14" s="3" t="s">
        <v>15</v>
      </c>
      <c r="J14" s="5">
        <f t="shared" si="0"/>
        <v>46205</v>
      </c>
      <c r="K14" s="13"/>
    </row>
    <row r="15" spans="1:11" ht="15.75" x14ac:dyDescent="0.25">
      <c r="A15" s="3">
        <v>5</v>
      </c>
      <c r="B15" s="3"/>
      <c r="C15" s="80">
        <v>0</v>
      </c>
      <c r="D15" s="5">
        <f t="shared" si="1"/>
        <v>46204</v>
      </c>
      <c r="E15" s="14">
        <v>0</v>
      </c>
      <c r="F15" s="13" t="s">
        <v>18</v>
      </c>
      <c r="G15" s="55"/>
      <c r="H15" s="16">
        <v>0</v>
      </c>
      <c r="I15" s="3" t="s">
        <v>15</v>
      </c>
      <c r="J15" s="5">
        <f t="shared" si="0"/>
        <v>46205</v>
      </c>
      <c r="K15" s="13"/>
    </row>
    <row r="16" spans="1:11" ht="15.75" x14ac:dyDescent="0.25">
      <c r="A16" s="3">
        <v>6</v>
      </c>
      <c r="B16" s="3"/>
      <c r="C16" s="80">
        <v>0</v>
      </c>
      <c r="D16" s="5">
        <f t="shared" si="1"/>
        <v>46204</v>
      </c>
      <c r="E16" s="14">
        <v>0</v>
      </c>
      <c r="F16" s="13" t="s">
        <v>18</v>
      </c>
      <c r="G16" s="55"/>
      <c r="H16" s="16">
        <v>0</v>
      </c>
      <c r="I16" s="3" t="s">
        <v>15</v>
      </c>
      <c r="J16" s="5">
        <f t="shared" si="0"/>
        <v>46205</v>
      </c>
      <c r="K16" s="13"/>
    </row>
    <row r="17" spans="1:11" ht="15.75" x14ac:dyDescent="0.25">
      <c r="A17" s="3">
        <v>7</v>
      </c>
      <c r="B17" s="3"/>
      <c r="C17" s="80">
        <v>0</v>
      </c>
      <c r="D17" s="5">
        <f t="shared" si="1"/>
        <v>46204</v>
      </c>
      <c r="E17" s="14">
        <v>0</v>
      </c>
      <c r="F17" s="13" t="s">
        <v>18</v>
      </c>
      <c r="G17" s="55"/>
      <c r="H17" s="16">
        <v>0</v>
      </c>
      <c r="I17" s="3" t="s">
        <v>15</v>
      </c>
      <c r="J17" s="5">
        <f t="shared" si="0"/>
        <v>46205</v>
      </c>
      <c r="K17" s="13"/>
    </row>
    <row r="18" spans="1:11" ht="15.75" x14ac:dyDescent="0.25">
      <c r="A18" s="3">
        <v>8</v>
      </c>
      <c r="B18" s="3"/>
      <c r="C18" s="80">
        <v>0</v>
      </c>
      <c r="D18" s="5">
        <f t="shared" si="1"/>
        <v>46204</v>
      </c>
      <c r="E18" s="14">
        <v>0</v>
      </c>
      <c r="F18" s="13" t="s">
        <v>18</v>
      </c>
      <c r="G18" s="55"/>
      <c r="H18" s="16">
        <v>0</v>
      </c>
      <c r="I18" s="3" t="s">
        <v>15</v>
      </c>
      <c r="J18" s="5">
        <f t="shared" si="0"/>
        <v>46205</v>
      </c>
      <c r="K18" s="13"/>
    </row>
    <row r="19" spans="1:11" ht="15.75" x14ac:dyDescent="0.25">
      <c r="A19" s="3">
        <v>9</v>
      </c>
      <c r="B19" s="3"/>
      <c r="C19" s="80">
        <v>0</v>
      </c>
      <c r="D19" s="5">
        <f t="shared" si="1"/>
        <v>46204</v>
      </c>
      <c r="E19" s="14">
        <v>0</v>
      </c>
      <c r="F19" s="13" t="s">
        <v>18</v>
      </c>
      <c r="G19" s="55"/>
      <c r="H19" s="16">
        <v>0</v>
      </c>
      <c r="I19" s="3" t="s">
        <v>15</v>
      </c>
      <c r="J19" s="5">
        <f t="shared" si="0"/>
        <v>46205</v>
      </c>
      <c r="K19" s="13"/>
    </row>
    <row r="20" spans="1:11" ht="15.75" x14ac:dyDescent="0.25">
      <c r="A20" s="3">
        <v>10</v>
      </c>
      <c r="B20" s="3"/>
      <c r="C20" s="80">
        <v>0</v>
      </c>
      <c r="D20" s="5">
        <f t="shared" si="1"/>
        <v>46204</v>
      </c>
      <c r="E20" s="14">
        <v>0</v>
      </c>
      <c r="F20" s="13" t="s">
        <v>18</v>
      </c>
      <c r="G20" s="55"/>
      <c r="H20" s="16">
        <v>0</v>
      </c>
      <c r="I20" s="3" t="s">
        <v>15</v>
      </c>
      <c r="J20" s="5">
        <f t="shared" si="0"/>
        <v>46205</v>
      </c>
      <c r="K20" s="13"/>
    </row>
    <row r="21" spans="1:11" ht="15.75" x14ac:dyDescent="0.25">
      <c r="A21" s="3">
        <v>11</v>
      </c>
      <c r="B21" s="3"/>
      <c r="C21" s="80">
        <v>0</v>
      </c>
      <c r="D21" s="5">
        <f t="shared" si="1"/>
        <v>46204</v>
      </c>
      <c r="E21" s="14">
        <v>0</v>
      </c>
      <c r="F21" s="13" t="s">
        <v>18</v>
      </c>
      <c r="G21" s="55"/>
      <c r="H21" s="16">
        <v>0</v>
      </c>
      <c r="I21" s="3" t="s">
        <v>15</v>
      </c>
      <c r="J21" s="5">
        <f t="shared" si="0"/>
        <v>46205</v>
      </c>
      <c r="K21" s="13"/>
    </row>
    <row r="22" spans="1:11" ht="18.75" x14ac:dyDescent="0.3">
      <c r="A22" s="3"/>
      <c r="B22" s="17" t="s">
        <v>16</v>
      </c>
      <c r="C22" s="82">
        <f>SUM(C11:C21)</f>
        <v>0</v>
      </c>
      <c r="D22" s="3"/>
      <c r="E22" s="3"/>
      <c r="F22" s="13"/>
      <c r="G22" s="13"/>
      <c r="H22" s="11"/>
      <c r="I22" s="3"/>
      <c r="J22" s="3"/>
      <c r="K22" s="3"/>
    </row>
    <row r="23" spans="1:11" ht="24.75" x14ac:dyDescent="0.5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.75" x14ac:dyDescent="0.3">
      <c r="A24" s="19" t="s">
        <v>3</v>
      </c>
      <c r="B24" s="19" t="s">
        <v>21</v>
      </c>
      <c r="C24" s="5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75" x14ac:dyDescent="0.25">
      <c r="A25" s="8">
        <v>1</v>
      </c>
      <c r="B25" s="8"/>
      <c r="C25" s="75">
        <v>0</v>
      </c>
      <c r="D25" s="5">
        <v>46204</v>
      </c>
      <c r="E25" s="8"/>
      <c r="F25" s="8"/>
      <c r="G25" s="22"/>
      <c r="H25" s="23"/>
      <c r="I25" s="24"/>
      <c r="J25" s="5">
        <v>46204</v>
      </c>
      <c r="K25" s="13"/>
    </row>
    <row r="26" spans="1:11" ht="15.75" x14ac:dyDescent="0.25">
      <c r="A26" s="8">
        <v>2</v>
      </c>
      <c r="B26" s="8"/>
      <c r="C26" s="75">
        <v>0</v>
      </c>
      <c r="D26" s="5">
        <v>46204</v>
      </c>
      <c r="E26" s="8"/>
      <c r="F26" s="8"/>
      <c r="G26" s="22"/>
      <c r="H26" s="23"/>
      <c r="I26" s="24"/>
      <c r="J26" s="5">
        <v>46204</v>
      </c>
      <c r="K26" s="13"/>
    </row>
    <row r="27" spans="1:11" ht="15.75" x14ac:dyDescent="0.25">
      <c r="A27" s="8">
        <v>3</v>
      </c>
      <c r="B27" s="8"/>
      <c r="C27" s="75">
        <v>0</v>
      </c>
      <c r="D27" s="5">
        <v>46204</v>
      </c>
      <c r="E27" s="8"/>
      <c r="F27" s="8"/>
      <c r="G27" s="22"/>
      <c r="H27" s="23"/>
      <c r="I27" s="24"/>
      <c r="J27" s="5">
        <v>46204</v>
      </c>
      <c r="K27" s="13"/>
    </row>
    <row r="28" spans="1:11" ht="15.75" x14ac:dyDescent="0.25">
      <c r="A28" s="8">
        <v>4</v>
      </c>
      <c r="B28" s="8"/>
      <c r="C28" s="75">
        <v>0</v>
      </c>
      <c r="D28" s="5">
        <v>46204</v>
      </c>
      <c r="E28" s="8"/>
      <c r="F28" s="8"/>
      <c r="G28" s="22"/>
      <c r="H28" s="23"/>
      <c r="I28" s="24"/>
      <c r="J28" s="5">
        <v>46204</v>
      </c>
      <c r="K28" s="13"/>
    </row>
    <row r="29" spans="1:11" ht="18.75" x14ac:dyDescent="0.25">
      <c r="A29" s="8"/>
      <c r="B29" s="25" t="s">
        <v>27</v>
      </c>
      <c r="C29" s="83">
        <f>SUM(C25:C28)</f>
        <v>0</v>
      </c>
      <c r="D29" s="3"/>
      <c r="E29" s="8"/>
      <c r="F29" s="8"/>
      <c r="G29" s="8"/>
      <c r="H29" s="27">
        <v>0</v>
      </c>
      <c r="I29" s="24"/>
      <c r="J29" s="3"/>
      <c r="K29" s="28"/>
    </row>
    <row r="30" spans="1:11" x14ac:dyDescent="0.25">
      <c r="C30" s="29"/>
      <c r="H30" s="29"/>
    </row>
    <row r="31" spans="1:11" ht="16.5" x14ac:dyDescent="0.3">
      <c r="B31" s="30" t="s">
        <v>28</v>
      </c>
      <c r="C31" s="76">
        <f>SUM(C14,C19)</f>
        <v>0</v>
      </c>
      <c r="E31" s="32"/>
      <c r="F31" s="32"/>
      <c r="G31" s="116"/>
      <c r="H31" s="116"/>
    </row>
    <row r="32" spans="1:11" ht="16.5" x14ac:dyDescent="0.3">
      <c r="B32" s="33" t="s">
        <v>29</v>
      </c>
      <c r="C32" s="77">
        <f>SUM(C11,C12,C17,C18,C20,C21)</f>
        <v>0</v>
      </c>
      <c r="E32" s="35"/>
      <c r="F32" s="35"/>
      <c r="G32" s="36" t="s">
        <v>30</v>
      </c>
      <c r="H32" s="37"/>
    </row>
    <row r="33" spans="2:10" ht="24" x14ac:dyDescent="0.4">
      <c r="B33" s="38" t="s">
        <v>31</v>
      </c>
      <c r="C33" s="78">
        <f>SUM(C13,C15,C16)</f>
        <v>0</v>
      </c>
      <c r="E33" s="40" t="s">
        <v>32</v>
      </c>
      <c r="F33" s="41"/>
      <c r="G33" s="42"/>
      <c r="H33" s="43"/>
      <c r="I33" s="42"/>
      <c r="J33" s="44"/>
    </row>
    <row r="34" spans="2:10" ht="18.75" x14ac:dyDescent="0.3">
      <c r="B34" s="45" t="s">
        <v>16</v>
      </c>
      <c r="C34" s="79">
        <f>SUM(C31:C33)</f>
        <v>0</v>
      </c>
      <c r="G34" s="36"/>
      <c r="H34" s="37"/>
      <c r="I34" s="36"/>
      <c r="J34" s="36"/>
    </row>
  </sheetData>
  <mergeCells count="6">
    <mergeCell ref="G31:H31"/>
    <mergeCell ref="A1:K1"/>
    <mergeCell ref="A2:K2"/>
    <mergeCell ref="A3:K3"/>
    <mergeCell ref="A10:K10"/>
    <mergeCell ref="A23:K23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DFCA1-5C05-4763-8AFA-6B1FDB9E336F}">
  <dimension ref="A1:K34"/>
  <sheetViews>
    <sheetView workbookViewId="0">
      <selection sqref="A1:K34"/>
    </sheetView>
  </sheetViews>
  <sheetFormatPr defaultRowHeight="15" x14ac:dyDescent="0.25"/>
  <sheetData>
    <row r="1" spans="1:11" ht="24.75" x14ac:dyDescent="0.25">
      <c r="A1" s="117" t="s">
        <v>829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998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46204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46203</v>
      </c>
      <c r="K5" s="8" t="s">
        <v>33</v>
      </c>
    </row>
    <row r="6" spans="1:11" ht="15.75" x14ac:dyDescent="0.25">
      <c r="A6" s="3">
        <v>2</v>
      </c>
      <c r="B6" s="3"/>
      <c r="C6" s="80">
        <v>0</v>
      </c>
      <c r="D6" s="5">
        <v>46204</v>
      </c>
      <c r="E6" s="6">
        <v>0</v>
      </c>
      <c r="F6" s="3" t="s">
        <v>14</v>
      </c>
      <c r="G6" s="49"/>
      <c r="H6" s="7">
        <v>0</v>
      </c>
      <c r="I6" s="3" t="s">
        <v>15</v>
      </c>
      <c r="J6" s="5">
        <f>+D6-1</f>
        <v>46203</v>
      </c>
      <c r="K6" s="8"/>
    </row>
    <row r="7" spans="1:11" ht="15.75" x14ac:dyDescent="0.25">
      <c r="A7" s="3">
        <v>3</v>
      </c>
      <c r="B7" s="3"/>
      <c r="C7" s="80">
        <v>0</v>
      </c>
      <c r="D7" s="5"/>
      <c r="E7" s="6"/>
      <c r="F7" s="3"/>
      <c r="G7" s="49"/>
      <c r="H7" s="7"/>
      <c r="I7" s="3"/>
      <c r="J7" s="5"/>
      <c r="K7" s="8"/>
    </row>
    <row r="8" spans="1:11" ht="18.75" x14ac:dyDescent="0.3">
      <c r="A8" s="9"/>
      <c r="B8" s="10" t="s">
        <v>16</v>
      </c>
      <c r="C8" s="81">
        <f>SUM(C5:C7)</f>
        <v>0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4" x14ac:dyDescent="0.4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75" x14ac:dyDescent="0.25">
      <c r="A11" s="3">
        <v>1</v>
      </c>
      <c r="B11" s="3"/>
      <c r="C11" s="80">
        <v>0</v>
      </c>
      <c r="D11" s="5">
        <v>46204</v>
      </c>
      <c r="E11" s="14">
        <v>0</v>
      </c>
      <c r="F11" s="13" t="s">
        <v>18</v>
      </c>
      <c r="G11" s="55"/>
      <c r="H11" s="16">
        <v>0</v>
      </c>
      <c r="I11" s="3" t="s">
        <v>19</v>
      </c>
      <c r="J11" s="5">
        <f t="shared" ref="J11:J21" si="0">+D11+1</f>
        <v>46205</v>
      </c>
      <c r="K11" s="13"/>
    </row>
    <row r="12" spans="1:11" ht="15.75" x14ac:dyDescent="0.25">
      <c r="A12" s="3">
        <v>2</v>
      </c>
      <c r="B12" s="3"/>
      <c r="C12" s="80">
        <v>0</v>
      </c>
      <c r="D12" s="5">
        <f t="shared" ref="D12:D21" si="1">+D11</f>
        <v>46204</v>
      </c>
      <c r="E12" s="14">
        <v>0</v>
      </c>
      <c r="F12" s="13" t="s">
        <v>18</v>
      </c>
      <c r="G12" s="55"/>
      <c r="H12" s="16">
        <v>0</v>
      </c>
      <c r="I12" s="3" t="s">
        <v>15</v>
      </c>
      <c r="J12" s="5">
        <f t="shared" si="0"/>
        <v>46205</v>
      </c>
      <c r="K12" s="13"/>
    </row>
    <row r="13" spans="1:11" ht="15.75" x14ac:dyDescent="0.25">
      <c r="A13" s="3">
        <v>3</v>
      </c>
      <c r="B13" s="3"/>
      <c r="C13" s="80">
        <v>0</v>
      </c>
      <c r="D13" s="5">
        <f t="shared" si="1"/>
        <v>46204</v>
      </c>
      <c r="E13" s="14">
        <v>0</v>
      </c>
      <c r="F13" s="13" t="s">
        <v>18</v>
      </c>
      <c r="G13" s="55"/>
      <c r="H13" s="16">
        <v>0</v>
      </c>
      <c r="I13" s="3" t="s">
        <v>15</v>
      </c>
      <c r="J13" s="5">
        <f t="shared" si="0"/>
        <v>46205</v>
      </c>
      <c r="K13" s="13"/>
    </row>
    <row r="14" spans="1:11" ht="15.75" x14ac:dyDescent="0.25">
      <c r="A14" s="3">
        <v>4</v>
      </c>
      <c r="B14" s="3"/>
      <c r="C14" s="80">
        <v>0</v>
      </c>
      <c r="D14" s="5">
        <f t="shared" si="1"/>
        <v>46204</v>
      </c>
      <c r="E14" s="14">
        <v>0</v>
      </c>
      <c r="F14" s="13" t="s">
        <v>18</v>
      </c>
      <c r="G14" s="55"/>
      <c r="H14" s="16">
        <v>0</v>
      </c>
      <c r="I14" s="3" t="s">
        <v>15</v>
      </c>
      <c r="J14" s="5">
        <f t="shared" si="0"/>
        <v>46205</v>
      </c>
      <c r="K14" s="13"/>
    </row>
    <row r="15" spans="1:11" ht="15.75" x14ac:dyDescent="0.25">
      <c r="A15" s="3">
        <v>5</v>
      </c>
      <c r="B15" s="3"/>
      <c r="C15" s="80">
        <v>0</v>
      </c>
      <c r="D15" s="5">
        <f t="shared" si="1"/>
        <v>46204</v>
      </c>
      <c r="E15" s="14">
        <v>0</v>
      </c>
      <c r="F15" s="13" t="s">
        <v>18</v>
      </c>
      <c r="G15" s="55"/>
      <c r="H15" s="16">
        <v>0</v>
      </c>
      <c r="I15" s="3" t="s">
        <v>15</v>
      </c>
      <c r="J15" s="5">
        <f t="shared" si="0"/>
        <v>46205</v>
      </c>
      <c r="K15" s="13"/>
    </row>
    <row r="16" spans="1:11" ht="15.75" x14ac:dyDescent="0.25">
      <c r="A16" s="3">
        <v>6</v>
      </c>
      <c r="B16" s="3"/>
      <c r="C16" s="80">
        <v>0</v>
      </c>
      <c r="D16" s="5">
        <f t="shared" si="1"/>
        <v>46204</v>
      </c>
      <c r="E16" s="14">
        <v>0</v>
      </c>
      <c r="F16" s="13" t="s">
        <v>18</v>
      </c>
      <c r="G16" s="55"/>
      <c r="H16" s="16">
        <v>0</v>
      </c>
      <c r="I16" s="3" t="s">
        <v>15</v>
      </c>
      <c r="J16" s="5">
        <f t="shared" si="0"/>
        <v>46205</v>
      </c>
      <c r="K16" s="13"/>
    </row>
    <row r="17" spans="1:11" ht="15.75" x14ac:dyDescent="0.25">
      <c r="A17" s="3">
        <v>7</v>
      </c>
      <c r="B17" s="3"/>
      <c r="C17" s="80">
        <v>0</v>
      </c>
      <c r="D17" s="5">
        <f t="shared" si="1"/>
        <v>46204</v>
      </c>
      <c r="E17" s="14">
        <v>0</v>
      </c>
      <c r="F17" s="13" t="s">
        <v>18</v>
      </c>
      <c r="G17" s="55"/>
      <c r="H17" s="16">
        <v>0</v>
      </c>
      <c r="I17" s="3" t="s">
        <v>15</v>
      </c>
      <c r="J17" s="5">
        <f t="shared" si="0"/>
        <v>46205</v>
      </c>
      <c r="K17" s="13"/>
    </row>
    <row r="18" spans="1:11" ht="15.75" x14ac:dyDescent="0.25">
      <c r="A18" s="3">
        <v>8</v>
      </c>
      <c r="B18" s="3"/>
      <c r="C18" s="80">
        <v>0</v>
      </c>
      <c r="D18" s="5">
        <f t="shared" si="1"/>
        <v>46204</v>
      </c>
      <c r="E18" s="14">
        <v>0</v>
      </c>
      <c r="F18" s="13" t="s">
        <v>18</v>
      </c>
      <c r="G18" s="55"/>
      <c r="H18" s="16">
        <v>0</v>
      </c>
      <c r="I18" s="3" t="s">
        <v>15</v>
      </c>
      <c r="J18" s="5">
        <f t="shared" si="0"/>
        <v>46205</v>
      </c>
      <c r="K18" s="13"/>
    </row>
    <row r="19" spans="1:11" ht="15.75" x14ac:dyDescent="0.25">
      <c r="A19" s="3">
        <v>9</v>
      </c>
      <c r="B19" s="3"/>
      <c r="C19" s="80">
        <v>0</v>
      </c>
      <c r="D19" s="5">
        <f t="shared" si="1"/>
        <v>46204</v>
      </c>
      <c r="E19" s="14">
        <v>0</v>
      </c>
      <c r="F19" s="13" t="s">
        <v>18</v>
      </c>
      <c r="G19" s="55"/>
      <c r="H19" s="16">
        <v>0</v>
      </c>
      <c r="I19" s="3" t="s">
        <v>15</v>
      </c>
      <c r="J19" s="5">
        <f t="shared" si="0"/>
        <v>46205</v>
      </c>
      <c r="K19" s="13"/>
    </row>
    <row r="20" spans="1:11" ht="15.75" x14ac:dyDescent="0.25">
      <c r="A20" s="3">
        <v>10</v>
      </c>
      <c r="B20" s="3"/>
      <c r="C20" s="80">
        <v>0</v>
      </c>
      <c r="D20" s="5">
        <f t="shared" si="1"/>
        <v>46204</v>
      </c>
      <c r="E20" s="14">
        <v>0</v>
      </c>
      <c r="F20" s="13" t="s">
        <v>18</v>
      </c>
      <c r="G20" s="55"/>
      <c r="H20" s="16">
        <v>0</v>
      </c>
      <c r="I20" s="3" t="s">
        <v>15</v>
      </c>
      <c r="J20" s="5">
        <f t="shared" si="0"/>
        <v>46205</v>
      </c>
      <c r="K20" s="13"/>
    </row>
    <row r="21" spans="1:11" ht="15.75" x14ac:dyDescent="0.25">
      <c r="A21" s="3">
        <v>11</v>
      </c>
      <c r="B21" s="3"/>
      <c r="C21" s="80">
        <v>0</v>
      </c>
      <c r="D21" s="5">
        <f t="shared" si="1"/>
        <v>46204</v>
      </c>
      <c r="E21" s="14">
        <v>0</v>
      </c>
      <c r="F21" s="13" t="s">
        <v>18</v>
      </c>
      <c r="G21" s="55"/>
      <c r="H21" s="16">
        <v>0</v>
      </c>
      <c r="I21" s="3" t="s">
        <v>15</v>
      </c>
      <c r="J21" s="5">
        <f t="shared" si="0"/>
        <v>46205</v>
      </c>
      <c r="K21" s="13"/>
    </row>
    <row r="22" spans="1:11" ht="18.75" x14ac:dyDescent="0.3">
      <c r="A22" s="3"/>
      <c r="B22" s="17" t="s">
        <v>16</v>
      </c>
      <c r="C22" s="82">
        <f>SUM(C11:C21)</f>
        <v>0</v>
      </c>
      <c r="D22" s="3"/>
      <c r="E22" s="3"/>
      <c r="F22" s="13"/>
      <c r="G22" s="13"/>
      <c r="H22" s="11"/>
      <c r="I22" s="3"/>
      <c r="J22" s="3"/>
      <c r="K22" s="3"/>
    </row>
    <row r="23" spans="1:11" ht="24.75" x14ac:dyDescent="0.5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.75" x14ac:dyDescent="0.3">
      <c r="A24" s="19" t="s">
        <v>3</v>
      </c>
      <c r="B24" s="19" t="s">
        <v>21</v>
      </c>
      <c r="C24" s="5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75" x14ac:dyDescent="0.25">
      <c r="A25" s="8">
        <v>1</v>
      </c>
      <c r="B25" s="8"/>
      <c r="C25" s="75">
        <v>0</v>
      </c>
      <c r="D25" s="5">
        <v>46204</v>
      </c>
      <c r="E25" s="8"/>
      <c r="F25" s="8"/>
      <c r="G25" s="22"/>
      <c r="H25" s="23"/>
      <c r="I25" s="24"/>
      <c r="J25" s="5">
        <v>46204</v>
      </c>
      <c r="K25" s="13"/>
    </row>
    <row r="26" spans="1:11" ht="15.75" x14ac:dyDescent="0.25">
      <c r="A26" s="8">
        <v>2</v>
      </c>
      <c r="B26" s="8"/>
      <c r="C26" s="75">
        <v>0</v>
      </c>
      <c r="D26" s="5">
        <v>46204</v>
      </c>
      <c r="E26" s="8"/>
      <c r="F26" s="8"/>
      <c r="G26" s="22"/>
      <c r="H26" s="23"/>
      <c r="I26" s="24"/>
      <c r="J26" s="5">
        <v>46204</v>
      </c>
      <c r="K26" s="13"/>
    </row>
    <row r="27" spans="1:11" ht="15.75" x14ac:dyDescent="0.25">
      <c r="A27" s="8">
        <v>3</v>
      </c>
      <c r="B27" s="8"/>
      <c r="C27" s="75">
        <v>0</v>
      </c>
      <c r="D27" s="5">
        <v>46204</v>
      </c>
      <c r="E27" s="8"/>
      <c r="F27" s="8"/>
      <c r="G27" s="22"/>
      <c r="H27" s="23"/>
      <c r="I27" s="24"/>
      <c r="J27" s="5">
        <v>46204</v>
      </c>
      <c r="K27" s="13"/>
    </row>
    <row r="28" spans="1:11" ht="15.75" x14ac:dyDescent="0.25">
      <c r="A28" s="8">
        <v>4</v>
      </c>
      <c r="B28" s="8"/>
      <c r="C28" s="75">
        <v>0</v>
      </c>
      <c r="D28" s="5">
        <v>46204</v>
      </c>
      <c r="E28" s="8"/>
      <c r="F28" s="8"/>
      <c r="G28" s="22"/>
      <c r="H28" s="23"/>
      <c r="I28" s="24"/>
      <c r="J28" s="5">
        <v>46204</v>
      </c>
      <c r="K28" s="13"/>
    </row>
    <row r="29" spans="1:11" ht="18.75" x14ac:dyDescent="0.25">
      <c r="A29" s="8"/>
      <c r="B29" s="25" t="s">
        <v>27</v>
      </c>
      <c r="C29" s="83">
        <f>SUM(C25:C28)</f>
        <v>0</v>
      </c>
      <c r="D29" s="3"/>
      <c r="E29" s="8"/>
      <c r="F29" s="8"/>
      <c r="G29" s="8"/>
      <c r="H29" s="27">
        <v>0</v>
      </c>
      <c r="I29" s="24"/>
      <c r="J29" s="3"/>
      <c r="K29" s="28"/>
    </row>
    <row r="30" spans="1:11" x14ac:dyDescent="0.25">
      <c r="C30" s="29"/>
      <c r="H30" s="29"/>
    </row>
    <row r="31" spans="1:11" ht="16.5" x14ac:dyDescent="0.3">
      <c r="B31" s="30" t="s">
        <v>28</v>
      </c>
      <c r="C31" s="76">
        <f>SUM(C14,C19)</f>
        <v>0</v>
      </c>
      <c r="E31" s="32"/>
      <c r="F31" s="32"/>
      <c r="G31" s="116"/>
      <c r="H31" s="116"/>
    </row>
    <row r="32" spans="1:11" ht="16.5" x14ac:dyDescent="0.3">
      <c r="B32" s="33" t="s">
        <v>29</v>
      </c>
      <c r="C32" s="77">
        <f>SUM(C11,C12,C17,C18,C20,C21)</f>
        <v>0</v>
      </c>
      <c r="E32" s="35"/>
      <c r="F32" s="35"/>
      <c r="G32" s="36" t="s">
        <v>30</v>
      </c>
      <c r="H32" s="37"/>
    </row>
    <row r="33" spans="2:10" ht="24" x14ac:dyDescent="0.4">
      <c r="B33" s="38" t="s">
        <v>31</v>
      </c>
      <c r="C33" s="78">
        <f>SUM(C13,C15,C16)</f>
        <v>0</v>
      </c>
      <c r="E33" s="40" t="s">
        <v>32</v>
      </c>
      <c r="F33" s="41"/>
      <c r="G33" s="42"/>
      <c r="H33" s="43"/>
      <c r="I33" s="42"/>
      <c r="J33" s="44"/>
    </row>
    <row r="34" spans="2:10" ht="18.75" x14ac:dyDescent="0.3">
      <c r="B34" s="45" t="s">
        <v>16</v>
      </c>
      <c r="C34" s="79">
        <f>SUM(C31:C33)</f>
        <v>0</v>
      </c>
      <c r="G34" s="36"/>
      <c r="H34" s="37"/>
      <c r="I34" s="36"/>
      <c r="J34" s="36"/>
    </row>
  </sheetData>
  <mergeCells count="6">
    <mergeCell ref="G31:H31"/>
    <mergeCell ref="A1:K1"/>
    <mergeCell ref="A2:K2"/>
    <mergeCell ref="A3:K3"/>
    <mergeCell ref="A10:K10"/>
    <mergeCell ref="A23:K23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409B5-81FB-4FA3-B88B-5BC7B57DD99F}">
  <dimension ref="A1:K34"/>
  <sheetViews>
    <sheetView workbookViewId="0">
      <selection sqref="A1:K34"/>
    </sheetView>
  </sheetViews>
  <sheetFormatPr defaultRowHeight="15" x14ac:dyDescent="0.25"/>
  <sheetData>
    <row r="1" spans="1:11" ht="24.75" x14ac:dyDescent="0.25">
      <c r="A1" s="117" t="s">
        <v>829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998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46204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46203</v>
      </c>
      <c r="K5" s="8" t="s">
        <v>33</v>
      </c>
    </row>
    <row r="6" spans="1:11" ht="15.75" x14ac:dyDescent="0.25">
      <c r="A6" s="3">
        <v>2</v>
      </c>
      <c r="B6" s="3"/>
      <c r="C6" s="80">
        <v>0</v>
      </c>
      <c r="D6" s="5">
        <v>46204</v>
      </c>
      <c r="E6" s="6">
        <v>0</v>
      </c>
      <c r="F6" s="3" t="s">
        <v>14</v>
      </c>
      <c r="G6" s="49"/>
      <c r="H6" s="7">
        <v>0</v>
      </c>
      <c r="I6" s="3" t="s">
        <v>15</v>
      </c>
      <c r="J6" s="5">
        <f>+D6-1</f>
        <v>46203</v>
      </c>
      <c r="K6" s="8"/>
    </row>
    <row r="7" spans="1:11" ht="15.75" x14ac:dyDescent="0.25">
      <c r="A7" s="3">
        <v>3</v>
      </c>
      <c r="B7" s="3"/>
      <c r="C7" s="80">
        <v>0</v>
      </c>
      <c r="D7" s="5"/>
      <c r="E7" s="6"/>
      <c r="F7" s="3"/>
      <c r="G7" s="49"/>
      <c r="H7" s="7"/>
      <c r="I7" s="3"/>
      <c r="J7" s="5"/>
      <c r="K7" s="8"/>
    </row>
    <row r="8" spans="1:11" ht="18.75" x14ac:dyDescent="0.3">
      <c r="A8" s="9"/>
      <c r="B8" s="10" t="s">
        <v>16</v>
      </c>
      <c r="C8" s="81">
        <f>SUM(C5:C7)</f>
        <v>0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4" x14ac:dyDescent="0.4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75" x14ac:dyDescent="0.25">
      <c r="A11" s="3">
        <v>1</v>
      </c>
      <c r="B11" s="3"/>
      <c r="C11" s="80">
        <v>0</v>
      </c>
      <c r="D11" s="5">
        <v>46204</v>
      </c>
      <c r="E11" s="14">
        <v>0</v>
      </c>
      <c r="F11" s="13" t="s">
        <v>18</v>
      </c>
      <c r="G11" s="55"/>
      <c r="H11" s="16">
        <v>0</v>
      </c>
      <c r="I11" s="3" t="s">
        <v>19</v>
      </c>
      <c r="J11" s="5">
        <f t="shared" ref="J11:J21" si="0">+D11+1</f>
        <v>46205</v>
      </c>
      <c r="K11" s="13"/>
    </row>
    <row r="12" spans="1:11" ht="15.75" x14ac:dyDescent="0.25">
      <c r="A12" s="3">
        <v>2</v>
      </c>
      <c r="B12" s="3"/>
      <c r="C12" s="80">
        <v>0</v>
      </c>
      <c r="D12" s="5">
        <f t="shared" ref="D12:D21" si="1">+D11</f>
        <v>46204</v>
      </c>
      <c r="E12" s="14">
        <v>0</v>
      </c>
      <c r="F12" s="13" t="s">
        <v>18</v>
      </c>
      <c r="G12" s="55"/>
      <c r="H12" s="16">
        <v>0</v>
      </c>
      <c r="I12" s="3" t="s">
        <v>15</v>
      </c>
      <c r="J12" s="5">
        <f t="shared" si="0"/>
        <v>46205</v>
      </c>
      <c r="K12" s="13"/>
    </row>
    <row r="13" spans="1:11" ht="15.75" x14ac:dyDescent="0.25">
      <c r="A13" s="3">
        <v>3</v>
      </c>
      <c r="B13" s="3"/>
      <c r="C13" s="80">
        <v>0</v>
      </c>
      <c r="D13" s="5">
        <f t="shared" si="1"/>
        <v>46204</v>
      </c>
      <c r="E13" s="14">
        <v>0</v>
      </c>
      <c r="F13" s="13" t="s">
        <v>18</v>
      </c>
      <c r="G13" s="55"/>
      <c r="H13" s="16">
        <v>0</v>
      </c>
      <c r="I13" s="3" t="s">
        <v>15</v>
      </c>
      <c r="J13" s="5">
        <f t="shared" si="0"/>
        <v>46205</v>
      </c>
      <c r="K13" s="13"/>
    </row>
    <row r="14" spans="1:11" ht="15.75" x14ac:dyDescent="0.25">
      <c r="A14" s="3">
        <v>4</v>
      </c>
      <c r="B14" s="3"/>
      <c r="C14" s="80">
        <v>0</v>
      </c>
      <c r="D14" s="5">
        <f t="shared" si="1"/>
        <v>46204</v>
      </c>
      <c r="E14" s="14">
        <v>0</v>
      </c>
      <c r="F14" s="13" t="s">
        <v>18</v>
      </c>
      <c r="G14" s="55"/>
      <c r="H14" s="16">
        <v>0</v>
      </c>
      <c r="I14" s="3" t="s">
        <v>15</v>
      </c>
      <c r="J14" s="5">
        <f t="shared" si="0"/>
        <v>46205</v>
      </c>
      <c r="K14" s="13"/>
    </row>
    <row r="15" spans="1:11" ht="15.75" x14ac:dyDescent="0.25">
      <c r="A15" s="3">
        <v>5</v>
      </c>
      <c r="B15" s="3"/>
      <c r="C15" s="80">
        <v>0</v>
      </c>
      <c r="D15" s="5">
        <f t="shared" si="1"/>
        <v>46204</v>
      </c>
      <c r="E15" s="14">
        <v>0</v>
      </c>
      <c r="F15" s="13" t="s">
        <v>18</v>
      </c>
      <c r="G15" s="55"/>
      <c r="H15" s="16">
        <v>0</v>
      </c>
      <c r="I15" s="3" t="s">
        <v>15</v>
      </c>
      <c r="J15" s="5">
        <f t="shared" si="0"/>
        <v>46205</v>
      </c>
      <c r="K15" s="13"/>
    </row>
    <row r="16" spans="1:11" ht="15.75" x14ac:dyDescent="0.25">
      <c r="A16" s="3">
        <v>6</v>
      </c>
      <c r="B16" s="3"/>
      <c r="C16" s="80">
        <v>0</v>
      </c>
      <c r="D16" s="5">
        <f t="shared" si="1"/>
        <v>46204</v>
      </c>
      <c r="E16" s="14">
        <v>0</v>
      </c>
      <c r="F16" s="13" t="s">
        <v>18</v>
      </c>
      <c r="G16" s="55"/>
      <c r="H16" s="16">
        <v>0</v>
      </c>
      <c r="I16" s="3" t="s">
        <v>15</v>
      </c>
      <c r="J16" s="5">
        <f t="shared" si="0"/>
        <v>46205</v>
      </c>
      <c r="K16" s="13"/>
    </row>
    <row r="17" spans="1:11" ht="15.75" x14ac:dyDescent="0.25">
      <c r="A17" s="3">
        <v>7</v>
      </c>
      <c r="B17" s="3"/>
      <c r="C17" s="80">
        <v>0</v>
      </c>
      <c r="D17" s="5">
        <f t="shared" si="1"/>
        <v>46204</v>
      </c>
      <c r="E17" s="14">
        <v>0</v>
      </c>
      <c r="F17" s="13" t="s">
        <v>18</v>
      </c>
      <c r="G17" s="55"/>
      <c r="H17" s="16">
        <v>0</v>
      </c>
      <c r="I17" s="3" t="s">
        <v>15</v>
      </c>
      <c r="J17" s="5">
        <f t="shared" si="0"/>
        <v>46205</v>
      </c>
      <c r="K17" s="13"/>
    </row>
    <row r="18" spans="1:11" ht="15.75" x14ac:dyDescent="0.25">
      <c r="A18" s="3">
        <v>8</v>
      </c>
      <c r="B18" s="3"/>
      <c r="C18" s="80">
        <v>0</v>
      </c>
      <c r="D18" s="5">
        <f t="shared" si="1"/>
        <v>46204</v>
      </c>
      <c r="E18" s="14">
        <v>0</v>
      </c>
      <c r="F18" s="13" t="s">
        <v>18</v>
      </c>
      <c r="G18" s="55"/>
      <c r="H18" s="16">
        <v>0</v>
      </c>
      <c r="I18" s="3" t="s">
        <v>15</v>
      </c>
      <c r="J18" s="5">
        <f t="shared" si="0"/>
        <v>46205</v>
      </c>
      <c r="K18" s="13"/>
    </row>
    <row r="19" spans="1:11" ht="15.75" x14ac:dyDescent="0.25">
      <c r="A19" s="3">
        <v>9</v>
      </c>
      <c r="B19" s="3"/>
      <c r="C19" s="80">
        <v>0</v>
      </c>
      <c r="D19" s="5">
        <f t="shared" si="1"/>
        <v>46204</v>
      </c>
      <c r="E19" s="14">
        <v>0</v>
      </c>
      <c r="F19" s="13" t="s">
        <v>18</v>
      </c>
      <c r="G19" s="55"/>
      <c r="H19" s="16">
        <v>0</v>
      </c>
      <c r="I19" s="3" t="s">
        <v>15</v>
      </c>
      <c r="J19" s="5">
        <f t="shared" si="0"/>
        <v>46205</v>
      </c>
      <c r="K19" s="13"/>
    </row>
    <row r="20" spans="1:11" ht="15.75" x14ac:dyDescent="0.25">
      <c r="A20" s="3">
        <v>10</v>
      </c>
      <c r="B20" s="3"/>
      <c r="C20" s="80">
        <v>0</v>
      </c>
      <c r="D20" s="5">
        <f t="shared" si="1"/>
        <v>46204</v>
      </c>
      <c r="E20" s="14">
        <v>0</v>
      </c>
      <c r="F20" s="13" t="s">
        <v>18</v>
      </c>
      <c r="G20" s="55"/>
      <c r="H20" s="16">
        <v>0</v>
      </c>
      <c r="I20" s="3" t="s">
        <v>15</v>
      </c>
      <c r="J20" s="5">
        <f t="shared" si="0"/>
        <v>46205</v>
      </c>
      <c r="K20" s="13"/>
    </row>
    <row r="21" spans="1:11" ht="15.75" x14ac:dyDescent="0.25">
      <c r="A21" s="3">
        <v>11</v>
      </c>
      <c r="B21" s="3"/>
      <c r="C21" s="80">
        <v>0</v>
      </c>
      <c r="D21" s="5">
        <f t="shared" si="1"/>
        <v>46204</v>
      </c>
      <c r="E21" s="14">
        <v>0</v>
      </c>
      <c r="F21" s="13" t="s">
        <v>18</v>
      </c>
      <c r="G21" s="55"/>
      <c r="H21" s="16">
        <v>0</v>
      </c>
      <c r="I21" s="3" t="s">
        <v>15</v>
      </c>
      <c r="J21" s="5">
        <f t="shared" si="0"/>
        <v>46205</v>
      </c>
      <c r="K21" s="13"/>
    </row>
    <row r="22" spans="1:11" ht="18.75" x14ac:dyDescent="0.3">
      <c r="A22" s="3"/>
      <c r="B22" s="17" t="s">
        <v>16</v>
      </c>
      <c r="C22" s="82">
        <f>SUM(C11:C21)</f>
        <v>0</v>
      </c>
      <c r="D22" s="3"/>
      <c r="E22" s="3"/>
      <c r="F22" s="13"/>
      <c r="G22" s="13"/>
      <c r="H22" s="11"/>
      <c r="I22" s="3"/>
      <c r="J22" s="3"/>
      <c r="K22" s="3"/>
    </row>
    <row r="23" spans="1:11" ht="24.75" x14ac:dyDescent="0.5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.75" x14ac:dyDescent="0.3">
      <c r="A24" s="19" t="s">
        <v>3</v>
      </c>
      <c r="B24" s="19" t="s">
        <v>21</v>
      </c>
      <c r="C24" s="5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75" x14ac:dyDescent="0.25">
      <c r="A25" s="8">
        <v>1</v>
      </c>
      <c r="B25" s="8"/>
      <c r="C25" s="75">
        <v>0</v>
      </c>
      <c r="D25" s="5">
        <v>46204</v>
      </c>
      <c r="E25" s="8"/>
      <c r="F25" s="8"/>
      <c r="G25" s="22"/>
      <c r="H25" s="23"/>
      <c r="I25" s="24"/>
      <c r="J25" s="5">
        <v>46204</v>
      </c>
      <c r="K25" s="13"/>
    </row>
    <row r="26" spans="1:11" ht="15.75" x14ac:dyDescent="0.25">
      <c r="A26" s="8">
        <v>2</v>
      </c>
      <c r="B26" s="8"/>
      <c r="C26" s="75">
        <v>0</v>
      </c>
      <c r="D26" s="5">
        <v>46204</v>
      </c>
      <c r="E26" s="8"/>
      <c r="F26" s="8"/>
      <c r="G26" s="22"/>
      <c r="H26" s="23"/>
      <c r="I26" s="24"/>
      <c r="J26" s="5">
        <v>46204</v>
      </c>
      <c r="K26" s="13"/>
    </row>
    <row r="27" spans="1:11" ht="15.75" x14ac:dyDescent="0.25">
      <c r="A27" s="8">
        <v>3</v>
      </c>
      <c r="B27" s="8"/>
      <c r="C27" s="75">
        <v>0</v>
      </c>
      <c r="D27" s="5">
        <v>46204</v>
      </c>
      <c r="E27" s="8"/>
      <c r="F27" s="8"/>
      <c r="G27" s="22"/>
      <c r="H27" s="23"/>
      <c r="I27" s="24"/>
      <c r="J27" s="5">
        <v>46204</v>
      </c>
      <c r="K27" s="13"/>
    </row>
    <row r="28" spans="1:11" ht="15.75" x14ac:dyDescent="0.25">
      <c r="A28" s="8">
        <v>4</v>
      </c>
      <c r="B28" s="8"/>
      <c r="C28" s="75">
        <v>0</v>
      </c>
      <c r="D28" s="5">
        <v>46204</v>
      </c>
      <c r="E28" s="8"/>
      <c r="F28" s="8"/>
      <c r="G28" s="22"/>
      <c r="H28" s="23"/>
      <c r="I28" s="24"/>
      <c r="J28" s="5">
        <v>46204</v>
      </c>
      <c r="K28" s="13"/>
    </row>
    <row r="29" spans="1:11" ht="18.75" x14ac:dyDescent="0.25">
      <c r="A29" s="8"/>
      <c r="B29" s="25" t="s">
        <v>27</v>
      </c>
      <c r="C29" s="83">
        <f>SUM(C25:C28)</f>
        <v>0</v>
      </c>
      <c r="D29" s="3"/>
      <c r="E29" s="8"/>
      <c r="F29" s="8"/>
      <c r="G29" s="8"/>
      <c r="H29" s="27">
        <v>0</v>
      </c>
      <c r="I29" s="24"/>
      <c r="J29" s="3"/>
      <c r="K29" s="28"/>
    </row>
    <row r="30" spans="1:11" x14ac:dyDescent="0.25">
      <c r="C30" s="29"/>
      <c r="H30" s="29"/>
    </row>
    <row r="31" spans="1:11" ht="16.5" x14ac:dyDescent="0.3">
      <c r="B31" s="30" t="s">
        <v>28</v>
      </c>
      <c r="C31" s="76">
        <f>SUM(C14,C19)</f>
        <v>0</v>
      </c>
      <c r="E31" s="32"/>
      <c r="F31" s="32"/>
      <c r="G31" s="116"/>
      <c r="H31" s="116"/>
    </row>
    <row r="32" spans="1:11" ht="16.5" x14ac:dyDescent="0.3">
      <c r="B32" s="33" t="s">
        <v>29</v>
      </c>
      <c r="C32" s="77">
        <f>SUM(C11,C12,C17,C18,C20,C21)</f>
        <v>0</v>
      </c>
      <c r="E32" s="35"/>
      <c r="F32" s="35"/>
      <c r="G32" s="36" t="s">
        <v>30</v>
      </c>
      <c r="H32" s="37"/>
    </row>
    <row r="33" spans="2:10" ht="24" x14ac:dyDescent="0.4">
      <c r="B33" s="38" t="s">
        <v>31</v>
      </c>
      <c r="C33" s="78">
        <f>SUM(C13,C15,C16)</f>
        <v>0</v>
      </c>
      <c r="E33" s="40" t="s">
        <v>32</v>
      </c>
      <c r="F33" s="41"/>
      <c r="G33" s="42"/>
      <c r="H33" s="43"/>
      <c r="I33" s="42"/>
      <c r="J33" s="44"/>
    </row>
    <row r="34" spans="2:10" ht="18.75" x14ac:dyDescent="0.3">
      <c r="B34" s="45" t="s">
        <v>16</v>
      </c>
      <c r="C34" s="79">
        <f>SUM(C31:C33)</f>
        <v>0</v>
      </c>
      <c r="G34" s="36"/>
      <c r="H34" s="37"/>
      <c r="I34" s="36"/>
      <c r="J34" s="36"/>
    </row>
  </sheetData>
  <mergeCells count="6">
    <mergeCell ref="G31:H31"/>
    <mergeCell ref="A1:K1"/>
    <mergeCell ref="A2:K2"/>
    <mergeCell ref="A3:K3"/>
    <mergeCell ref="A10:K10"/>
    <mergeCell ref="A23:K23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E0ED0-A04A-4A2D-AA9A-64E29B65687E}">
  <dimension ref="A1:K34"/>
  <sheetViews>
    <sheetView workbookViewId="0">
      <selection sqref="A1:K34"/>
    </sheetView>
  </sheetViews>
  <sheetFormatPr defaultRowHeight="15" x14ac:dyDescent="0.25"/>
  <sheetData>
    <row r="1" spans="1:11" ht="24.75" x14ac:dyDescent="0.25">
      <c r="A1" s="117" t="s">
        <v>829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998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46204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46203</v>
      </c>
      <c r="K5" s="8" t="s">
        <v>33</v>
      </c>
    </row>
    <row r="6" spans="1:11" ht="15.75" x14ac:dyDescent="0.25">
      <c r="A6" s="3">
        <v>2</v>
      </c>
      <c r="B6" s="3"/>
      <c r="C6" s="80">
        <v>0</v>
      </c>
      <c r="D6" s="5">
        <v>46204</v>
      </c>
      <c r="E6" s="6">
        <v>0</v>
      </c>
      <c r="F6" s="3" t="s">
        <v>14</v>
      </c>
      <c r="G6" s="49"/>
      <c r="H6" s="7">
        <v>0</v>
      </c>
      <c r="I6" s="3" t="s">
        <v>15</v>
      </c>
      <c r="J6" s="5">
        <f>+D6-1</f>
        <v>46203</v>
      </c>
      <c r="K6" s="8"/>
    </row>
    <row r="7" spans="1:11" ht="15.75" x14ac:dyDescent="0.25">
      <c r="A7" s="3">
        <v>3</v>
      </c>
      <c r="B7" s="3"/>
      <c r="C7" s="80">
        <v>0</v>
      </c>
      <c r="D7" s="5"/>
      <c r="E7" s="6"/>
      <c r="F7" s="3"/>
      <c r="G7" s="49"/>
      <c r="H7" s="7"/>
      <c r="I7" s="3"/>
      <c r="J7" s="5"/>
      <c r="K7" s="8"/>
    </row>
    <row r="8" spans="1:11" ht="18.75" x14ac:dyDescent="0.3">
      <c r="A8" s="9"/>
      <c r="B8" s="10" t="s">
        <v>16</v>
      </c>
      <c r="C8" s="81">
        <f>SUM(C5:C7)</f>
        <v>0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4" x14ac:dyDescent="0.4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75" x14ac:dyDescent="0.25">
      <c r="A11" s="3">
        <v>1</v>
      </c>
      <c r="B11" s="3"/>
      <c r="C11" s="80">
        <v>0</v>
      </c>
      <c r="D11" s="5">
        <v>46204</v>
      </c>
      <c r="E11" s="14">
        <v>0</v>
      </c>
      <c r="F11" s="13" t="s">
        <v>18</v>
      </c>
      <c r="G11" s="55"/>
      <c r="H11" s="16">
        <v>0</v>
      </c>
      <c r="I11" s="3" t="s">
        <v>19</v>
      </c>
      <c r="J11" s="5">
        <f t="shared" ref="J11:J21" si="0">+D11+1</f>
        <v>46205</v>
      </c>
      <c r="K11" s="13"/>
    </row>
    <row r="12" spans="1:11" ht="15.75" x14ac:dyDescent="0.25">
      <c r="A12" s="3">
        <v>2</v>
      </c>
      <c r="B12" s="3"/>
      <c r="C12" s="80">
        <v>0</v>
      </c>
      <c r="D12" s="5">
        <f t="shared" ref="D12:D21" si="1">+D11</f>
        <v>46204</v>
      </c>
      <c r="E12" s="14">
        <v>0</v>
      </c>
      <c r="F12" s="13" t="s">
        <v>18</v>
      </c>
      <c r="G12" s="55"/>
      <c r="H12" s="16">
        <v>0</v>
      </c>
      <c r="I12" s="3" t="s">
        <v>15</v>
      </c>
      <c r="J12" s="5">
        <f t="shared" si="0"/>
        <v>46205</v>
      </c>
      <c r="K12" s="13"/>
    </row>
    <row r="13" spans="1:11" ht="15.75" x14ac:dyDescent="0.25">
      <c r="A13" s="3">
        <v>3</v>
      </c>
      <c r="B13" s="3"/>
      <c r="C13" s="80">
        <v>0</v>
      </c>
      <c r="D13" s="5">
        <f t="shared" si="1"/>
        <v>46204</v>
      </c>
      <c r="E13" s="14">
        <v>0</v>
      </c>
      <c r="F13" s="13" t="s">
        <v>18</v>
      </c>
      <c r="G13" s="55"/>
      <c r="H13" s="16">
        <v>0</v>
      </c>
      <c r="I13" s="3" t="s">
        <v>15</v>
      </c>
      <c r="J13" s="5">
        <f t="shared" si="0"/>
        <v>46205</v>
      </c>
      <c r="K13" s="13"/>
    </row>
    <row r="14" spans="1:11" ht="15.75" x14ac:dyDescent="0.25">
      <c r="A14" s="3">
        <v>4</v>
      </c>
      <c r="B14" s="3"/>
      <c r="C14" s="80">
        <v>0</v>
      </c>
      <c r="D14" s="5">
        <f t="shared" si="1"/>
        <v>46204</v>
      </c>
      <c r="E14" s="14">
        <v>0</v>
      </c>
      <c r="F14" s="13" t="s">
        <v>18</v>
      </c>
      <c r="G14" s="55"/>
      <c r="H14" s="16">
        <v>0</v>
      </c>
      <c r="I14" s="3" t="s">
        <v>15</v>
      </c>
      <c r="J14" s="5">
        <f t="shared" si="0"/>
        <v>46205</v>
      </c>
      <c r="K14" s="13"/>
    </row>
    <row r="15" spans="1:11" ht="15.75" x14ac:dyDescent="0.25">
      <c r="A15" s="3">
        <v>5</v>
      </c>
      <c r="B15" s="3"/>
      <c r="C15" s="80">
        <v>0</v>
      </c>
      <c r="D15" s="5">
        <f t="shared" si="1"/>
        <v>46204</v>
      </c>
      <c r="E15" s="14">
        <v>0</v>
      </c>
      <c r="F15" s="13" t="s">
        <v>18</v>
      </c>
      <c r="G15" s="55"/>
      <c r="H15" s="16">
        <v>0</v>
      </c>
      <c r="I15" s="3" t="s">
        <v>15</v>
      </c>
      <c r="J15" s="5">
        <f t="shared" si="0"/>
        <v>46205</v>
      </c>
      <c r="K15" s="13"/>
    </row>
    <row r="16" spans="1:11" ht="15.75" x14ac:dyDescent="0.25">
      <c r="A16" s="3">
        <v>6</v>
      </c>
      <c r="B16" s="3"/>
      <c r="C16" s="80">
        <v>0</v>
      </c>
      <c r="D16" s="5">
        <f t="shared" si="1"/>
        <v>46204</v>
      </c>
      <c r="E16" s="14">
        <v>0</v>
      </c>
      <c r="F16" s="13" t="s">
        <v>18</v>
      </c>
      <c r="G16" s="55"/>
      <c r="H16" s="16">
        <v>0</v>
      </c>
      <c r="I16" s="3" t="s">
        <v>15</v>
      </c>
      <c r="J16" s="5">
        <f t="shared" si="0"/>
        <v>46205</v>
      </c>
      <c r="K16" s="13"/>
    </row>
    <row r="17" spans="1:11" ht="15.75" x14ac:dyDescent="0.25">
      <c r="A17" s="3">
        <v>7</v>
      </c>
      <c r="B17" s="3"/>
      <c r="C17" s="80">
        <v>0</v>
      </c>
      <c r="D17" s="5">
        <f t="shared" si="1"/>
        <v>46204</v>
      </c>
      <c r="E17" s="14">
        <v>0</v>
      </c>
      <c r="F17" s="13" t="s">
        <v>18</v>
      </c>
      <c r="G17" s="55"/>
      <c r="H17" s="16">
        <v>0</v>
      </c>
      <c r="I17" s="3" t="s">
        <v>15</v>
      </c>
      <c r="J17" s="5">
        <f t="shared" si="0"/>
        <v>46205</v>
      </c>
      <c r="K17" s="13"/>
    </row>
    <row r="18" spans="1:11" ht="15.75" x14ac:dyDescent="0.25">
      <c r="A18" s="3">
        <v>8</v>
      </c>
      <c r="B18" s="3"/>
      <c r="C18" s="80">
        <v>0</v>
      </c>
      <c r="D18" s="5">
        <f t="shared" si="1"/>
        <v>46204</v>
      </c>
      <c r="E18" s="14">
        <v>0</v>
      </c>
      <c r="F18" s="13" t="s">
        <v>18</v>
      </c>
      <c r="G18" s="55"/>
      <c r="H18" s="16">
        <v>0</v>
      </c>
      <c r="I18" s="3" t="s">
        <v>15</v>
      </c>
      <c r="J18" s="5">
        <f t="shared" si="0"/>
        <v>46205</v>
      </c>
      <c r="K18" s="13"/>
    </row>
    <row r="19" spans="1:11" ht="15.75" x14ac:dyDescent="0.25">
      <c r="A19" s="3">
        <v>9</v>
      </c>
      <c r="B19" s="3"/>
      <c r="C19" s="80">
        <v>0</v>
      </c>
      <c r="D19" s="5">
        <f t="shared" si="1"/>
        <v>46204</v>
      </c>
      <c r="E19" s="14">
        <v>0</v>
      </c>
      <c r="F19" s="13" t="s">
        <v>18</v>
      </c>
      <c r="G19" s="55"/>
      <c r="H19" s="16">
        <v>0</v>
      </c>
      <c r="I19" s="3" t="s">
        <v>15</v>
      </c>
      <c r="J19" s="5">
        <f t="shared" si="0"/>
        <v>46205</v>
      </c>
      <c r="K19" s="13"/>
    </row>
    <row r="20" spans="1:11" ht="15.75" x14ac:dyDescent="0.25">
      <c r="A20" s="3">
        <v>10</v>
      </c>
      <c r="B20" s="3"/>
      <c r="C20" s="80">
        <v>0</v>
      </c>
      <c r="D20" s="5">
        <f t="shared" si="1"/>
        <v>46204</v>
      </c>
      <c r="E20" s="14">
        <v>0</v>
      </c>
      <c r="F20" s="13" t="s">
        <v>18</v>
      </c>
      <c r="G20" s="55"/>
      <c r="H20" s="16">
        <v>0</v>
      </c>
      <c r="I20" s="3" t="s">
        <v>15</v>
      </c>
      <c r="J20" s="5">
        <f t="shared" si="0"/>
        <v>46205</v>
      </c>
      <c r="K20" s="13"/>
    </row>
    <row r="21" spans="1:11" ht="15.75" x14ac:dyDescent="0.25">
      <c r="A21" s="3">
        <v>11</v>
      </c>
      <c r="B21" s="3"/>
      <c r="C21" s="80">
        <v>0</v>
      </c>
      <c r="D21" s="5">
        <f t="shared" si="1"/>
        <v>46204</v>
      </c>
      <c r="E21" s="14">
        <v>0</v>
      </c>
      <c r="F21" s="13" t="s">
        <v>18</v>
      </c>
      <c r="G21" s="55"/>
      <c r="H21" s="16">
        <v>0</v>
      </c>
      <c r="I21" s="3" t="s">
        <v>15</v>
      </c>
      <c r="J21" s="5">
        <f t="shared" si="0"/>
        <v>46205</v>
      </c>
      <c r="K21" s="13"/>
    </row>
    <row r="22" spans="1:11" ht="18.75" x14ac:dyDescent="0.3">
      <c r="A22" s="3"/>
      <c r="B22" s="17" t="s">
        <v>16</v>
      </c>
      <c r="C22" s="82">
        <f>SUM(C11:C21)</f>
        <v>0</v>
      </c>
      <c r="D22" s="3"/>
      <c r="E22" s="3"/>
      <c r="F22" s="13"/>
      <c r="G22" s="13"/>
      <c r="H22" s="11"/>
      <c r="I22" s="3"/>
      <c r="J22" s="3"/>
      <c r="K22" s="3"/>
    </row>
    <row r="23" spans="1:11" ht="24.75" x14ac:dyDescent="0.5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.75" x14ac:dyDescent="0.3">
      <c r="A24" s="19" t="s">
        <v>3</v>
      </c>
      <c r="B24" s="19" t="s">
        <v>21</v>
      </c>
      <c r="C24" s="5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75" x14ac:dyDescent="0.25">
      <c r="A25" s="8">
        <v>1</v>
      </c>
      <c r="B25" s="8"/>
      <c r="C25" s="75">
        <v>0</v>
      </c>
      <c r="D25" s="5">
        <v>46204</v>
      </c>
      <c r="E25" s="8"/>
      <c r="F25" s="8"/>
      <c r="G25" s="22"/>
      <c r="H25" s="23"/>
      <c r="I25" s="24"/>
      <c r="J25" s="5">
        <v>46204</v>
      </c>
      <c r="K25" s="13"/>
    </row>
    <row r="26" spans="1:11" ht="15.75" x14ac:dyDescent="0.25">
      <c r="A26" s="8">
        <v>2</v>
      </c>
      <c r="B26" s="8"/>
      <c r="C26" s="75">
        <v>0</v>
      </c>
      <c r="D26" s="5">
        <v>46204</v>
      </c>
      <c r="E26" s="8"/>
      <c r="F26" s="8"/>
      <c r="G26" s="22"/>
      <c r="H26" s="23"/>
      <c r="I26" s="24"/>
      <c r="J26" s="5">
        <v>46204</v>
      </c>
      <c r="K26" s="13"/>
    </row>
    <row r="27" spans="1:11" ht="15.75" x14ac:dyDescent="0.25">
      <c r="A27" s="8">
        <v>3</v>
      </c>
      <c r="B27" s="8"/>
      <c r="C27" s="75">
        <v>0</v>
      </c>
      <c r="D27" s="5">
        <v>46204</v>
      </c>
      <c r="E27" s="8"/>
      <c r="F27" s="8"/>
      <c r="G27" s="22"/>
      <c r="H27" s="23"/>
      <c r="I27" s="24"/>
      <c r="J27" s="5">
        <v>46204</v>
      </c>
      <c r="K27" s="13"/>
    </row>
    <row r="28" spans="1:11" ht="15.75" x14ac:dyDescent="0.25">
      <c r="A28" s="8">
        <v>4</v>
      </c>
      <c r="B28" s="8"/>
      <c r="C28" s="75">
        <v>0</v>
      </c>
      <c r="D28" s="5">
        <v>46204</v>
      </c>
      <c r="E28" s="8"/>
      <c r="F28" s="8"/>
      <c r="G28" s="22"/>
      <c r="H28" s="23"/>
      <c r="I28" s="24"/>
      <c r="J28" s="5">
        <v>46204</v>
      </c>
      <c r="K28" s="13"/>
    </row>
    <row r="29" spans="1:11" ht="18.75" x14ac:dyDescent="0.25">
      <c r="A29" s="8"/>
      <c r="B29" s="25" t="s">
        <v>27</v>
      </c>
      <c r="C29" s="83">
        <f>SUM(C25:C28)</f>
        <v>0</v>
      </c>
      <c r="D29" s="3"/>
      <c r="E29" s="8"/>
      <c r="F29" s="8"/>
      <c r="G29" s="8"/>
      <c r="H29" s="27">
        <v>0</v>
      </c>
      <c r="I29" s="24"/>
      <c r="J29" s="3"/>
      <c r="K29" s="28"/>
    </row>
    <row r="30" spans="1:11" x14ac:dyDescent="0.25">
      <c r="C30" s="29"/>
      <c r="H30" s="29"/>
    </row>
    <row r="31" spans="1:11" ht="16.5" x14ac:dyDescent="0.3">
      <c r="B31" s="30" t="s">
        <v>28</v>
      </c>
      <c r="C31" s="76">
        <f>SUM(C14,C19)</f>
        <v>0</v>
      </c>
      <c r="E31" s="32"/>
      <c r="F31" s="32"/>
      <c r="G31" s="116"/>
      <c r="H31" s="116"/>
    </row>
    <row r="32" spans="1:11" ht="16.5" x14ac:dyDescent="0.3">
      <c r="B32" s="33" t="s">
        <v>29</v>
      </c>
      <c r="C32" s="77">
        <f>SUM(C11,C12,C17,C18,C20,C21)</f>
        <v>0</v>
      </c>
      <c r="E32" s="35"/>
      <c r="F32" s="35"/>
      <c r="G32" s="36" t="s">
        <v>30</v>
      </c>
      <c r="H32" s="37"/>
    </row>
    <row r="33" spans="2:10" ht="24" x14ac:dyDescent="0.4">
      <c r="B33" s="38" t="s">
        <v>31</v>
      </c>
      <c r="C33" s="78">
        <f>SUM(C13,C15,C16)</f>
        <v>0</v>
      </c>
      <c r="E33" s="40" t="s">
        <v>32</v>
      </c>
      <c r="F33" s="41"/>
      <c r="G33" s="42"/>
      <c r="H33" s="43"/>
      <c r="I33" s="42"/>
      <c r="J33" s="44"/>
    </row>
    <row r="34" spans="2:10" ht="18.75" x14ac:dyDescent="0.3">
      <c r="B34" s="45" t="s">
        <v>16</v>
      </c>
      <c r="C34" s="79">
        <f>SUM(C31:C33)</f>
        <v>0</v>
      </c>
      <c r="G34" s="36"/>
      <c r="H34" s="37"/>
      <c r="I34" s="36"/>
      <c r="J34" s="36"/>
    </row>
  </sheetData>
  <mergeCells count="6">
    <mergeCell ref="G31:H31"/>
    <mergeCell ref="A1:K1"/>
    <mergeCell ref="A2:K2"/>
    <mergeCell ref="A3:K3"/>
    <mergeCell ref="A10:K10"/>
    <mergeCell ref="A23:K23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8177E-D54E-4091-AF8D-14A95B51D16D}">
  <dimension ref="A1:K34"/>
  <sheetViews>
    <sheetView workbookViewId="0">
      <selection sqref="A1:K34"/>
    </sheetView>
  </sheetViews>
  <sheetFormatPr defaultRowHeight="15" x14ac:dyDescent="0.25"/>
  <sheetData>
    <row r="1" spans="1:11" ht="24.75" x14ac:dyDescent="0.25">
      <c r="A1" s="117" t="s">
        <v>829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998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46204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46203</v>
      </c>
      <c r="K5" s="8" t="s">
        <v>33</v>
      </c>
    </row>
    <row r="6" spans="1:11" ht="15.75" x14ac:dyDescent="0.25">
      <c r="A6" s="3">
        <v>2</v>
      </c>
      <c r="B6" s="3"/>
      <c r="C6" s="80">
        <v>0</v>
      </c>
      <c r="D6" s="5">
        <v>46204</v>
      </c>
      <c r="E6" s="6">
        <v>0</v>
      </c>
      <c r="F6" s="3" t="s">
        <v>14</v>
      </c>
      <c r="G6" s="49"/>
      <c r="H6" s="7">
        <v>0</v>
      </c>
      <c r="I6" s="3" t="s">
        <v>15</v>
      </c>
      <c r="J6" s="5">
        <f>+D6-1</f>
        <v>46203</v>
      </c>
      <c r="K6" s="8"/>
    </row>
    <row r="7" spans="1:11" ht="15.75" x14ac:dyDescent="0.25">
      <c r="A7" s="3">
        <v>3</v>
      </c>
      <c r="B7" s="3"/>
      <c r="C7" s="80">
        <v>0</v>
      </c>
      <c r="D7" s="5"/>
      <c r="E7" s="6"/>
      <c r="F7" s="3"/>
      <c r="G7" s="49"/>
      <c r="H7" s="7"/>
      <c r="I7" s="3"/>
      <c r="J7" s="5"/>
      <c r="K7" s="8"/>
    </row>
    <row r="8" spans="1:11" ht="18.75" x14ac:dyDescent="0.3">
      <c r="A8" s="9"/>
      <c r="B8" s="10" t="s">
        <v>16</v>
      </c>
      <c r="C8" s="81">
        <f>SUM(C5:C7)</f>
        <v>0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4" x14ac:dyDescent="0.4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75" x14ac:dyDescent="0.25">
      <c r="A11" s="3">
        <v>1</v>
      </c>
      <c r="B11" s="3"/>
      <c r="C11" s="80">
        <v>0</v>
      </c>
      <c r="D11" s="5">
        <v>46204</v>
      </c>
      <c r="E11" s="14">
        <v>0</v>
      </c>
      <c r="F11" s="13" t="s">
        <v>18</v>
      </c>
      <c r="G11" s="55"/>
      <c r="H11" s="16">
        <v>0</v>
      </c>
      <c r="I11" s="3" t="s">
        <v>19</v>
      </c>
      <c r="J11" s="5">
        <f t="shared" ref="J11:J21" si="0">+D11+1</f>
        <v>46205</v>
      </c>
      <c r="K11" s="13"/>
    </row>
    <row r="12" spans="1:11" ht="15.75" x14ac:dyDescent="0.25">
      <c r="A12" s="3">
        <v>2</v>
      </c>
      <c r="B12" s="3"/>
      <c r="C12" s="80">
        <v>0</v>
      </c>
      <c r="D12" s="5">
        <f t="shared" ref="D12:D21" si="1">+D11</f>
        <v>46204</v>
      </c>
      <c r="E12" s="14">
        <v>0</v>
      </c>
      <c r="F12" s="13" t="s">
        <v>18</v>
      </c>
      <c r="G12" s="55"/>
      <c r="H12" s="16">
        <v>0</v>
      </c>
      <c r="I12" s="3" t="s">
        <v>15</v>
      </c>
      <c r="J12" s="5">
        <f t="shared" si="0"/>
        <v>46205</v>
      </c>
      <c r="K12" s="13"/>
    </row>
    <row r="13" spans="1:11" ht="15.75" x14ac:dyDescent="0.25">
      <c r="A13" s="3">
        <v>3</v>
      </c>
      <c r="B13" s="3"/>
      <c r="C13" s="80">
        <v>0</v>
      </c>
      <c r="D13" s="5">
        <f t="shared" si="1"/>
        <v>46204</v>
      </c>
      <c r="E13" s="14">
        <v>0</v>
      </c>
      <c r="F13" s="13" t="s">
        <v>18</v>
      </c>
      <c r="G13" s="55"/>
      <c r="H13" s="16">
        <v>0</v>
      </c>
      <c r="I13" s="3" t="s">
        <v>15</v>
      </c>
      <c r="J13" s="5">
        <f t="shared" si="0"/>
        <v>46205</v>
      </c>
      <c r="K13" s="13"/>
    </row>
    <row r="14" spans="1:11" ht="15.75" x14ac:dyDescent="0.25">
      <c r="A14" s="3">
        <v>4</v>
      </c>
      <c r="B14" s="3"/>
      <c r="C14" s="80">
        <v>0</v>
      </c>
      <c r="D14" s="5">
        <f t="shared" si="1"/>
        <v>46204</v>
      </c>
      <c r="E14" s="14">
        <v>0</v>
      </c>
      <c r="F14" s="13" t="s">
        <v>18</v>
      </c>
      <c r="G14" s="55"/>
      <c r="H14" s="16">
        <v>0</v>
      </c>
      <c r="I14" s="3" t="s">
        <v>15</v>
      </c>
      <c r="J14" s="5">
        <f t="shared" si="0"/>
        <v>46205</v>
      </c>
      <c r="K14" s="13"/>
    </row>
    <row r="15" spans="1:11" ht="15.75" x14ac:dyDescent="0.25">
      <c r="A15" s="3">
        <v>5</v>
      </c>
      <c r="B15" s="3"/>
      <c r="C15" s="80">
        <v>0</v>
      </c>
      <c r="D15" s="5">
        <f t="shared" si="1"/>
        <v>46204</v>
      </c>
      <c r="E15" s="14">
        <v>0</v>
      </c>
      <c r="F15" s="13" t="s">
        <v>18</v>
      </c>
      <c r="G15" s="55"/>
      <c r="H15" s="16">
        <v>0</v>
      </c>
      <c r="I15" s="3" t="s">
        <v>15</v>
      </c>
      <c r="J15" s="5">
        <f t="shared" si="0"/>
        <v>46205</v>
      </c>
      <c r="K15" s="13"/>
    </row>
    <row r="16" spans="1:11" ht="15.75" x14ac:dyDescent="0.25">
      <c r="A16" s="3">
        <v>6</v>
      </c>
      <c r="B16" s="3"/>
      <c r="C16" s="80">
        <v>0</v>
      </c>
      <c r="D16" s="5">
        <f t="shared" si="1"/>
        <v>46204</v>
      </c>
      <c r="E16" s="14">
        <v>0</v>
      </c>
      <c r="F16" s="13" t="s">
        <v>18</v>
      </c>
      <c r="G16" s="55"/>
      <c r="H16" s="16">
        <v>0</v>
      </c>
      <c r="I16" s="3" t="s">
        <v>15</v>
      </c>
      <c r="J16" s="5">
        <f t="shared" si="0"/>
        <v>46205</v>
      </c>
      <c r="K16" s="13"/>
    </row>
    <row r="17" spans="1:11" ht="15.75" x14ac:dyDescent="0.25">
      <c r="A17" s="3">
        <v>7</v>
      </c>
      <c r="B17" s="3"/>
      <c r="C17" s="80">
        <v>0</v>
      </c>
      <c r="D17" s="5">
        <f t="shared" si="1"/>
        <v>46204</v>
      </c>
      <c r="E17" s="14">
        <v>0</v>
      </c>
      <c r="F17" s="13" t="s">
        <v>18</v>
      </c>
      <c r="G17" s="55"/>
      <c r="H17" s="16">
        <v>0</v>
      </c>
      <c r="I17" s="3" t="s">
        <v>15</v>
      </c>
      <c r="J17" s="5">
        <f t="shared" si="0"/>
        <v>46205</v>
      </c>
      <c r="K17" s="13"/>
    </row>
    <row r="18" spans="1:11" ht="15.75" x14ac:dyDescent="0.25">
      <c r="A18" s="3">
        <v>8</v>
      </c>
      <c r="B18" s="3"/>
      <c r="C18" s="80">
        <v>0</v>
      </c>
      <c r="D18" s="5">
        <f t="shared" si="1"/>
        <v>46204</v>
      </c>
      <c r="E18" s="14">
        <v>0</v>
      </c>
      <c r="F18" s="13" t="s">
        <v>18</v>
      </c>
      <c r="G18" s="55"/>
      <c r="H18" s="16">
        <v>0</v>
      </c>
      <c r="I18" s="3" t="s">
        <v>15</v>
      </c>
      <c r="J18" s="5">
        <f t="shared" si="0"/>
        <v>46205</v>
      </c>
      <c r="K18" s="13"/>
    </row>
    <row r="19" spans="1:11" ht="15.75" x14ac:dyDescent="0.25">
      <c r="A19" s="3">
        <v>9</v>
      </c>
      <c r="B19" s="3"/>
      <c r="C19" s="80">
        <v>0</v>
      </c>
      <c r="D19" s="5">
        <f t="shared" si="1"/>
        <v>46204</v>
      </c>
      <c r="E19" s="14">
        <v>0</v>
      </c>
      <c r="F19" s="13" t="s">
        <v>18</v>
      </c>
      <c r="G19" s="55"/>
      <c r="H19" s="16">
        <v>0</v>
      </c>
      <c r="I19" s="3" t="s">
        <v>15</v>
      </c>
      <c r="J19" s="5">
        <f t="shared" si="0"/>
        <v>46205</v>
      </c>
      <c r="K19" s="13"/>
    </row>
    <row r="20" spans="1:11" ht="15.75" x14ac:dyDescent="0.25">
      <c r="A20" s="3">
        <v>10</v>
      </c>
      <c r="B20" s="3"/>
      <c r="C20" s="80">
        <v>0</v>
      </c>
      <c r="D20" s="5">
        <f t="shared" si="1"/>
        <v>46204</v>
      </c>
      <c r="E20" s="14">
        <v>0</v>
      </c>
      <c r="F20" s="13" t="s">
        <v>18</v>
      </c>
      <c r="G20" s="55"/>
      <c r="H20" s="16">
        <v>0</v>
      </c>
      <c r="I20" s="3" t="s">
        <v>15</v>
      </c>
      <c r="J20" s="5">
        <f t="shared" si="0"/>
        <v>46205</v>
      </c>
      <c r="K20" s="13"/>
    </row>
    <row r="21" spans="1:11" ht="15.75" x14ac:dyDescent="0.25">
      <c r="A21" s="3">
        <v>11</v>
      </c>
      <c r="B21" s="3"/>
      <c r="C21" s="80">
        <v>0</v>
      </c>
      <c r="D21" s="5">
        <f t="shared" si="1"/>
        <v>46204</v>
      </c>
      <c r="E21" s="14">
        <v>0</v>
      </c>
      <c r="F21" s="13" t="s">
        <v>18</v>
      </c>
      <c r="G21" s="55"/>
      <c r="H21" s="16">
        <v>0</v>
      </c>
      <c r="I21" s="3" t="s">
        <v>15</v>
      </c>
      <c r="J21" s="5">
        <f t="shared" si="0"/>
        <v>46205</v>
      </c>
      <c r="K21" s="13"/>
    </row>
    <row r="22" spans="1:11" ht="18.75" x14ac:dyDescent="0.3">
      <c r="A22" s="3"/>
      <c r="B22" s="17" t="s">
        <v>16</v>
      </c>
      <c r="C22" s="82">
        <f>SUM(C11:C21)</f>
        <v>0</v>
      </c>
      <c r="D22" s="3"/>
      <c r="E22" s="3"/>
      <c r="F22" s="13"/>
      <c r="G22" s="13"/>
      <c r="H22" s="11"/>
      <c r="I22" s="3"/>
      <c r="J22" s="3"/>
      <c r="K22" s="3"/>
    </row>
    <row r="23" spans="1:11" ht="24.75" x14ac:dyDescent="0.5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.75" x14ac:dyDescent="0.3">
      <c r="A24" s="19" t="s">
        <v>3</v>
      </c>
      <c r="B24" s="19" t="s">
        <v>21</v>
      </c>
      <c r="C24" s="5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75" x14ac:dyDescent="0.25">
      <c r="A25" s="8">
        <v>1</v>
      </c>
      <c r="B25" s="8"/>
      <c r="C25" s="75">
        <v>0</v>
      </c>
      <c r="D25" s="5">
        <v>46204</v>
      </c>
      <c r="E25" s="8"/>
      <c r="F25" s="8"/>
      <c r="G25" s="22"/>
      <c r="H25" s="23"/>
      <c r="I25" s="24"/>
      <c r="J25" s="5">
        <v>46204</v>
      </c>
      <c r="K25" s="13"/>
    </row>
    <row r="26" spans="1:11" ht="15.75" x14ac:dyDescent="0.25">
      <c r="A26" s="8">
        <v>2</v>
      </c>
      <c r="B26" s="8"/>
      <c r="C26" s="75">
        <v>0</v>
      </c>
      <c r="D26" s="5">
        <v>46204</v>
      </c>
      <c r="E26" s="8"/>
      <c r="F26" s="8"/>
      <c r="G26" s="22"/>
      <c r="H26" s="23"/>
      <c r="I26" s="24"/>
      <c r="J26" s="5">
        <v>46204</v>
      </c>
      <c r="K26" s="13"/>
    </row>
    <row r="27" spans="1:11" ht="15.75" x14ac:dyDescent="0.25">
      <c r="A27" s="8">
        <v>3</v>
      </c>
      <c r="B27" s="8"/>
      <c r="C27" s="75">
        <v>0</v>
      </c>
      <c r="D27" s="5">
        <v>46204</v>
      </c>
      <c r="E27" s="8"/>
      <c r="F27" s="8"/>
      <c r="G27" s="22"/>
      <c r="H27" s="23"/>
      <c r="I27" s="24"/>
      <c r="J27" s="5">
        <v>46204</v>
      </c>
      <c r="K27" s="13"/>
    </row>
    <row r="28" spans="1:11" ht="15.75" x14ac:dyDescent="0.25">
      <c r="A28" s="8">
        <v>4</v>
      </c>
      <c r="B28" s="8"/>
      <c r="C28" s="75">
        <v>0</v>
      </c>
      <c r="D28" s="5">
        <v>46204</v>
      </c>
      <c r="E28" s="8"/>
      <c r="F28" s="8"/>
      <c r="G28" s="22"/>
      <c r="H28" s="23"/>
      <c r="I28" s="24"/>
      <c r="J28" s="5">
        <v>46204</v>
      </c>
      <c r="K28" s="13"/>
    </row>
    <row r="29" spans="1:11" ht="18.75" x14ac:dyDescent="0.25">
      <c r="A29" s="8"/>
      <c r="B29" s="25" t="s">
        <v>27</v>
      </c>
      <c r="C29" s="83">
        <f>SUM(C25:C28)</f>
        <v>0</v>
      </c>
      <c r="D29" s="3"/>
      <c r="E29" s="8"/>
      <c r="F29" s="8"/>
      <c r="G29" s="8"/>
      <c r="H29" s="27">
        <v>0</v>
      </c>
      <c r="I29" s="24"/>
      <c r="J29" s="3"/>
      <c r="K29" s="28"/>
    </row>
    <row r="30" spans="1:11" x14ac:dyDescent="0.25">
      <c r="C30" s="29"/>
      <c r="H30" s="29"/>
    </row>
    <row r="31" spans="1:11" ht="16.5" x14ac:dyDescent="0.3">
      <c r="B31" s="30" t="s">
        <v>28</v>
      </c>
      <c r="C31" s="76">
        <f>SUM(C14,C19)</f>
        <v>0</v>
      </c>
      <c r="E31" s="32"/>
      <c r="F31" s="32"/>
      <c r="G31" s="116"/>
      <c r="H31" s="116"/>
    </row>
    <row r="32" spans="1:11" ht="16.5" x14ac:dyDescent="0.3">
      <c r="B32" s="33" t="s">
        <v>29</v>
      </c>
      <c r="C32" s="77">
        <f>SUM(C11,C12,C17,C18,C20,C21)</f>
        <v>0</v>
      </c>
      <c r="E32" s="35"/>
      <c r="F32" s="35"/>
      <c r="G32" s="36" t="s">
        <v>30</v>
      </c>
      <c r="H32" s="37"/>
    </row>
    <row r="33" spans="2:10" ht="24" x14ac:dyDescent="0.4">
      <c r="B33" s="38" t="s">
        <v>31</v>
      </c>
      <c r="C33" s="78">
        <f>SUM(C13,C15,C16)</f>
        <v>0</v>
      </c>
      <c r="E33" s="40" t="s">
        <v>32</v>
      </c>
      <c r="F33" s="41"/>
      <c r="G33" s="42"/>
      <c r="H33" s="43"/>
      <c r="I33" s="42"/>
      <c r="J33" s="44"/>
    </row>
    <row r="34" spans="2:10" ht="18.75" x14ac:dyDescent="0.3">
      <c r="B34" s="45" t="s">
        <v>16</v>
      </c>
      <c r="C34" s="79">
        <f>SUM(C31:C33)</f>
        <v>0</v>
      </c>
      <c r="G34" s="36"/>
      <c r="H34" s="37"/>
      <c r="I34" s="36"/>
      <c r="J34" s="36"/>
    </row>
  </sheetData>
  <mergeCells count="6">
    <mergeCell ref="G31:H31"/>
    <mergeCell ref="A1:K1"/>
    <mergeCell ref="A2:K2"/>
    <mergeCell ref="A3:K3"/>
    <mergeCell ref="A10:K10"/>
    <mergeCell ref="A23:K23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DA086-A124-4222-A533-F6BA7A7A3C01}">
  <dimension ref="A1:K34"/>
  <sheetViews>
    <sheetView workbookViewId="0">
      <selection sqref="A1:K34"/>
    </sheetView>
  </sheetViews>
  <sheetFormatPr defaultRowHeight="15" x14ac:dyDescent="0.25"/>
  <sheetData>
    <row r="1" spans="1:11" ht="24.75" x14ac:dyDescent="0.25">
      <c r="A1" s="117" t="s">
        <v>829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998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46204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46203</v>
      </c>
      <c r="K5" s="8" t="s">
        <v>33</v>
      </c>
    </row>
    <row r="6" spans="1:11" ht="15.75" x14ac:dyDescent="0.25">
      <c r="A6" s="3">
        <v>2</v>
      </c>
      <c r="B6" s="3"/>
      <c r="C6" s="80">
        <v>0</v>
      </c>
      <c r="D6" s="5">
        <v>46204</v>
      </c>
      <c r="E6" s="6">
        <v>0</v>
      </c>
      <c r="F6" s="3" t="s">
        <v>14</v>
      </c>
      <c r="G6" s="49"/>
      <c r="H6" s="7">
        <v>0</v>
      </c>
      <c r="I6" s="3" t="s">
        <v>15</v>
      </c>
      <c r="J6" s="5">
        <f>+D6-1</f>
        <v>46203</v>
      </c>
      <c r="K6" s="8"/>
    </row>
    <row r="7" spans="1:11" ht="15.75" x14ac:dyDescent="0.25">
      <c r="A7" s="3">
        <v>3</v>
      </c>
      <c r="B7" s="3"/>
      <c r="C7" s="80">
        <v>0</v>
      </c>
      <c r="D7" s="5"/>
      <c r="E7" s="6"/>
      <c r="F7" s="3"/>
      <c r="G7" s="49"/>
      <c r="H7" s="7"/>
      <c r="I7" s="3"/>
      <c r="J7" s="5"/>
      <c r="K7" s="8"/>
    </row>
    <row r="8" spans="1:11" ht="18.75" x14ac:dyDescent="0.3">
      <c r="A8" s="9"/>
      <c r="B8" s="10" t="s">
        <v>16</v>
      </c>
      <c r="C8" s="81">
        <f>SUM(C5:C7)</f>
        <v>0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4" x14ac:dyDescent="0.4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75" x14ac:dyDescent="0.25">
      <c r="A11" s="3">
        <v>1</v>
      </c>
      <c r="B11" s="3"/>
      <c r="C11" s="80">
        <v>0</v>
      </c>
      <c r="D11" s="5">
        <v>46204</v>
      </c>
      <c r="E11" s="14">
        <v>0</v>
      </c>
      <c r="F11" s="13" t="s">
        <v>18</v>
      </c>
      <c r="G11" s="55"/>
      <c r="H11" s="16">
        <v>0</v>
      </c>
      <c r="I11" s="3" t="s">
        <v>19</v>
      </c>
      <c r="J11" s="5">
        <f t="shared" ref="J11:J21" si="0">+D11+1</f>
        <v>46205</v>
      </c>
      <c r="K11" s="13"/>
    </row>
    <row r="12" spans="1:11" ht="15.75" x14ac:dyDescent="0.25">
      <c r="A12" s="3">
        <v>2</v>
      </c>
      <c r="B12" s="3"/>
      <c r="C12" s="80">
        <v>0</v>
      </c>
      <c r="D12" s="5">
        <f t="shared" ref="D12:D21" si="1">+D11</f>
        <v>46204</v>
      </c>
      <c r="E12" s="14">
        <v>0</v>
      </c>
      <c r="F12" s="13" t="s">
        <v>18</v>
      </c>
      <c r="G12" s="55"/>
      <c r="H12" s="16">
        <v>0</v>
      </c>
      <c r="I12" s="3" t="s">
        <v>15</v>
      </c>
      <c r="J12" s="5">
        <f t="shared" si="0"/>
        <v>46205</v>
      </c>
      <c r="K12" s="13"/>
    </row>
    <row r="13" spans="1:11" ht="15.75" x14ac:dyDescent="0.25">
      <c r="A13" s="3">
        <v>3</v>
      </c>
      <c r="B13" s="3"/>
      <c r="C13" s="80">
        <v>0</v>
      </c>
      <c r="D13" s="5">
        <f t="shared" si="1"/>
        <v>46204</v>
      </c>
      <c r="E13" s="14">
        <v>0</v>
      </c>
      <c r="F13" s="13" t="s">
        <v>18</v>
      </c>
      <c r="G13" s="55"/>
      <c r="H13" s="16">
        <v>0</v>
      </c>
      <c r="I13" s="3" t="s">
        <v>15</v>
      </c>
      <c r="J13" s="5">
        <f t="shared" si="0"/>
        <v>46205</v>
      </c>
      <c r="K13" s="13"/>
    </row>
    <row r="14" spans="1:11" ht="15.75" x14ac:dyDescent="0.25">
      <c r="A14" s="3">
        <v>4</v>
      </c>
      <c r="B14" s="3"/>
      <c r="C14" s="80">
        <v>0</v>
      </c>
      <c r="D14" s="5">
        <f t="shared" si="1"/>
        <v>46204</v>
      </c>
      <c r="E14" s="14">
        <v>0</v>
      </c>
      <c r="F14" s="13" t="s">
        <v>18</v>
      </c>
      <c r="G14" s="55"/>
      <c r="H14" s="16">
        <v>0</v>
      </c>
      <c r="I14" s="3" t="s">
        <v>15</v>
      </c>
      <c r="J14" s="5">
        <f t="shared" si="0"/>
        <v>46205</v>
      </c>
      <c r="K14" s="13"/>
    </row>
    <row r="15" spans="1:11" ht="15.75" x14ac:dyDescent="0.25">
      <c r="A15" s="3">
        <v>5</v>
      </c>
      <c r="B15" s="3"/>
      <c r="C15" s="80">
        <v>0</v>
      </c>
      <c r="D15" s="5">
        <f t="shared" si="1"/>
        <v>46204</v>
      </c>
      <c r="E15" s="14">
        <v>0</v>
      </c>
      <c r="F15" s="13" t="s">
        <v>18</v>
      </c>
      <c r="G15" s="55"/>
      <c r="H15" s="16">
        <v>0</v>
      </c>
      <c r="I15" s="3" t="s">
        <v>15</v>
      </c>
      <c r="J15" s="5">
        <f t="shared" si="0"/>
        <v>46205</v>
      </c>
      <c r="K15" s="13"/>
    </row>
    <row r="16" spans="1:11" ht="15.75" x14ac:dyDescent="0.25">
      <c r="A16" s="3">
        <v>6</v>
      </c>
      <c r="B16" s="3"/>
      <c r="C16" s="80">
        <v>0</v>
      </c>
      <c r="D16" s="5">
        <f t="shared" si="1"/>
        <v>46204</v>
      </c>
      <c r="E16" s="14">
        <v>0</v>
      </c>
      <c r="F16" s="13" t="s">
        <v>18</v>
      </c>
      <c r="G16" s="55"/>
      <c r="H16" s="16">
        <v>0</v>
      </c>
      <c r="I16" s="3" t="s">
        <v>15</v>
      </c>
      <c r="J16" s="5">
        <f t="shared" si="0"/>
        <v>46205</v>
      </c>
      <c r="K16" s="13"/>
    </row>
    <row r="17" spans="1:11" ht="15.75" x14ac:dyDescent="0.25">
      <c r="A17" s="3">
        <v>7</v>
      </c>
      <c r="B17" s="3"/>
      <c r="C17" s="80">
        <v>0</v>
      </c>
      <c r="D17" s="5">
        <f t="shared" si="1"/>
        <v>46204</v>
      </c>
      <c r="E17" s="14">
        <v>0</v>
      </c>
      <c r="F17" s="13" t="s">
        <v>18</v>
      </c>
      <c r="G17" s="55"/>
      <c r="H17" s="16">
        <v>0</v>
      </c>
      <c r="I17" s="3" t="s">
        <v>15</v>
      </c>
      <c r="J17" s="5">
        <f t="shared" si="0"/>
        <v>46205</v>
      </c>
      <c r="K17" s="13"/>
    </row>
    <row r="18" spans="1:11" ht="15.75" x14ac:dyDescent="0.25">
      <c r="A18" s="3">
        <v>8</v>
      </c>
      <c r="B18" s="3"/>
      <c r="C18" s="80">
        <v>0</v>
      </c>
      <c r="D18" s="5">
        <f t="shared" si="1"/>
        <v>46204</v>
      </c>
      <c r="E18" s="14">
        <v>0</v>
      </c>
      <c r="F18" s="13" t="s">
        <v>18</v>
      </c>
      <c r="G18" s="55"/>
      <c r="H18" s="16">
        <v>0</v>
      </c>
      <c r="I18" s="3" t="s">
        <v>15</v>
      </c>
      <c r="J18" s="5">
        <f t="shared" si="0"/>
        <v>46205</v>
      </c>
      <c r="K18" s="13"/>
    </row>
    <row r="19" spans="1:11" ht="15.75" x14ac:dyDescent="0.25">
      <c r="A19" s="3">
        <v>9</v>
      </c>
      <c r="B19" s="3"/>
      <c r="C19" s="80">
        <v>0</v>
      </c>
      <c r="D19" s="5">
        <f t="shared" si="1"/>
        <v>46204</v>
      </c>
      <c r="E19" s="14">
        <v>0</v>
      </c>
      <c r="F19" s="13" t="s">
        <v>18</v>
      </c>
      <c r="G19" s="55"/>
      <c r="H19" s="16">
        <v>0</v>
      </c>
      <c r="I19" s="3" t="s">
        <v>15</v>
      </c>
      <c r="J19" s="5">
        <f t="shared" si="0"/>
        <v>46205</v>
      </c>
      <c r="K19" s="13"/>
    </row>
    <row r="20" spans="1:11" ht="15.75" x14ac:dyDescent="0.25">
      <c r="A20" s="3">
        <v>10</v>
      </c>
      <c r="B20" s="3"/>
      <c r="C20" s="80">
        <v>0</v>
      </c>
      <c r="D20" s="5">
        <f t="shared" si="1"/>
        <v>46204</v>
      </c>
      <c r="E20" s="14">
        <v>0</v>
      </c>
      <c r="F20" s="13" t="s">
        <v>18</v>
      </c>
      <c r="G20" s="55"/>
      <c r="H20" s="16">
        <v>0</v>
      </c>
      <c r="I20" s="3" t="s">
        <v>15</v>
      </c>
      <c r="J20" s="5">
        <f t="shared" si="0"/>
        <v>46205</v>
      </c>
      <c r="K20" s="13"/>
    </row>
    <row r="21" spans="1:11" ht="15.75" x14ac:dyDescent="0.25">
      <c r="A21" s="3">
        <v>11</v>
      </c>
      <c r="B21" s="3"/>
      <c r="C21" s="80">
        <v>0</v>
      </c>
      <c r="D21" s="5">
        <f t="shared" si="1"/>
        <v>46204</v>
      </c>
      <c r="E21" s="14">
        <v>0</v>
      </c>
      <c r="F21" s="13" t="s">
        <v>18</v>
      </c>
      <c r="G21" s="55"/>
      <c r="H21" s="16">
        <v>0</v>
      </c>
      <c r="I21" s="3" t="s">
        <v>15</v>
      </c>
      <c r="J21" s="5">
        <f t="shared" si="0"/>
        <v>46205</v>
      </c>
      <c r="K21" s="13"/>
    </row>
    <row r="22" spans="1:11" ht="18.75" x14ac:dyDescent="0.3">
      <c r="A22" s="3"/>
      <c r="B22" s="17" t="s">
        <v>16</v>
      </c>
      <c r="C22" s="82">
        <f>SUM(C11:C21)</f>
        <v>0</v>
      </c>
      <c r="D22" s="3"/>
      <c r="E22" s="3"/>
      <c r="F22" s="13"/>
      <c r="G22" s="13"/>
      <c r="H22" s="11"/>
      <c r="I22" s="3"/>
      <c r="J22" s="3"/>
      <c r="K22" s="3"/>
    </row>
    <row r="23" spans="1:11" ht="24.75" x14ac:dyDescent="0.5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.75" x14ac:dyDescent="0.3">
      <c r="A24" s="19" t="s">
        <v>3</v>
      </c>
      <c r="B24" s="19" t="s">
        <v>21</v>
      </c>
      <c r="C24" s="5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75" x14ac:dyDescent="0.25">
      <c r="A25" s="8">
        <v>1</v>
      </c>
      <c r="B25" s="8"/>
      <c r="C25" s="75">
        <v>0</v>
      </c>
      <c r="D25" s="5">
        <v>46204</v>
      </c>
      <c r="E25" s="8"/>
      <c r="F25" s="8"/>
      <c r="G25" s="22"/>
      <c r="H25" s="23"/>
      <c r="I25" s="24"/>
      <c r="J25" s="5">
        <v>46204</v>
      </c>
      <c r="K25" s="13"/>
    </row>
    <row r="26" spans="1:11" ht="15.75" x14ac:dyDescent="0.25">
      <c r="A26" s="8">
        <v>2</v>
      </c>
      <c r="B26" s="8"/>
      <c r="C26" s="75">
        <v>0</v>
      </c>
      <c r="D26" s="5">
        <v>46204</v>
      </c>
      <c r="E26" s="8"/>
      <c r="F26" s="8"/>
      <c r="G26" s="22"/>
      <c r="H26" s="23"/>
      <c r="I26" s="24"/>
      <c r="J26" s="5">
        <v>46204</v>
      </c>
      <c r="K26" s="13"/>
    </row>
    <row r="27" spans="1:11" ht="15.75" x14ac:dyDescent="0.25">
      <c r="A27" s="8">
        <v>3</v>
      </c>
      <c r="B27" s="8"/>
      <c r="C27" s="75">
        <v>0</v>
      </c>
      <c r="D27" s="5">
        <v>46204</v>
      </c>
      <c r="E27" s="8"/>
      <c r="F27" s="8"/>
      <c r="G27" s="22"/>
      <c r="H27" s="23"/>
      <c r="I27" s="24"/>
      <c r="J27" s="5">
        <v>46204</v>
      </c>
      <c r="K27" s="13"/>
    </row>
    <row r="28" spans="1:11" ht="15.75" x14ac:dyDescent="0.25">
      <c r="A28" s="8">
        <v>4</v>
      </c>
      <c r="B28" s="8"/>
      <c r="C28" s="75">
        <v>0</v>
      </c>
      <c r="D28" s="5">
        <v>46204</v>
      </c>
      <c r="E28" s="8"/>
      <c r="F28" s="8"/>
      <c r="G28" s="22"/>
      <c r="H28" s="23"/>
      <c r="I28" s="24"/>
      <c r="J28" s="5">
        <v>46204</v>
      </c>
      <c r="K28" s="13"/>
    </row>
    <row r="29" spans="1:11" ht="18.75" x14ac:dyDescent="0.25">
      <c r="A29" s="8"/>
      <c r="B29" s="25" t="s">
        <v>27</v>
      </c>
      <c r="C29" s="83">
        <f>SUM(C25:C28)</f>
        <v>0</v>
      </c>
      <c r="D29" s="3"/>
      <c r="E29" s="8"/>
      <c r="F29" s="8"/>
      <c r="G29" s="8"/>
      <c r="H29" s="27">
        <v>0</v>
      </c>
      <c r="I29" s="24"/>
      <c r="J29" s="3"/>
      <c r="K29" s="28"/>
    </row>
    <row r="30" spans="1:11" x14ac:dyDescent="0.25">
      <c r="C30" s="29"/>
      <c r="H30" s="29"/>
    </row>
    <row r="31" spans="1:11" ht="16.5" x14ac:dyDescent="0.3">
      <c r="B31" s="30" t="s">
        <v>28</v>
      </c>
      <c r="C31" s="76">
        <f>SUM(C14,C19)</f>
        <v>0</v>
      </c>
      <c r="E31" s="32"/>
      <c r="F31" s="32"/>
      <c r="G31" s="116"/>
      <c r="H31" s="116"/>
    </row>
    <row r="32" spans="1:11" ht="16.5" x14ac:dyDescent="0.3">
      <c r="B32" s="33" t="s">
        <v>29</v>
      </c>
      <c r="C32" s="77">
        <f>SUM(C11,C12,C17,C18,C20,C21)</f>
        <v>0</v>
      </c>
      <c r="E32" s="35"/>
      <c r="F32" s="35"/>
      <c r="G32" s="36" t="s">
        <v>30</v>
      </c>
      <c r="H32" s="37"/>
    </row>
    <row r="33" spans="2:10" ht="24" x14ac:dyDescent="0.4">
      <c r="B33" s="38" t="s">
        <v>31</v>
      </c>
      <c r="C33" s="78">
        <f>SUM(C13,C15,C16)</f>
        <v>0</v>
      </c>
      <c r="E33" s="40" t="s">
        <v>32</v>
      </c>
      <c r="F33" s="41"/>
      <c r="G33" s="42"/>
      <c r="H33" s="43"/>
      <c r="I33" s="42"/>
      <c r="J33" s="44"/>
    </row>
    <row r="34" spans="2:10" ht="18.75" x14ac:dyDescent="0.3">
      <c r="B34" s="45" t="s">
        <v>16</v>
      </c>
      <c r="C34" s="79">
        <f>SUM(C31:C33)</f>
        <v>0</v>
      </c>
      <c r="G34" s="36"/>
      <c r="H34" s="37"/>
      <c r="I34" s="36"/>
      <c r="J34" s="36"/>
    </row>
  </sheetData>
  <mergeCells count="6">
    <mergeCell ref="G31:H31"/>
    <mergeCell ref="A1:K1"/>
    <mergeCell ref="A2:K2"/>
    <mergeCell ref="A3:K3"/>
    <mergeCell ref="A10:K10"/>
    <mergeCell ref="A23:K23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BDFE5-30ED-4BD3-8A4E-B5E68C91C827}">
  <dimension ref="A1:K34"/>
  <sheetViews>
    <sheetView workbookViewId="0">
      <selection sqref="A1:K34"/>
    </sheetView>
  </sheetViews>
  <sheetFormatPr defaultRowHeight="15" x14ac:dyDescent="0.25"/>
  <sheetData>
    <row r="1" spans="1:11" ht="24.75" x14ac:dyDescent="0.25">
      <c r="A1" s="117" t="s">
        <v>829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1" x14ac:dyDescent="0.35">
      <c r="A2" s="118" t="s">
        <v>998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46204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46203</v>
      </c>
      <c r="K5" s="8" t="s">
        <v>33</v>
      </c>
    </row>
    <row r="6" spans="1:11" ht="15.75" x14ac:dyDescent="0.25">
      <c r="A6" s="3">
        <v>2</v>
      </c>
      <c r="B6" s="3"/>
      <c r="C6" s="80">
        <v>0</v>
      </c>
      <c r="D6" s="5">
        <v>46204</v>
      </c>
      <c r="E6" s="6">
        <v>0</v>
      </c>
      <c r="F6" s="3" t="s">
        <v>14</v>
      </c>
      <c r="G6" s="49"/>
      <c r="H6" s="7">
        <v>0</v>
      </c>
      <c r="I6" s="3" t="s">
        <v>15</v>
      </c>
      <c r="J6" s="5">
        <f>+D6-1</f>
        <v>46203</v>
      </c>
      <c r="K6" s="8"/>
    </row>
    <row r="7" spans="1:11" ht="15.75" x14ac:dyDescent="0.25">
      <c r="A7" s="3">
        <v>3</v>
      </c>
      <c r="B7" s="3"/>
      <c r="C7" s="80">
        <v>0</v>
      </c>
      <c r="D7" s="5"/>
      <c r="E7" s="6"/>
      <c r="F7" s="3"/>
      <c r="G7" s="49"/>
      <c r="H7" s="7"/>
      <c r="I7" s="3"/>
      <c r="J7" s="5"/>
      <c r="K7" s="8"/>
    </row>
    <row r="8" spans="1:11" ht="18.75" x14ac:dyDescent="0.3">
      <c r="A8" s="9"/>
      <c r="B8" s="10" t="s">
        <v>16</v>
      </c>
      <c r="C8" s="81">
        <f>SUM(C5:C7)</f>
        <v>0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4" x14ac:dyDescent="0.4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75" x14ac:dyDescent="0.25">
      <c r="A11" s="3">
        <v>1</v>
      </c>
      <c r="B11" s="3"/>
      <c r="C11" s="80">
        <v>0</v>
      </c>
      <c r="D11" s="5">
        <v>46204</v>
      </c>
      <c r="E11" s="14">
        <v>0</v>
      </c>
      <c r="F11" s="13" t="s">
        <v>18</v>
      </c>
      <c r="G11" s="55"/>
      <c r="H11" s="16">
        <v>0</v>
      </c>
      <c r="I11" s="3" t="s">
        <v>19</v>
      </c>
      <c r="J11" s="5">
        <f t="shared" ref="J11:J21" si="0">+D11+1</f>
        <v>46205</v>
      </c>
      <c r="K11" s="13"/>
    </row>
    <row r="12" spans="1:11" ht="15.75" x14ac:dyDescent="0.25">
      <c r="A12" s="3">
        <v>2</v>
      </c>
      <c r="B12" s="3"/>
      <c r="C12" s="80">
        <v>0</v>
      </c>
      <c r="D12" s="5">
        <f t="shared" ref="D12:D21" si="1">+D11</f>
        <v>46204</v>
      </c>
      <c r="E12" s="14">
        <v>0</v>
      </c>
      <c r="F12" s="13" t="s">
        <v>18</v>
      </c>
      <c r="G12" s="55"/>
      <c r="H12" s="16">
        <v>0</v>
      </c>
      <c r="I12" s="3" t="s">
        <v>15</v>
      </c>
      <c r="J12" s="5">
        <f t="shared" si="0"/>
        <v>46205</v>
      </c>
      <c r="K12" s="13"/>
    </row>
    <row r="13" spans="1:11" ht="15.75" x14ac:dyDescent="0.25">
      <c r="A13" s="3">
        <v>3</v>
      </c>
      <c r="B13" s="3"/>
      <c r="C13" s="80">
        <v>0</v>
      </c>
      <c r="D13" s="5">
        <f t="shared" si="1"/>
        <v>46204</v>
      </c>
      <c r="E13" s="14">
        <v>0</v>
      </c>
      <c r="F13" s="13" t="s">
        <v>18</v>
      </c>
      <c r="G13" s="55"/>
      <c r="H13" s="16">
        <v>0</v>
      </c>
      <c r="I13" s="3" t="s">
        <v>15</v>
      </c>
      <c r="J13" s="5">
        <f t="shared" si="0"/>
        <v>46205</v>
      </c>
      <c r="K13" s="13"/>
    </row>
    <row r="14" spans="1:11" ht="15.75" x14ac:dyDescent="0.25">
      <c r="A14" s="3">
        <v>4</v>
      </c>
      <c r="B14" s="3"/>
      <c r="C14" s="80">
        <v>0</v>
      </c>
      <c r="D14" s="5">
        <f t="shared" si="1"/>
        <v>46204</v>
      </c>
      <c r="E14" s="14">
        <v>0</v>
      </c>
      <c r="F14" s="13" t="s">
        <v>18</v>
      </c>
      <c r="G14" s="55"/>
      <c r="H14" s="16">
        <v>0</v>
      </c>
      <c r="I14" s="3" t="s">
        <v>15</v>
      </c>
      <c r="J14" s="5">
        <f t="shared" si="0"/>
        <v>46205</v>
      </c>
      <c r="K14" s="13"/>
    </row>
    <row r="15" spans="1:11" ht="15.75" x14ac:dyDescent="0.25">
      <c r="A15" s="3">
        <v>5</v>
      </c>
      <c r="B15" s="3"/>
      <c r="C15" s="80">
        <v>0</v>
      </c>
      <c r="D15" s="5">
        <f t="shared" si="1"/>
        <v>46204</v>
      </c>
      <c r="E15" s="14">
        <v>0</v>
      </c>
      <c r="F15" s="13" t="s">
        <v>18</v>
      </c>
      <c r="G15" s="55"/>
      <c r="H15" s="16">
        <v>0</v>
      </c>
      <c r="I15" s="3" t="s">
        <v>15</v>
      </c>
      <c r="J15" s="5">
        <f t="shared" si="0"/>
        <v>46205</v>
      </c>
      <c r="K15" s="13"/>
    </row>
    <row r="16" spans="1:11" ht="15.75" x14ac:dyDescent="0.25">
      <c r="A16" s="3">
        <v>6</v>
      </c>
      <c r="B16" s="3"/>
      <c r="C16" s="80">
        <v>0</v>
      </c>
      <c r="D16" s="5">
        <f t="shared" si="1"/>
        <v>46204</v>
      </c>
      <c r="E16" s="14">
        <v>0</v>
      </c>
      <c r="F16" s="13" t="s">
        <v>18</v>
      </c>
      <c r="G16" s="55"/>
      <c r="H16" s="16">
        <v>0</v>
      </c>
      <c r="I16" s="3" t="s">
        <v>15</v>
      </c>
      <c r="J16" s="5">
        <f t="shared" si="0"/>
        <v>46205</v>
      </c>
      <c r="K16" s="13"/>
    </row>
    <row r="17" spans="1:11" ht="15.75" x14ac:dyDescent="0.25">
      <c r="A17" s="3">
        <v>7</v>
      </c>
      <c r="B17" s="3"/>
      <c r="C17" s="80">
        <v>0</v>
      </c>
      <c r="D17" s="5">
        <f t="shared" si="1"/>
        <v>46204</v>
      </c>
      <c r="E17" s="14">
        <v>0</v>
      </c>
      <c r="F17" s="13" t="s">
        <v>18</v>
      </c>
      <c r="G17" s="55"/>
      <c r="H17" s="16">
        <v>0</v>
      </c>
      <c r="I17" s="3" t="s">
        <v>15</v>
      </c>
      <c r="J17" s="5">
        <f t="shared" si="0"/>
        <v>46205</v>
      </c>
      <c r="K17" s="13"/>
    </row>
    <row r="18" spans="1:11" ht="15.75" x14ac:dyDescent="0.25">
      <c r="A18" s="3">
        <v>8</v>
      </c>
      <c r="B18" s="3"/>
      <c r="C18" s="80">
        <v>0</v>
      </c>
      <c r="D18" s="5">
        <f t="shared" si="1"/>
        <v>46204</v>
      </c>
      <c r="E18" s="14">
        <v>0</v>
      </c>
      <c r="F18" s="13" t="s">
        <v>18</v>
      </c>
      <c r="G18" s="55"/>
      <c r="H18" s="16">
        <v>0</v>
      </c>
      <c r="I18" s="3" t="s">
        <v>15</v>
      </c>
      <c r="J18" s="5">
        <f t="shared" si="0"/>
        <v>46205</v>
      </c>
      <c r="K18" s="13"/>
    </row>
    <row r="19" spans="1:11" ht="15.75" x14ac:dyDescent="0.25">
      <c r="A19" s="3">
        <v>9</v>
      </c>
      <c r="B19" s="3"/>
      <c r="C19" s="80">
        <v>0</v>
      </c>
      <c r="D19" s="5">
        <f t="shared" si="1"/>
        <v>46204</v>
      </c>
      <c r="E19" s="14">
        <v>0</v>
      </c>
      <c r="F19" s="13" t="s">
        <v>18</v>
      </c>
      <c r="G19" s="55"/>
      <c r="H19" s="16">
        <v>0</v>
      </c>
      <c r="I19" s="3" t="s">
        <v>15</v>
      </c>
      <c r="J19" s="5">
        <f t="shared" si="0"/>
        <v>46205</v>
      </c>
      <c r="K19" s="13"/>
    </row>
    <row r="20" spans="1:11" ht="15.75" x14ac:dyDescent="0.25">
      <c r="A20" s="3">
        <v>10</v>
      </c>
      <c r="B20" s="3"/>
      <c r="C20" s="80">
        <v>0</v>
      </c>
      <c r="D20" s="5">
        <f t="shared" si="1"/>
        <v>46204</v>
      </c>
      <c r="E20" s="14">
        <v>0</v>
      </c>
      <c r="F20" s="13" t="s">
        <v>18</v>
      </c>
      <c r="G20" s="55"/>
      <c r="H20" s="16">
        <v>0</v>
      </c>
      <c r="I20" s="3" t="s">
        <v>15</v>
      </c>
      <c r="J20" s="5">
        <f t="shared" si="0"/>
        <v>46205</v>
      </c>
      <c r="K20" s="13"/>
    </row>
    <row r="21" spans="1:11" ht="15.75" x14ac:dyDescent="0.25">
      <c r="A21" s="3">
        <v>11</v>
      </c>
      <c r="B21" s="3"/>
      <c r="C21" s="80">
        <v>0</v>
      </c>
      <c r="D21" s="5">
        <f t="shared" si="1"/>
        <v>46204</v>
      </c>
      <c r="E21" s="14">
        <v>0</v>
      </c>
      <c r="F21" s="13" t="s">
        <v>18</v>
      </c>
      <c r="G21" s="55"/>
      <c r="H21" s="16">
        <v>0</v>
      </c>
      <c r="I21" s="3" t="s">
        <v>15</v>
      </c>
      <c r="J21" s="5">
        <f t="shared" si="0"/>
        <v>46205</v>
      </c>
      <c r="K21" s="13"/>
    </row>
    <row r="22" spans="1:11" ht="18.75" x14ac:dyDescent="0.3">
      <c r="A22" s="3"/>
      <c r="B22" s="17" t="s">
        <v>16</v>
      </c>
      <c r="C22" s="82">
        <f>SUM(C11:C21)</f>
        <v>0</v>
      </c>
      <c r="D22" s="3"/>
      <c r="E22" s="3"/>
      <c r="F22" s="13"/>
      <c r="G22" s="13"/>
      <c r="H22" s="11"/>
      <c r="I22" s="3"/>
      <c r="J22" s="3"/>
      <c r="K22" s="3"/>
    </row>
    <row r="23" spans="1:11" ht="24.75" x14ac:dyDescent="0.5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.75" x14ac:dyDescent="0.3">
      <c r="A24" s="19" t="s">
        <v>3</v>
      </c>
      <c r="B24" s="19" t="s">
        <v>21</v>
      </c>
      <c r="C24" s="5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75" x14ac:dyDescent="0.25">
      <c r="A25" s="8">
        <v>1</v>
      </c>
      <c r="B25" s="8"/>
      <c r="C25" s="75">
        <v>0</v>
      </c>
      <c r="D25" s="5">
        <v>46204</v>
      </c>
      <c r="E25" s="8"/>
      <c r="F25" s="8"/>
      <c r="G25" s="22"/>
      <c r="H25" s="23"/>
      <c r="I25" s="24"/>
      <c r="J25" s="5">
        <v>46204</v>
      </c>
      <c r="K25" s="13"/>
    </row>
    <row r="26" spans="1:11" ht="15.75" x14ac:dyDescent="0.25">
      <c r="A26" s="8">
        <v>2</v>
      </c>
      <c r="B26" s="8"/>
      <c r="C26" s="75">
        <v>0</v>
      </c>
      <c r="D26" s="5">
        <v>46204</v>
      </c>
      <c r="E26" s="8"/>
      <c r="F26" s="8"/>
      <c r="G26" s="22"/>
      <c r="H26" s="23"/>
      <c r="I26" s="24"/>
      <c r="J26" s="5">
        <v>46204</v>
      </c>
      <c r="K26" s="13"/>
    </row>
    <row r="27" spans="1:11" ht="15.75" x14ac:dyDescent="0.25">
      <c r="A27" s="8">
        <v>3</v>
      </c>
      <c r="B27" s="8"/>
      <c r="C27" s="75">
        <v>0</v>
      </c>
      <c r="D27" s="5">
        <v>46204</v>
      </c>
      <c r="E27" s="8"/>
      <c r="F27" s="8"/>
      <c r="G27" s="22"/>
      <c r="H27" s="23"/>
      <c r="I27" s="24"/>
      <c r="J27" s="5">
        <v>46204</v>
      </c>
      <c r="K27" s="13"/>
    </row>
    <row r="28" spans="1:11" ht="15.75" x14ac:dyDescent="0.25">
      <c r="A28" s="8">
        <v>4</v>
      </c>
      <c r="B28" s="8"/>
      <c r="C28" s="75">
        <v>0</v>
      </c>
      <c r="D28" s="5">
        <v>46204</v>
      </c>
      <c r="E28" s="8"/>
      <c r="F28" s="8"/>
      <c r="G28" s="22"/>
      <c r="H28" s="23"/>
      <c r="I28" s="24"/>
      <c r="J28" s="5">
        <v>46204</v>
      </c>
      <c r="K28" s="13"/>
    </row>
    <row r="29" spans="1:11" ht="18.75" x14ac:dyDescent="0.25">
      <c r="A29" s="8"/>
      <c r="B29" s="25" t="s">
        <v>27</v>
      </c>
      <c r="C29" s="83">
        <f>SUM(C25:C28)</f>
        <v>0</v>
      </c>
      <c r="D29" s="3"/>
      <c r="E29" s="8"/>
      <c r="F29" s="8"/>
      <c r="G29" s="8"/>
      <c r="H29" s="27">
        <v>0</v>
      </c>
      <c r="I29" s="24"/>
      <c r="J29" s="3"/>
      <c r="K29" s="28"/>
    </row>
    <row r="30" spans="1:11" x14ac:dyDescent="0.25">
      <c r="C30" s="29"/>
      <c r="H30" s="29"/>
    </row>
    <row r="31" spans="1:11" ht="16.5" x14ac:dyDescent="0.3">
      <c r="B31" s="30" t="s">
        <v>28</v>
      </c>
      <c r="C31" s="76">
        <f>SUM(C14,C19)</f>
        <v>0</v>
      </c>
      <c r="E31" s="32"/>
      <c r="F31" s="32"/>
      <c r="G31" s="116"/>
      <c r="H31" s="116"/>
    </row>
    <row r="32" spans="1:11" ht="16.5" x14ac:dyDescent="0.3">
      <c r="B32" s="33" t="s">
        <v>29</v>
      </c>
      <c r="C32" s="77">
        <f>SUM(C11,C12,C17,C18,C20,C21)</f>
        <v>0</v>
      </c>
      <c r="E32" s="35"/>
      <c r="F32" s="35"/>
      <c r="G32" s="36" t="s">
        <v>30</v>
      </c>
      <c r="H32" s="37"/>
    </row>
    <row r="33" spans="2:10" ht="24" x14ac:dyDescent="0.4">
      <c r="B33" s="38" t="s">
        <v>31</v>
      </c>
      <c r="C33" s="78">
        <f>SUM(C13,C15,C16)</f>
        <v>0</v>
      </c>
      <c r="E33" s="40" t="s">
        <v>32</v>
      </c>
      <c r="F33" s="41"/>
      <c r="G33" s="42"/>
      <c r="H33" s="43"/>
      <c r="I33" s="42"/>
      <c r="J33" s="44"/>
    </row>
    <row r="34" spans="2:10" ht="18.75" x14ac:dyDescent="0.3">
      <c r="B34" s="45" t="s">
        <v>16</v>
      </c>
      <c r="C34" s="79">
        <f>SUM(C31:C33)</f>
        <v>0</v>
      </c>
      <c r="G34" s="36"/>
      <c r="H34" s="37"/>
      <c r="I34" s="36"/>
      <c r="J34" s="36"/>
    </row>
  </sheetData>
  <mergeCells count="6">
    <mergeCell ref="G31:H31"/>
    <mergeCell ref="A1:K1"/>
    <mergeCell ref="A2:K2"/>
    <mergeCell ref="A3:K3"/>
    <mergeCell ref="A10:K10"/>
    <mergeCell ref="A23:K23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0565C-CBF3-4C90-B197-5B94B8D511C6}">
  <dimension ref="A1:K34"/>
  <sheetViews>
    <sheetView workbookViewId="0">
      <selection sqref="A1:K34"/>
    </sheetView>
  </sheetViews>
  <sheetFormatPr defaultRowHeight="15" x14ac:dyDescent="0.25"/>
  <sheetData>
    <row r="1" spans="1:11" ht="48.75" x14ac:dyDescent="0.25">
      <c r="A1" s="128" t="s">
        <v>458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553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46204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46203</v>
      </c>
      <c r="K5" s="8" t="s">
        <v>33</v>
      </c>
    </row>
    <row r="6" spans="1:11" ht="15.75" x14ac:dyDescent="0.25">
      <c r="A6" s="3">
        <v>2</v>
      </c>
      <c r="B6" s="3"/>
      <c r="C6" s="80">
        <v>0</v>
      </c>
      <c r="D6" s="5">
        <v>46204</v>
      </c>
      <c r="E6" s="6">
        <v>0</v>
      </c>
      <c r="F6" s="3" t="s">
        <v>14</v>
      </c>
      <c r="G6" s="49"/>
      <c r="H6" s="7">
        <v>0</v>
      </c>
      <c r="I6" s="3" t="s">
        <v>15</v>
      </c>
      <c r="J6" s="5">
        <f>+D6-1</f>
        <v>46203</v>
      </c>
      <c r="K6" s="8"/>
    </row>
    <row r="7" spans="1:11" ht="15.75" x14ac:dyDescent="0.25">
      <c r="A7" s="3">
        <v>3</v>
      </c>
      <c r="B7" s="3"/>
      <c r="C7" s="80">
        <v>0</v>
      </c>
      <c r="D7" s="5"/>
      <c r="E7" s="6"/>
      <c r="F7" s="3"/>
      <c r="G7" s="49"/>
      <c r="H7" s="7"/>
      <c r="I7" s="3"/>
      <c r="J7" s="5"/>
      <c r="K7" s="8"/>
    </row>
    <row r="8" spans="1:11" ht="18.75" x14ac:dyDescent="0.3">
      <c r="A8" s="9"/>
      <c r="B8" s="10" t="s">
        <v>16</v>
      </c>
      <c r="C8" s="81">
        <f>SUM(C5:C7)</f>
        <v>0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4" x14ac:dyDescent="0.4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75" x14ac:dyDescent="0.25">
      <c r="A11" s="3">
        <v>1</v>
      </c>
      <c r="B11" s="3"/>
      <c r="C11" s="80">
        <v>0</v>
      </c>
      <c r="D11" s="5">
        <v>46204</v>
      </c>
      <c r="E11" s="14">
        <v>0</v>
      </c>
      <c r="F11" s="13" t="s">
        <v>18</v>
      </c>
      <c r="G11" s="55"/>
      <c r="H11" s="16">
        <v>0</v>
      </c>
      <c r="I11" s="3" t="s">
        <v>19</v>
      </c>
      <c r="J11" s="5">
        <f t="shared" ref="J11:J21" si="0">+D11+1</f>
        <v>46205</v>
      </c>
      <c r="K11" s="13"/>
    </row>
    <row r="12" spans="1:11" ht="15.75" x14ac:dyDescent="0.25">
      <c r="A12" s="3">
        <v>2</v>
      </c>
      <c r="B12" s="3"/>
      <c r="C12" s="80">
        <v>0</v>
      </c>
      <c r="D12" s="5">
        <f t="shared" ref="D12:D21" si="1">+D11</f>
        <v>46204</v>
      </c>
      <c r="E12" s="14">
        <v>0</v>
      </c>
      <c r="F12" s="13" t="s">
        <v>18</v>
      </c>
      <c r="G12" s="55"/>
      <c r="H12" s="16">
        <v>0</v>
      </c>
      <c r="I12" s="3" t="s">
        <v>15</v>
      </c>
      <c r="J12" s="5">
        <f t="shared" si="0"/>
        <v>46205</v>
      </c>
      <c r="K12" s="13"/>
    </row>
    <row r="13" spans="1:11" ht="15.75" x14ac:dyDescent="0.25">
      <c r="A13" s="3">
        <v>3</v>
      </c>
      <c r="B13" s="3"/>
      <c r="C13" s="80">
        <v>0</v>
      </c>
      <c r="D13" s="5">
        <f t="shared" si="1"/>
        <v>46204</v>
      </c>
      <c r="E13" s="14">
        <v>0</v>
      </c>
      <c r="F13" s="13" t="s">
        <v>18</v>
      </c>
      <c r="G13" s="55"/>
      <c r="H13" s="16">
        <v>0</v>
      </c>
      <c r="I13" s="3" t="s">
        <v>15</v>
      </c>
      <c r="J13" s="5">
        <f t="shared" si="0"/>
        <v>46205</v>
      </c>
      <c r="K13" s="13"/>
    </row>
    <row r="14" spans="1:11" ht="15.75" x14ac:dyDescent="0.25">
      <c r="A14" s="3">
        <v>4</v>
      </c>
      <c r="B14" s="3"/>
      <c r="C14" s="80">
        <v>0</v>
      </c>
      <c r="D14" s="5">
        <f t="shared" si="1"/>
        <v>46204</v>
      </c>
      <c r="E14" s="14">
        <v>0</v>
      </c>
      <c r="F14" s="13" t="s">
        <v>18</v>
      </c>
      <c r="G14" s="55"/>
      <c r="H14" s="16">
        <v>0</v>
      </c>
      <c r="I14" s="3" t="s">
        <v>15</v>
      </c>
      <c r="J14" s="5">
        <f t="shared" si="0"/>
        <v>46205</v>
      </c>
      <c r="K14" s="13"/>
    </row>
    <row r="15" spans="1:11" ht="15.75" x14ac:dyDescent="0.25">
      <c r="A15" s="3">
        <v>5</v>
      </c>
      <c r="B15" s="3"/>
      <c r="C15" s="80">
        <v>0</v>
      </c>
      <c r="D15" s="5">
        <f t="shared" si="1"/>
        <v>46204</v>
      </c>
      <c r="E15" s="14">
        <v>0</v>
      </c>
      <c r="F15" s="13" t="s">
        <v>18</v>
      </c>
      <c r="G15" s="55"/>
      <c r="H15" s="16">
        <v>0</v>
      </c>
      <c r="I15" s="3" t="s">
        <v>15</v>
      </c>
      <c r="J15" s="5">
        <f t="shared" si="0"/>
        <v>46205</v>
      </c>
      <c r="K15" s="13"/>
    </row>
    <row r="16" spans="1:11" ht="15.75" x14ac:dyDescent="0.25">
      <c r="A16" s="3">
        <v>6</v>
      </c>
      <c r="B16" s="3"/>
      <c r="C16" s="80">
        <v>0</v>
      </c>
      <c r="D16" s="5">
        <f t="shared" si="1"/>
        <v>46204</v>
      </c>
      <c r="E16" s="14">
        <v>0</v>
      </c>
      <c r="F16" s="13" t="s">
        <v>18</v>
      </c>
      <c r="G16" s="55"/>
      <c r="H16" s="16">
        <v>0</v>
      </c>
      <c r="I16" s="3" t="s">
        <v>15</v>
      </c>
      <c r="J16" s="5">
        <f t="shared" si="0"/>
        <v>46205</v>
      </c>
      <c r="K16" s="13"/>
    </row>
    <row r="17" spans="1:11" ht="15.75" x14ac:dyDescent="0.25">
      <c r="A17" s="3">
        <v>7</v>
      </c>
      <c r="B17" s="3"/>
      <c r="C17" s="80">
        <v>0</v>
      </c>
      <c r="D17" s="5">
        <f t="shared" si="1"/>
        <v>46204</v>
      </c>
      <c r="E17" s="14">
        <v>0</v>
      </c>
      <c r="F17" s="13" t="s">
        <v>18</v>
      </c>
      <c r="G17" s="55"/>
      <c r="H17" s="16">
        <v>0</v>
      </c>
      <c r="I17" s="3" t="s">
        <v>15</v>
      </c>
      <c r="J17" s="5">
        <f t="shared" si="0"/>
        <v>46205</v>
      </c>
      <c r="K17" s="13"/>
    </row>
    <row r="18" spans="1:11" ht="15.75" x14ac:dyDescent="0.25">
      <c r="A18" s="3">
        <v>8</v>
      </c>
      <c r="B18" s="3"/>
      <c r="C18" s="80">
        <v>0</v>
      </c>
      <c r="D18" s="5">
        <f t="shared" si="1"/>
        <v>46204</v>
      </c>
      <c r="E18" s="14">
        <v>0</v>
      </c>
      <c r="F18" s="13" t="s">
        <v>18</v>
      </c>
      <c r="G18" s="55"/>
      <c r="H18" s="16">
        <v>0</v>
      </c>
      <c r="I18" s="3" t="s">
        <v>15</v>
      </c>
      <c r="J18" s="5">
        <f t="shared" si="0"/>
        <v>46205</v>
      </c>
      <c r="K18" s="13"/>
    </row>
    <row r="19" spans="1:11" ht="15.75" x14ac:dyDescent="0.25">
      <c r="A19" s="3">
        <v>9</v>
      </c>
      <c r="B19" s="3"/>
      <c r="C19" s="80">
        <v>0</v>
      </c>
      <c r="D19" s="5">
        <f t="shared" si="1"/>
        <v>46204</v>
      </c>
      <c r="E19" s="14">
        <v>0</v>
      </c>
      <c r="F19" s="13" t="s">
        <v>18</v>
      </c>
      <c r="G19" s="55"/>
      <c r="H19" s="16">
        <v>0</v>
      </c>
      <c r="I19" s="3" t="s">
        <v>15</v>
      </c>
      <c r="J19" s="5">
        <f t="shared" si="0"/>
        <v>46205</v>
      </c>
      <c r="K19" s="13"/>
    </row>
    <row r="20" spans="1:11" ht="15.75" x14ac:dyDescent="0.25">
      <c r="A20" s="3">
        <v>10</v>
      </c>
      <c r="B20" s="3"/>
      <c r="C20" s="80">
        <v>0</v>
      </c>
      <c r="D20" s="5">
        <f t="shared" si="1"/>
        <v>46204</v>
      </c>
      <c r="E20" s="14">
        <v>0</v>
      </c>
      <c r="F20" s="13" t="s">
        <v>18</v>
      </c>
      <c r="G20" s="55"/>
      <c r="H20" s="16">
        <v>0</v>
      </c>
      <c r="I20" s="3" t="s">
        <v>15</v>
      </c>
      <c r="J20" s="5">
        <f t="shared" si="0"/>
        <v>46205</v>
      </c>
      <c r="K20" s="13"/>
    </row>
    <row r="21" spans="1:11" ht="15.75" x14ac:dyDescent="0.25">
      <c r="A21" s="3">
        <v>11</v>
      </c>
      <c r="B21" s="3"/>
      <c r="C21" s="80">
        <v>0</v>
      </c>
      <c r="D21" s="5">
        <f t="shared" si="1"/>
        <v>46204</v>
      </c>
      <c r="E21" s="14">
        <v>0</v>
      </c>
      <c r="F21" s="13" t="s">
        <v>18</v>
      </c>
      <c r="G21" s="55"/>
      <c r="H21" s="16">
        <v>0</v>
      </c>
      <c r="I21" s="3" t="s">
        <v>15</v>
      </c>
      <c r="J21" s="5">
        <f t="shared" si="0"/>
        <v>46205</v>
      </c>
      <c r="K21" s="13"/>
    </row>
    <row r="22" spans="1:11" ht="18.75" x14ac:dyDescent="0.3">
      <c r="A22" s="3"/>
      <c r="B22" s="17" t="s">
        <v>16</v>
      </c>
      <c r="C22" s="82">
        <f>SUM(C11:C21)</f>
        <v>0</v>
      </c>
      <c r="D22" s="3"/>
      <c r="E22" s="3"/>
      <c r="F22" s="13"/>
      <c r="G22" s="13"/>
      <c r="H22" s="11"/>
      <c r="I22" s="3"/>
      <c r="J22" s="3"/>
      <c r="K22" s="3"/>
    </row>
    <row r="23" spans="1:11" ht="24.75" x14ac:dyDescent="0.5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.75" x14ac:dyDescent="0.3">
      <c r="A24" s="19" t="s">
        <v>3</v>
      </c>
      <c r="B24" s="19" t="s">
        <v>21</v>
      </c>
      <c r="C24" s="5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75" x14ac:dyDescent="0.25">
      <c r="A25" s="8">
        <v>1</v>
      </c>
      <c r="B25" s="8"/>
      <c r="C25" s="75">
        <v>0</v>
      </c>
      <c r="D25" s="5">
        <v>46204</v>
      </c>
      <c r="E25" s="8"/>
      <c r="F25" s="8"/>
      <c r="G25" s="22"/>
      <c r="H25" s="23"/>
      <c r="I25" s="24"/>
      <c r="J25" s="5">
        <v>46204</v>
      </c>
      <c r="K25" s="13"/>
    </row>
    <row r="26" spans="1:11" ht="15.75" x14ac:dyDescent="0.25">
      <c r="A26" s="8">
        <v>2</v>
      </c>
      <c r="B26" s="8"/>
      <c r="C26" s="75">
        <v>0</v>
      </c>
      <c r="D26" s="5">
        <v>46204</v>
      </c>
      <c r="E26" s="8"/>
      <c r="F26" s="8"/>
      <c r="G26" s="22"/>
      <c r="H26" s="23"/>
      <c r="I26" s="24"/>
      <c r="J26" s="5">
        <v>46204</v>
      </c>
      <c r="K26" s="13"/>
    </row>
    <row r="27" spans="1:11" ht="15.75" x14ac:dyDescent="0.25">
      <c r="A27" s="8">
        <v>3</v>
      </c>
      <c r="B27" s="8"/>
      <c r="C27" s="75">
        <v>0</v>
      </c>
      <c r="D27" s="5">
        <v>46204</v>
      </c>
      <c r="E27" s="8"/>
      <c r="F27" s="8"/>
      <c r="G27" s="22"/>
      <c r="H27" s="23"/>
      <c r="I27" s="24"/>
      <c r="J27" s="5">
        <v>46204</v>
      </c>
      <c r="K27" s="13"/>
    </row>
    <row r="28" spans="1:11" ht="15.75" x14ac:dyDescent="0.25">
      <c r="A28" s="8">
        <v>4</v>
      </c>
      <c r="B28" s="8"/>
      <c r="C28" s="75">
        <v>0</v>
      </c>
      <c r="D28" s="5">
        <v>46204</v>
      </c>
      <c r="E28" s="8"/>
      <c r="F28" s="8"/>
      <c r="G28" s="22"/>
      <c r="H28" s="23"/>
      <c r="I28" s="24"/>
      <c r="J28" s="5">
        <v>46204</v>
      </c>
      <c r="K28" s="13"/>
    </row>
    <row r="29" spans="1:11" ht="18.75" x14ac:dyDescent="0.25">
      <c r="A29" s="8"/>
      <c r="B29" s="25" t="s">
        <v>27</v>
      </c>
      <c r="C29" s="83">
        <f>SUM(C25:C28)</f>
        <v>0</v>
      </c>
      <c r="D29" s="3"/>
      <c r="E29" s="8"/>
      <c r="F29" s="8"/>
      <c r="G29" s="8"/>
      <c r="H29" s="27">
        <v>0</v>
      </c>
      <c r="I29" s="24"/>
      <c r="J29" s="3"/>
      <c r="K29" s="28"/>
    </row>
    <row r="30" spans="1:11" x14ac:dyDescent="0.25">
      <c r="C30" s="29"/>
      <c r="H30" s="29"/>
    </row>
    <row r="31" spans="1:11" ht="16.5" x14ac:dyDescent="0.3">
      <c r="B31" s="30" t="s">
        <v>28</v>
      </c>
      <c r="C31" s="76">
        <f>SUM(C14,C19)</f>
        <v>0</v>
      </c>
      <c r="E31" s="32"/>
      <c r="F31" s="32"/>
      <c r="G31" s="116"/>
      <c r="H31" s="116"/>
    </row>
    <row r="32" spans="1:11" ht="16.5" x14ac:dyDescent="0.3">
      <c r="B32" s="33" t="s">
        <v>29</v>
      </c>
      <c r="C32" s="77">
        <f>SUM(C11,C12,C17,C18,C20,C21)</f>
        <v>0</v>
      </c>
      <c r="E32" s="35"/>
      <c r="F32" s="35"/>
      <c r="G32" s="36" t="s">
        <v>30</v>
      </c>
      <c r="H32" s="37"/>
    </row>
    <row r="33" spans="2:10" ht="24" x14ac:dyDescent="0.4">
      <c r="B33" s="38" t="s">
        <v>31</v>
      </c>
      <c r="C33" s="78">
        <f>SUM(C13,C15,C16)</f>
        <v>0</v>
      </c>
      <c r="E33" s="40" t="s">
        <v>32</v>
      </c>
      <c r="F33" s="41"/>
      <c r="G33" s="42"/>
      <c r="H33" s="43"/>
      <c r="I33" s="42"/>
      <c r="J33" s="44"/>
    </row>
    <row r="34" spans="2:10" ht="18.75" x14ac:dyDescent="0.3">
      <c r="B34" s="45" t="s">
        <v>16</v>
      </c>
      <c r="C34" s="79">
        <f>SUM(C31:C33)</f>
        <v>0</v>
      </c>
      <c r="G34" s="36"/>
      <c r="H34" s="37"/>
      <c r="I34" s="36"/>
      <c r="J34" s="36"/>
    </row>
  </sheetData>
  <mergeCells count="6">
    <mergeCell ref="G31:H31"/>
    <mergeCell ref="A1:K1"/>
    <mergeCell ref="A2:K2"/>
    <mergeCell ref="A3:K3"/>
    <mergeCell ref="A10:K10"/>
    <mergeCell ref="A23:K23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F54A6-0CD6-44D0-820B-E63CF94CFCED}">
  <dimension ref="A1:K34"/>
  <sheetViews>
    <sheetView workbookViewId="0">
      <selection sqref="A1:K34"/>
    </sheetView>
  </sheetViews>
  <sheetFormatPr defaultRowHeight="15" x14ac:dyDescent="0.25"/>
  <sheetData>
    <row r="1" spans="1:11" ht="48.75" x14ac:dyDescent="0.25">
      <c r="A1" s="128" t="s">
        <v>458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553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46204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46203</v>
      </c>
      <c r="K5" s="8" t="s">
        <v>33</v>
      </c>
    </row>
    <row r="6" spans="1:11" ht="15.75" x14ac:dyDescent="0.25">
      <c r="A6" s="3">
        <v>2</v>
      </c>
      <c r="B6" s="3"/>
      <c r="C6" s="80">
        <v>0</v>
      </c>
      <c r="D6" s="5">
        <v>46204</v>
      </c>
      <c r="E6" s="6">
        <v>0</v>
      </c>
      <c r="F6" s="3" t="s">
        <v>14</v>
      </c>
      <c r="G6" s="49"/>
      <c r="H6" s="7">
        <v>0</v>
      </c>
      <c r="I6" s="3" t="s">
        <v>15</v>
      </c>
      <c r="J6" s="5">
        <f>+D6-1</f>
        <v>46203</v>
      </c>
      <c r="K6" s="8"/>
    </row>
    <row r="7" spans="1:11" ht="15.75" x14ac:dyDescent="0.25">
      <c r="A7" s="3">
        <v>3</v>
      </c>
      <c r="B7" s="3"/>
      <c r="C7" s="80">
        <v>0</v>
      </c>
      <c r="D7" s="5"/>
      <c r="E7" s="6"/>
      <c r="F7" s="3"/>
      <c r="G7" s="49"/>
      <c r="H7" s="7"/>
      <c r="I7" s="3"/>
      <c r="J7" s="5"/>
      <c r="K7" s="8"/>
    </row>
    <row r="8" spans="1:11" ht="18.75" x14ac:dyDescent="0.3">
      <c r="A8" s="9"/>
      <c r="B8" s="10" t="s">
        <v>16</v>
      </c>
      <c r="C8" s="81">
        <f>SUM(C5:C7)</f>
        <v>0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4" x14ac:dyDescent="0.4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75" x14ac:dyDescent="0.25">
      <c r="A11" s="3">
        <v>1</v>
      </c>
      <c r="B11" s="3"/>
      <c r="C11" s="80">
        <v>0</v>
      </c>
      <c r="D11" s="5">
        <v>46204</v>
      </c>
      <c r="E11" s="14">
        <v>0</v>
      </c>
      <c r="F11" s="13" t="s">
        <v>18</v>
      </c>
      <c r="G11" s="55"/>
      <c r="H11" s="16">
        <v>0</v>
      </c>
      <c r="I11" s="3" t="s">
        <v>19</v>
      </c>
      <c r="J11" s="5">
        <f t="shared" ref="J11:J21" si="0">+D11+1</f>
        <v>46205</v>
      </c>
      <c r="K11" s="13"/>
    </row>
    <row r="12" spans="1:11" ht="15.75" x14ac:dyDescent="0.25">
      <c r="A12" s="3">
        <v>2</v>
      </c>
      <c r="B12" s="3"/>
      <c r="C12" s="80">
        <v>0</v>
      </c>
      <c r="D12" s="5">
        <f t="shared" ref="D12:D21" si="1">+D11</f>
        <v>46204</v>
      </c>
      <c r="E12" s="14">
        <v>0</v>
      </c>
      <c r="F12" s="13" t="s">
        <v>18</v>
      </c>
      <c r="G12" s="55"/>
      <c r="H12" s="16">
        <v>0</v>
      </c>
      <c r="I12" s="3" t="s">
        <v>15</v>
      </c>
      <c r="J12" s="5">
        <f t="shared" si="0"/>
        <v>46205</v>
      </c>
      <c r="K12" s="13"/>
    </row>
    <row r="13" spans="1:11" ht="15.75" x14ac:dyDescent="0.25">
      <c r="A13" s="3">
        <v>3</v>
      </c>
      <c r="B13" s="3"/>
      <c r="C13" s="80">
        <v>0</v>
      </c>
      <c r="D13" s="5">
        <f t="shared" si="1"/>
        <v>46204</v>
      </c>
      <c r="E13" s="14">
        <v>0</v>
      </c>
      <c r="F13" s="13" t="s">
        <v>18</v>
      </c>
      <c r="G13" s="55"/>
      <c r="H13" s="16">
        <v>0</v>
      </c>
      <c r="I13" s="3" t="s">
        <v>15</v>
      </c>
      <c r="J13" s="5">
        <f t="shared" si="0"/>
        <v>46205</v>
      </c>
      <c r="K13" s="13"/>
    </row>
    <row r="14" spans="1:11" ht="15.75" x14ac:dyDescent="0.25">
      <c r="A14" s="3">
        <v>4</v>
      </c>
      <c r="B14" s="3"/>
      <c r="C14" s="80">
        <v>0</v>
      </c>
      <c r="D14" s="5">
        <f t="shared" si="1"/>
        <v>46204</v>
      </c>
      <c r="E14" s="14">
        <v>0</v>
      </c>
      <c r="F14" s="13" t="s">
        <v>18</v>
      </c>
      <c r="G14" s="55"/>
      <c r="H14" s="16">
        <v>0</v>
      </c>
      <c r="I14" s="3" t="s">
        <v>15</v>
      </c>
      <c r="J14" s="5">
        <f t="shared" si="0"/>
        <v>46205</v>
      </c>
      <c r="K14" s="13"/>
    </row>
    <row r="15" spans="1:11" ht="15.75" x14ac:dyDescent="0.25">
      <c r="A15" s="3">
        <v>5</v>
      </c>
      <c r="B15" s="3"/>
      <c r="C15" s="80">
        <v>0</v>
      </c>
      <c r="D15" s="5">
        <f t="shared" si="1"/>
        <v>46204</v>
      </c>
      <c r="E15" s="14">
        <v>0</v>
      </c>
      <c r="F15" s="13" t="s">
        <v>18</v>
      </c>
      <c r="G15" s="55"/>
      <c r="H15" s="16">
        <v>0</v>
      </c>
      <c r="I15" s="3" t="s">
        <v>15</v>
      </c>
      <c r="J15" s="5">
        <f t="shared" si="0"/>
        <v>46205</v>
      </c>
      <c r="K15" s="13"/>
    </row>
    <row r="16" spans="1:11" ht="15.75" x14ac:dyDescent="0.25">
      <c r="A16" s="3">
        <v>6</v>
      </c>
      <c r="B16" s="3"/>
      <c r="C16" s="80">
        <v>0</v>
      </c>
      <c r="D16" s="5">
        <f t="shared" si="1"/>
        <v>46204</v>
      </c>
      <c r="E16" s="14">
        <v>0</v>
      </c>
      <c r="F16" s="13" t="s">
        <v>18</v>
      </c>
      <c r="G16" s="55"/>
      <c r="H16" s="16">
        <v>0</v>
      </c>
      <c r="I16" s="3" t="s">
        <v>15</v>
      </c>
      <c r="J16" s="5">
        <f t="shared" si="0"/>
        <v>46205</v>
      </c>
      <c r="K16" s="13"/>
    </row>
    <row r="17" spans="1:11" ht="15.75" x14ac:dyDescent="0.25">
      <c r="A17" s="3">
        <v>7</v>
      </c>
      <c r="B17" s="3"/>
      <c r="C17" s="80">
        <v>0</v>
      </c>
      <c r="D17" s="5">
        <f t="shared" si="1"/>
        <v>46204</v>
      </c>
      <c r="E17" s="14">
        <v>0</v>
      </c>
      <c r="F17" s="13" t="s">
        <v>18</v>
      </c>
      <c r="G17" s="55"/>
      <c r="H17" s="16">
        <v>0</v>
      </c>
      <c r="I17" s="3" t="s">
        <v>15</v>
      </c>
      <c r="J17" s="5">
        <f t="shared" si="0"/>
        <v>46205</v>
      </c>
      <c r="K17" s="13"/>
    </row>
    <row r="18" spans="1:11" ht="15.75" x14ac:dyDescent="0.25">
      <c r="A18" s="3">
        <v>8</v>
      </c>
      <c r="B18" s="3"/>
      <c r="C18" s="80">
        <v>0</v>
      </c>
      <c r="D18" s="5">
        <f t="shared" si="1"/>
        <v>46204</v>
      </c>
      <c r="E18" s="14">
        <v>0</v>
      </c>
      <c r="F18" s="13" t="s">
        <v>18</v>
      </c>
      <c r="G18" s="55"/>
      <c r="H18" s="16">
        <v>0</v>
      </c>
      <c r="I18" s="3" t="s">
        <v>15</v>
      </c>
      <c r="J18" s="5">
        <f t="shared" si="0"/>
        <v>46205</v>
      </c>
      <c r="K18" s="13"/>
    </row>
    <row r="19" spans="1:11" ht="15.75" x14ac:dyDescent="0.25">
      <c r="A19" s="3">
        <v>9</v>
      </c>
      <c r="B19" s="3"/>
      <c r="C19" s="80">
        <v>0</v>
      </c>
      <c r="D19" s="5">
        <f t="shared" si="1"/>
        <v>46204</v>
      </c>
      <c r="E19" s="14">
        <v>0</v>
      </c>
      <c r="F19" s="13" t="s">
        <v>18</v>
      </c>
      <c r="G19" s="55"/>
      <c r="H19" s="16">
        <v>0</v>
      </c>
      <c r="I19" s="3" t="s">
        <v>15</v>
      </c>
      <c r="J19" s="5">
        <f t="shared" si="0"/>
        <v>46205</v>
      </c>
      <c r="K19" s="13"/>
    </row>
    <row r="20" spans="1:11" ht="15.75" x14ac:dyDescent="0.25">
      <c r="A20" s="3">
        <v>10</v>
      </c>
      <c r="B20" s="3"/>
      <c r="C20" s="80">
        <v>0</v>
      </c>
      <c r="D20" s="5">
        <f t="shared" si="1"/>
        <v>46204</v>
      </c>
      <c r="E20" s="14">
        <v>0</v>
      </c>
      <c r="F20" s="13" t="s">
        <v>18</v>
      </c>
      <c r="G20" s="55"/>
      <c r="H20" s="16">
        <v>0</v>
      </c>
      <c r="I20" s="3" t="s">
        <v>15</v>
      </c>
      <c r="J20" s="5">
        <f t="shared" si="0"/>
        <v>46205</v>
      </c>
      <c r="K20" s="13"/>
    </row>
    <row r="21" spans="1:11" ht="15.75" x14ac:dyDescent="0.25">
      <c r="A21" s="3">
        <v>11</v>
      </c>
      <c r="B21" s="3"/>
      <c r="C21" s="80">
        <v>0</v>
      </c>
      <c r="D21" s="5">
        <f t="shared" si="1"/>
        <v>46204</v>
      </c>
      <c r="E21" s="14">
        <v>0</v>
      </c>
      <c r="F21" s="13" t="s">
        <v>18</v>
      </c>
      <c r="G21" s="55"/>
      <c r="H21" s="16">
        <v>0</v>
      </c>
      <c r="I21" s="3" t="s">
        <v>15</v>
      </c>
      <c r="J21" s="5">
        <f t="shared" si="0"/>
        <v>46205</v>
      </c>
      <c r="K21" s="13"/>
    </row>
    <row r="22" spans="1:11" ht="18.75" x14ac:dyDescent="0.3">
      <c r="A22" s="3"/>
      <c r="B22" s="17" t="s">
        <v>16</v>
      </c>
      <c r="C22" s="82">
        <f>SUM(C11:C21)</f>
        <v>0</v>
      </c>
      <c r="D22" s="3"/>
      <c r="E22" s="3"/>
      <c r="F22" s="13"/>
      <c r="G22" s="13"/>
      <c r="H22" s="11"/>
      <c r="I22" s="3"/>
      <c r="J22" s="3"/>
      <c r="K22" s="3"/>
    </row>
    <row r="23" spans="1:11" ht="24.75" x14ac:dyDescent="0.5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.75" x14ac:dyDescent="0.3">
      <c r="A24" s="19" t="s">
        <v>3</v>
      </c>
      <c r="B24" s="19" t="s">
        <v>21</v>
      </c>
      <c r="C24" s="5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75" x14ac:dyDescent="0.25">
      <c r="A25" s="8">
        <v>1</v>
      </c>
      <c r="B25" s="8"/>
      <c r="C25" s="75">
        <v>0</v>
      </c>
      <c r="D25" s="5">
        <v>46204</v>
      </c>
      <c r="E25" s="8"/>
      <c r="F25" s="8"/>
      <c r="G25" s="22"/>
      <c r="H25" s="23"/>
      <c r="I25" s="24"/>
      <c r="J25" s="5">
        <v>46204</v>
      </c>
      <c r="K25" s="13"/>
    </row>
    <row r="26" spans="1:11" ht="15.75" x14ac:dyDescent="0.25">
      <c r="A26" s="8">
        <v>2</v>
      </c>
      <c r="B26" s="8"/>
      <c r="C26" s="75">
        <v>0</v>
      </c>
      <c r="D26" s="5">
        <v>46204</v>
      </c>
      <c r="E26" s="8"/>
      <c r="F26" s="8"/>
      <c r="G26" s="22"/>
      <c r="H26" s="23"/>
      <c r="I26" s="24"/>
      <c r="J26" s="5">
        <v>46204</v>
      </c>
      <c r="K26" s="13"/>
    </row>
    <row r="27" spans="1:11" ht="15.75" x14ac:dyDescent="0.25">
      <c r="A27" s="8">
        <v>3</v>
      </c>
      <c r="B27" s="8"/>
      <c r="C27" s="75">
        <v>0</v>
      </c>
      <c r="D27" s="5">
        <v>46204</v>
      </c>
      <c r="E27" s="8"/>
      <c r="F27" s="8"/>
      <c r="G27" s="22"/>
      <c r="H27" s="23"/>
      <c r="I27" s="24"/>
      <c r="J27" s="5">
        <v>46204</v>
      </c>
      <c r="K27" s="13"/>
    </row>
    <row r="28" spans="1:11" ht="15.75" x14ac:dyDescent="0.25">
      <c r="A28" s="8">
        <v>4</v>
      </c>
      <c r="B28" s="8"/>
      <c r="C28" s="75">
        <v>0</v>
      </c>
      <c r="D28" s="5">
        <v>46204</v>
      </c>
      <c r="E28" s="8"/>
      <c r="F28" s="8"/>
      <c r="G28" s="22"/>
      <c r="H28" s="23"/>
      <c r="I28" s="24"/>
      <c r="J28" s="5">
        <v>46204</v>
      </c>
      <c r="K28" s="13"/>
    </row>
    <row r="29" spans="1:11" ht="18.75" x14ac:dyDescent="0.25">
      <c r="A29" s="8"/>
      <c r="B29" s="25" t="s">
        <v>27</v>
      </c>
      <c r="C29" s="83">
        <f>SUM(C25:C28)</f>
        <v>0</v>
      </c>
      <c r="D29" s="3"/>
      <c r="E29" s="8"/>
      <c r="F29" s="8"/>
      <c r="G29" s="8"/>
      <c r="H29" s="27">
        <v>0</v>
      </c>
      <c r="I29" s="24"/>
      <c r="J29" s="3"/>
      <c r="K29" s="28"/>
    </row>
    <row r="30" spans="1:11" x14ac:dyDescent="0.25">
      <c r="C30" s="29"/>
      <c r="H30" s="29"/>
    </row>
    <row r="31" spans="1:11" ht="16.5" x14ac:dyDescent="0.3">
      <c r="B31" s="30" t="s">
        <v>28</v>
      </c>
      <c r="C31" s="76">
        <f>SUM(C14,C19)</f>
        <v>0</v>
      </c>
      <c r="E31" s="32"/>
      <c r="F31" s="32"/>
      <c r="G31" s="116"/>
      <c r="H31" s="116"/>
    </row>
    <row r="32" spans="1:11" ht="16.5" x14ac:dyDescent="0.3">
      <c r="B32" s="33" t="s">
        <v>29</v>
      </c>
      <c r="C32" s="77">
        <f>SUM(C11,C12,C17,C18,C20,C21)</f>
        <v>0</v>
      </c>
      <c r="E32" s="35"/>
      <c r="F32" s="35"/>
      <c r="G32" s="36" t="s">
        <v>30</v>
      </c>
      <c r="H32" s="37"/>
    </row>
    <row r="33" spans="2:10" ht="24" x14ac:dyDescent="0.4">
      <c r="B33" s="38" t="s">
        <v>31</v>
      </c>
      <c r="C33" s="78">
        <f>SUM(C13,C15,C16)</f>
        <v>0</v>
      </c>
      <c r="E33" s="40" t="s">
        <v>32</v>
      </c>
      <c r="F33" s="41"/>
      <c r="G33" s="42"/>
      <c r="H33" s="43"/>
      <c r="I33" s="42"/>
      <c r="J33" s="44"/>
    </row>
    <row r="34" spans="2:10" ht="18.75" x14ac:dyDescent="0.3">
      <c r="B34" s="45" t="s">
        <v>16</v>
      </c>
      <c r="C34" s="79">
        <f>SUM(C31:C33)</f>
        <v>0</v>
      </c>
      <c r="G34" s="36"/>
      <c r="H34" s="37"/>
      <c r="I34" s="36"/>
      <c r="J34" s="36"/>
    </row>
  </sheetData>
  <mergeCells count="6">
    <mergeCell ref="G31:H31"/>
    <mergeCell ref="A1:K1"/>
    <mergeCell ref="A2:K2"/>
    <mergeCell ref="A3:K3"/>
    <mergeCell ref="A10:K10"/>
    <mergeCell ref="A23:K23"/>
  </mergeCell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EB71C-34E6-4712-A613-C030CB08B8C0}">
  <dimension ref="A1:K34"/>
  <sheetViews>
    <sheetView workbookViewId="0">
      <selection sqref="A1:K34"/>
    </sheetView>
  </sheetViews>
  <sheetFormatPr defaultRowHeight="15" x14ac:dyDescent="0.25"/>
  <sheetData>
    <row r="1" spans="1:11" ht="48.75" x14ac:dyDescent="0.25">
      <c r="A1" s="128" t="s">
        <v>458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553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46204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46203</v>
      </c>
      <c r="K5" s="8" t="s">
        <v>33</v>
      </c>
    </row>
    <row r="6" spans="1:11" ht="15.75" x14ac:dyDescent="0.25">
      <c r="A6" s="3">
        <v>2</v>
      </c>
      <c r="B6" s="3"/>
      <c r="C6" s="80">
        <v>0</v>
      </c>
      <c r="D6" s="5">
        <v>46204</v>
      </c>
      <c r="E6" s="6">
        <v>0</v>
      </c>
      <c r="F6" s="3" t="s">
        <v>14</v>
      </c>
      <c r="G6" s="49"/>
      <c r="H6" s="7">
        <v>0</v>
      </c>
      <c r="I6" s="3" t="s">
        <v>15</v>
      </c>
      <c r="J6" s="5">
        <f>+D6-1</f>
        <v>46203</v>
      </c>
      <c r="K6" s="8"/>
    </row>
    <row r="7" spans="1:11" ht="15.75" x14ac:dyDescent="0.25">
      <c r="A7" s="3">
        <v>3</v>
      </c>
      <c r="B7" s="3"/>
      <c r="C7" s="80">
        <v>0</v>
      </c>
      <c r="D7" s="5"/>
      <c r="E7" s="6"/>
      <c r="F7" s="3"/>
      <c r="G7" s="49"/>
      <c r="H7" s="7"/>
      <c r="I7" s="3"/>
      <c r="J7" s="5"/>
      <c r="K7" s="8"/>
    </row>
    <row r="8" spans="1:11" ht="18.75" x14ac:dyDescent="0.3">
      <c r="A8" s="9"/>
      <c r="B8" s="10" t="s">
        <v>16</v>
      </c>
      <c r="C8" s="81">
        <f>SUM(C5:C7)</f>
        <v>0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4" x14ac:dyDescent="0.4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75" x14ac:dyDescent="0.25">
      <c r="A11" s="3">
        <v>1</v>
      </c>
      <c r="B11" s="3"/>
      <c r="C11" s="80">
        <v>0</v>
      </c>
      <c r="D11" s="5">
        <v>46204</v>
      </c>
      <c r="E11" s="14">
        <v>0</v>
      </c>
      <c r="F11" s="13" t="s">
        <v>18</v>
      </c>
      <c r="G11" s="55"/>
      <c r="H11" s="16">
        <v>0</v>
      </c>
      <c r="I11" s="3" t="s">
        <v>19</v>
      </c>
      <c r="J11" s="5">
        <f t="shared" ref="J11:J21" si="0">+D11+1</f>
        <v>46205</v>
      </c>
      <c r="K11" s="13"/>
    </row>
    <row r="12" spans="1:11" ht="15.75" x14ac:dyDescent="0.25">
      <c r="A12" s="3">
        <v>2</v>
      </c>
      <c r="B12" s="3"/>
      <c r="C12" s="80">
        <v>0</v>
      </c>
      <c r="D12" s="5">
        <f t="shared" ref="D12:D21" si="1">+D11</f>
        <v>46204</v>
      </c>
      <c r="E12" s="14">
        <v>0</v>
      </c>
      <c r="F12" s="13" t="s">
        <v>18</v>
      </c>
      <c r="G12" s="55"/>
      <c r="H12" s="16">
        <v>0</v>
      </c>
      <c r="I12" s="3" t="s">
        <v>15</v>
      </c>
      <c r="J12" s="5">
        <f t="shared" si="0"/>
        <v>46205</v>
      </c>
      <c r="K12" s="13"/>
    </row>
    <row r="13" spans="1:11" ht="15.75" x14ac:dyDescent="0.25">
      <c r="A13" s="3">
        <v>3</v>
      </c>
      <c r="B13" s="3"/>
      <c r="C13" s="80">
        <v>0</v>
      </c>
      <c r="D13" s="5">
        <f t="shared" si="1"/>
        <v>46204</v>
      </c>
      <c r="E13" s="14">
        <v>0</v>
      </c>
      <c r="F13" s="13" t="s">
        <v>18</v>
      </c>
      <c r="G13" s="55"/>
      <c r="H13" s="16">
        <v>0</v>
      </c>
      <c r="I13" s="3" t="s">
        <v>15</v>
      </c>
      <c r="J13" s="5">
        <f t="shared" si="0"/>
        <v>46205</v>
      </c>
      <c r="K13" s="13"/>
    </row>
    <row r="14" spans="1:11" ht="15.75" x14ac:dyDescent="0.25">
      <c r="A14" s="3">
        <v>4</v>
      </c>
      <c r="B14" s="3"/>
      <c r="C14" s="80">
        <v>0</v>
      </c>
      <c r="D14" s="5">
        <f t="shared" si="1"/>
        <v>46204</v>
      </c>
      <c r="E14" s="14">
        <v>0</v>
      </c>
      <c r="F14" s="13" t="s">
        <v>18</v>
      </c>
      <c r="G14" s="55"/>
      <c r="H14" s="16">
        <v>0</v>
      </c>
      <c r="I14" s="3" t="s">
        <v>15</v>
      </c>
      <c r="J14" s="5">
        <f t="shared" si="0"/>
        <v>46205</v>
      </c>
      <c r="K14" s="13"/>
    </row>
    <row r="15" spans="1:11" ht="15.75" x14ac:dyDescent="0.25">
      <c r="A15" s="3">
        <v>5</v>
      </c>
      <c r="B15" s="3"/>
      <c r="C15" s="80">
        <v>0</v>
      </c>
      <c r="D15" s="5">
        <f t="shared" si="1"/>
        <v>46204</v>
      </c>
      <c r="E15" s="14">
        <v>0</v>
      </c>
      <c r="F15" s="13" t="s">
        <v>18</v>
      </c>
      <c r="G15" s="55"/>
      <c r="H15" s="16">
        <v>0</v>
      </c>
      <c r="I15" s="3" t="s">
        <v>15</v>
      </c>
      <c r="J15" s="5">
        <f t="shared" si="0"/>
        <v>46205</v>
      </c>
      <c r="K15" s="13"/>
    </row>
    <row r="16" spans="1:11" ht="15.75" x14ac:dyDescent="0.25">
      <c r="A16" s="3">
        <v>6</v>
      </c>
      <c r="B16" s="3"/>
      <c r="C16" s="80">
        <v>0</v>
      </c>
      <c r="D16" s="5">
        <f t="shared" si="1"/>
        <v>46204</v>
      </c>
      <c r="E16" s="14">
        <v>0</v>
      </c>
      <c r="F16" s="13" t="s">
        <v>18</v>
      </c>
      <c r="G16" s="55"/>
      <c r="H16" s="16">
        <v>0</v>
      </c>
      <c r="I16" s="3" t="s">
        <v>15</v>
      </c>
      <c r="J16" s="5">
        <f t="shared" si="0"/>
        <v>46205</v>
      </c>
      <c r="K16" s="13"/>
    </row>
    <row r="17" spans="1:11" ht="15.75" x14ac:dyDescent="0.25">
      <c r="A17" s="3">
        <v>7</v>
      </c>
      <c r="B17" s="3"/>
      <c r="C17" s="80">
        <v>0</v>
      </c>
      <c r="D17" s="5">
        <f t="shared" si="1"/>
        <v>46204</v>
      </c>
      <c r="E17" s="14">
        <v>0</v>
      </c>
      <c r="F17" s="13" t="s">
        <v>18</v>
      </c>
      <c r="G17" s="55"/>
      <c r="H17" s="16">
        <v>0</v>
      </c>
      <c r="I17" s="3" t="s">
        <v>15</v>
      </c>
      <c r="J17" s="5">
        <f t="shared" si="0"/>
        <v>46205</v>
      </c>
      <c r="K17" s="13"/>
    </row>
    <row r="18" spans="1:11" ht="15.75" x14ac:dyDescent="0.25">
      <c r="A18" s="3">
        <v>8</v>
      </c>
      <c r="B18" s="3"/>
      <c r="C18" s="80">
        <v>0</v>
      </c>
      <c r="D18" s="5">
        <f t="shared" si="1"/>
        <v>46204</v>
      </c>
      <c r="E18" s="14">
        <v>0</v>
      </c>
      <c r="F18" s="13" t="s">
        <v>18</v>
      </c>
      <c r="G18" s="55"/>
      <c r="H18" s="16">
        <v>0</v>
      </c>
      <c r="I18" s="3" t="s">
        <v>15</v>
      </c>
      <c r="J18" s="5">
        <f t="shared" si="0"/>
        <v>46205</v>
      </c>
      <c r="K18" s="13"/>
    </row>
    <row r="19" spans="1:11" ht="15.75" x14ac:dyDescent="0.25">
      <c r="A19" s="3">
        <v>9</v>
      </c>
      <c r="B19" s="3"/>
      <c r="C19" s="80">
        <v>0</v>
      </c>
      <c r="D19" s="5">
        <f t="shared" si="1"/>
        <v>46204</v>
      </c>
      <c r="E19" s="14">
        <v>0</v>
      </c>
      <c r="F19" s="13" t="s">
        <v>18</v>
      </c>
      <c r="G19" s="55"/>
      <c r="H19" s="16">
        <v>0</v>
      </c>
      <c r="I19" s="3" t="s">
        <v>15</v>
      </c>
      <c r="J19" s="5">
        <f t="shared" si="0"/>
        <v>46205</v>
      </c>
      <c r="K19" s="13"/>
    </row>
    <row r="20" spans="1:11" ht="15.75" x14ac:dyDescent="0.25">
      <c r="A20" s="3">
        <v>10</v>
      </c>
      <c r="B20" s="3"/>
      <c r="C20" s="80">
        <v>0</v>
      </c>
      <c r="D20" s="5">
        <f t="shared" si="1"/>
        <v>46204</v>
      </c>
      <c r="E20" s="14">
        <v>0</v>
      </c>
      <c r="F20" s="13" t="s">
        <v>18</v>
      </c>
      <c r="G20" s="55"/>
      <c r="H20" s="16">
        <v>0</v>
      </c>
      <c r="I20" s="3" t="s">
        <v>15</v>
      </c>
      <c r="J20" s="5">
        <f t="shared" si="0"/>
        <v>46205</v>
      </c>
      <c r="K20" s="13"/>
    </row>
    <row r="21" spans="1:11" ht="15.75" x14ac:dyDescent="0.25">
      <c r="A21" s="3">
        <v>11</v>
      </c>
      <c r="B21" s="3"/>
      <c r="C21" s="80">
        <v>0</v>
      </c>
      <c r="D21" s="5">
        <f t="shared" si="1"/>
        <v>46204</v>
      </c>
      <c r="E21" s="14">
        <v>0</v>
      </c>
      <c r="F21" s="13" t="s">
        <v>18</v>
      </c>
      <c r="G21" s="55"/>
      <c r="H21" s="16">
        <v>0</v>
      </c>
      <c r="I21" s="3" t="s">
        <v>15</v>
      </c>
      <c r="J21" s="5">
        <f t="shared" si="0"/>
        <v>46205</v>
      </c>
      <c r="K21" s="13"/>
    </row>
    <row r="22" spans="1:11" ht="18.75" x14ac:dyDescent="0.3">
      <c r="A22" s="3"/>
      <c r="B22" s="17" t="s">
        <v>16</v>
      </c>
      <c r="C22" s="82">
        <f>SUM(C11:C21)</f>
        <v>0</v>
      </c>
      <c r="D22" s="3"/>
      <c r="E22" s="3"/>
      <c r="F22" s="13"/>
      <c r="G22" s="13"/>
      <c r="H22" s="11"/>
      <c r="I22" s="3"/>
      <c r="J22" s="3"/>
      <c r="K22" s="3"/>
    </row>
    <row r="23" spans="1:11" ht="24.75" x14ac:dyDescent="0.5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.75" x14ac:dyDescent="0.3">
      <c r="A24" s="19" t="s">
        <v>3</v>
      </c>
      <c r="B24" s="19" t="s">
        <v>21</v>
      </c>
      <c r="C24" s="5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75" x14ac:dyDescent="0.25">
      <c r="A25" s="8">
        <v>1</v>
      </c>
      <c r="B25" s="8"/>
      <c r="C25" s="75">
        <v>0</v>
      </c>
      <c r="D25" s="5">
        <v>46204</v>
      </c>
      <c r="E25" s="8"/>
      <c r="F25" s="8"/>
      <c r="G25" s="22"/>
      <c r="H25" s="23"/>
      <c r="I25" s="24"/>
      <c r="J25" s="5">
        <v>46204</v>
      </c>
      <c r="K25" s="13"/>
    </row>
    <row r="26" spans="1:11" ht="15.75" x14ac:dyDescent="0.25">
      <c r="A26" s="8">
        <v>2</v>
      </c>
      <c r="B26" s="8"/>
      <c r="C26" s="75">
        <v>0</v>
      </c>
      <c r="D26" s="5">
        <v>46204</v>
      </c>
      <c r="E26" s="8"/>
      <c r="F26" s="8"/>
      <c r="G26" s="22"/>
      <c r="H26" s="23"/>
      <c r="I26" s="24"/>
      <c r="J26" s="5">
        <v>46204</v>
      </c>
      <c r="K26" s="13"/>
    </row>
    <row r="27" spans="1:11" ht="15.75" x14ac:dyDescent="0.25">
      <c r="A27" s="8">
        <v>3</v>
      </c>
      <c r="B27" s="8"/>
      <c r="C27" s="75">
        <v>0</v>
      </c>
      <c r="D27" s="5">
        <v>46204</v>
      </c>
      <c r="E27" s="8"/>
      <c r="F27" s="8"/>
      <c r="G27" s="22"/>
      <c r="H27" s="23"/>
      <c r="I27" s="24"/>
      <c r="J27" s="5">
        <v>46204</v>
      </c>
      <c r="K27" s="13"/>
    </row>
    <row r="28" spans="1:11" ht="15.75" x14ac:dyDescent="0.25">
      <c r="A28" s="8">
        <v>4</v>
      </c>
      <c r="B28" s="8"/>
      <c r="C28" s="75">
        <v>0</v>
      </c>
      <c r="D28" s="5">
        <v>46204</v>
      </c>
      <c r="E28" s="8"/>
      <c r="F28" s="8"/>
      <c r="G28" s="22"/>
      <c r="H28" s="23"/>
      <c r="I28" s="24"/>
      <c r="J28" s="5">
        <v>46204</v>
      </c>
      <c r="K28" s="13"/>
    </row>
    <row r="29" spans="1:11" ht="18.75" x14ac:dyDescent="0.25">
      <c r="A29" s="8"/>
      <c r="B29" s="25" t="s">
        <v>27</v>
      </c>
      <c r="C29" s="83">
        <f>SUM(C25:C28)</f>
        <v>0</v>
      </c>
      <c r="D29" s="3"/>
      <c r="E29" s="8"/>
      <c r="F29" s="8"/>
      <c r="G29" s="8"/>
      <c r="H29" s="27">
        <v>0</v>
      </c>
      <c r="I29" s="24"/>
      <c r="J29" s="3"/>
      <c r="K29" s="28"/>
    </row>
    <row r="30" spans="1:11" x14ac:dyDescent="0.25">
      <c r="C30" s="29"/>
      <c r="H30" s="29"/>
    </row>
    <row r="31" spans="1:11" ht="16.5" x14ac:dyDescent="0.3">
      <c r="B31" s="30" t="s">
        <v>28</v>
      </c>
      <c r="C31" s="76">
        <f>SUM(C14,C19)</f>
        <v>0</v>
      </c>
      <c r="E31" s="32"/>
      <c r="F31" s="32"/>
      <c r="G31" s="116"/>
      <c r="H31" s="116"/>
    </row>
    <row r="32" spans="1:11" ht="16.5" x14ac:dyDescent="0.3">
      <c r="B32" s="33" t="s">
        <v>29</v>
      </c>
      <c r="C32" s="77">
        <f>SUM(C11,C12,C17,C18,C20,C21)</f>
        <v>0</v>
      </c>
      <c r="E32" s="35"/>
      <c r="F32" s="35"/>
      <c r="G32" s="36" t="s">
        <v>30</v>
      </c>
      <c r="H32" s="37"/>
    </row>
    <row r="33" spans="2:10" ht="24" x14ac:dyDescent="0.4">
      <c r="B33" s="38" t="s">
        <v>31</v>
      </c>
      <c r="C33" s="78">
        <f>SUM(C13,C15,C16)</f>
        <v>0</v>
      </c>
      <c r="E33" s="40" t="s">
        <v>32</v>
      </c>
      <c r="F33" s="41"/>
      <c r="G33" s="42"/>
      <c r="H33" s="43"/>
      <c r="I33" s="42"/>
      <c r="J33" s="44"/>
    </row>
    <row r="34" spans="2:10" ht="18.75" x14ac:dyDescent="0.3">
      <c r="B34" s="45" t="s">
        <v>16</v>
      </c>
      <c r="C34" s="79">
        <f>SUM(C31:C33)</f>
        <v>0</v>
      </c>
      <c r="G34" s="36"/>
      <c r="H34" s="37"/>
      <c r="I34" s="36"/>
      <c r="J34" s="36"/>
    </row>
  </sheetData>
  <mergeCells count="6">
    <mergeCell ref="G31:H31"/>
    <mergeCell ref="A1:K1"/>
    <mergeCell ref="A2:K2"/>
    <mergeCell ref="A3:K3"/>
    <mergeCell ref="A10:K10"/>
    <mergeCell ref="A23:K23"/>
  </mergeCell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58506-F97C-44D4-9776-257436CC9BD5}">
  <dimension ref="A1:K34"/>
  <sheetViews>
    <sheetView workbookViewId="0">
      <selection sqref="A1:K34"/>
    </sheetView>
  </sheetViews>
  <sheetFormatPr defaultRowHeight="15" x14ac:dyDescent="0.25"/>
  <sheetData>
    <row r="1" spans="1:11" ht="48.75" x14ac:dyDescent="0.25">
      <c r="A1" s="128" t="s">
        <v>458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553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46204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46203</v>
      </c>
      <c r="K5" s="8" t="s">
        <v>33</v>
      </c>
    </row>
    <row r="6" spans="1:11" ht="15.75" x14ac:dyDescent="0.25">
      <c r="A6" s="3">
        <v>2</v>
      </c>
      <c r="B6" s="3"/>
      <c r="C6" s="80">
        <v>0</v>
      </c>
      <c r="D6" s="5">
        <v>46204</v>
      </c>
      <c r="E6" s="6">
        <v>0</v>
      </c>
      <c r="F6" s="3" t="s">
        <v>14</v>
      </c>
      <c r="G6" s="49"/>
      <c r="H6" s="7">
        <v>0</v>
      </c>
      <c r="I6" s="3" t="s">
        <v>15</v>
      </c>
      <c r="J6" s="5">
        <f>+D6-1</f>
        <v>46203</v>
      </c>
      <c r="K6" s="8"/>
    </row>
    <row r="7" spans="1:11" ht="15.75" x14ac:dyDescent="0.25">
      <c r="A7" s="3">
        <v>3</v>
      </c>
      <c r="B7" s="3"/>
      <c r="C7" s="80">
        <v>0</v>
      </c>
      <c r="D7" s="5"/>
      <c r="E7" s="6"/>
      <c r="F7" s="3"/>
      <c r="G7" s="49"/>
      <c r="H7" s="7"/>
      <c r="I7" s="3"/>
      <c r="J7" s="5"/>
      <c r="K7" s="8"/>
    </row>
    <row r="8" spans="1:11" ht="18.75" x14ac:dyDescent="0.3">
      <c r="A8" s="9"/>
      <c r="B8" s="10" t="s">
        <v>16</v>
      </c>
      <c r="C8" s="81">
        <f>SUM(C5:C7)</f>
        <v>0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4" x14ac:dyDescent="0.4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75" x14ac:dyDescent="0.25">
      <c r="A11" s="3">
        <v>1</v>
      </c>
      <c r="B11" s="3"/>
      <c r="C11" s="80">
        <v>0</v>
      </c>
      <c r="D11" s="5">
        <v>46204</v>
      </c>
      <c r="E11" s="14">
        <v>0</v>
      </c>
      <c r="F11" s="13" t="s">
        <v>18</v>
      </c>
      <c r="G11" s="55"/>
      <c r="H11" s="16">
        <v>0</v>
      </c>
      <c r="I11" s="3" t="s">
        <v>19</v>
      </c>
      <c r="J11" s="5">
        <f t="shared" ref="J11:J21" si="0">+D11+1</f>
        <v>46205</v>
      </c>
      <c r="K11" s="13"/>
    </row>
    <row r="12" spans="1:11" ht="15.75" x14ac:dyDescent="0.25">
      <c r="A12" s="3">
        <v>2</v>
      </c>
      <c r="B12" s="3"/>
      <c r="C12" s="80">
        <v>0</v>
      </c>
      <c r="D12" s="5">
        <f t="shared" ref="D12:D21" si="1">+D11</f>
        <v>46204</v>
      </c>
      <c r="E12" s="14">
        <v>0</v>
      </c>
      <c r="F12" s="13" t="s">
        <v>18</v>
      </c>
      <c r="G12" s="55"/>
      <c r="H12" s="16">
        <v>0</v>
      </c>
      <c r="I12" s="3" t="s">
        <v>15</v>
      </c>
      <c r="J12" s="5">
        <f t="shared" si="0"/>
        <v>46205</v>
      </c>
      <c r="K12" s="13"/>
    </row>
    <row r="13" spans="1:11" ht="15.75" x14ac:dyDescent="0.25">
      <c r="A13" s="3">
        <v>3</v>
      </c>
      <c r="B13" s="3"/>
      <c r="C13" s="80">
        <v>0</v>
      </c>
      <c r="D13" s="5">
        <f t="shared" si="1"/>
        <v>46204</v>
      </c>
      <c r="E13" s="14">
        <v>0</v>
      </c>
      <c r="F13" s="13" t="s">
        <v>18</v>
      </c>
      <c r="G13" s="55"/>
      <c r="H13" s="16">
        <v>0</v>
      </c>
      <c r="I13" s="3" t="s">
        <v>15</v>
      </c>
      <c r="J13" s="5">
        <f t="shared" si="0"/>
        <v>46205</v>
      </c>
      <c r="K13" s="13"/>
    </row>
    <row r="14" spans="1:11" ht="15.75" x14ac:dyDescent="0.25">
      <c r="A14" s="3">
        <v>4</v>
      </c>
      <c r="B14" s="3"/>
      <c r="C14" s="80">
        <v>0</v>
      </c>
      <c r="D14" s="5">
        <f t="shared" si="1"/>
        <v>46204</v>
      </c>
      <c r="E14" s="14">
        <v>0</v>
      </c>
      <c r="F14" s="13" t="s">
        <v>18</v>
      </c>
      <c r="G14" s="55"/>
      <c r="H14" s="16">
        <v>0</v>
      </c>
      <c r="I14" s="3" t="s">
        <v>15</v>
      </c>
      <c r="J14" s="5">
        <f t="shared" si="0"/>
        <v>46205</v>
      </c>
      <c r="K14" s="13"/>
    </row>
    <row r="15" spans="1:11" ht="15.75" x14ac:dyDescent="0.25">
      <c r="A15" s="3">
        <v>5</v>
      </c>
      <c r="B15" s="3"/>
      <c r="C15" s="80">
        <v>0</v>
      </c>
      <c r="D15" s="5">
        <f t="shared" si="1"/>
        <v>46204</v>
      </c>
      <c r="E15" s="14">
        <v>0</v>
      </c>
      <c r="F15" s="13" t="s">
        <v>18</v>
      </c>
      <c r="G15" s="55"/>
      <c r="H15" s="16">
        <v>0</v>
      </c>
      <c r="I15" s="3" t="s">
        <v>15</v>
      </c>
      <c r="J15" s="5">
        <f t="shared" si="0"/>
        <v>46205</v>
      </c>
      <c r="K15" s="13"/>
    </row>
    <row r="16" spans="1:11" ht="15.75" x14ac:dyDescent="0.25">
      <c r="A16" s="3">
        <v>6</v>
      </c>
      <c r="B16" s="3"/>
      <c r="C16" s="80">
        <v>0</v>
      </c>
      <c r="D16" s="5">
        <f t="shared" si="1"/>
        <v>46204</v>
      </c>
      <c r="E16" s="14">
        <v>0</v>
      </c>
      <c r="F16" s="13" t="s">
        <v>18</v>
      </c>
      <c r="G16" s="55"/>
      <c r="H16" s="16">
        <v>0</v>
      </c>
      <c r="I16" s="3" t="s">
        <v>15</v>
      </c>
      <c r="J16" s="5">
        <f t="shared" si="0"/>
        <v>46205</v>
      </c>
      <c r="K16" s="13"/>
    </row>
    <row r="17" spans="1:11" ht="15.75" x14ac:dyDescent="0.25">
      <c r="A17" s="3">
        <v>7</v>
      </c>
      <c r="B17" s="3"/>
      <c r="C17" s="80">
        <v>0</v>
      </c>
      <c r="D17" s="5">
        <f t="shared" si="1"/>
        <v>46204</v>
      </c>
      <c r="E17" s="14">
        <v>0</v>
      </c>
      <c r="F17" s="13" t="s">
        <v>18</v>
      </c>
      <c r="G17" s="55"/>
      <c r="H17" s="16">
        <v>0</v>
      </c>
      <c r="I17" s="3" t="s">
        <v>15</v>
      </c>
      <c r="J17" s="5">
        <f t="shared" si="0"/>
        <v>46205</v>
      </c>
      <c r="K17" s="13"/>
    </row>
    <row r="18" spans="1:11" ht="15.75" x14ac:dyDescent="0.25">
      <c r="A18" s="3">
        <v>8</v>
      </c>
      <c r="B18" s="3"/>
      <c r="C18" s="80">
        <v>0</v>
      </c>
      <c r="D18" s="5">
        <f t="shared" si="1"/>
        <v>46204</v>
      </c>
      <c r="E18" s="14">
        <v>0</v>
      </c>
      <c r="F18" s="13" t="s">
        <v>18</v>
      </c>
      <c r="G18" s="55"/>
      <c r="H18" s="16">
        <v>0</v>
      </c>
      <c r="I18" s="3" t="s">
        <v>15</v>
      </c>
      <c r="J18" s="5">
        <f t="shared" si="0"/>
        <v>46205</v>
      </c>
      <c r="K18" s="13"/>
    </row>
    <row r="19" spans="1:11" ht="15.75" x14ac:dyDescent="0.25">
      <c r="A19" s="3">
        <v>9</v>
      </c>
      <c r="B19" s="3"/>
      <c r="C19" s="80">
        <v>0</v>
      </c>
      <c r="D19" s="5">
        <f t="shared" si="1"/>
        <v>46204</v>
      </c>
      <c r="E19" s="14">
        <v>0</v>
      </c>
      <c r="F19" s="13" t="s">
        <v>18</v>
      </c>
      <c r="G19" s="55"/>
      <c r="H19" s="16">
        <v>0</v>
      </c>
      <c r="I19" s="3" t="s">
        <v>15</v>
      </c>
      <c r="J19" s="5">
        <f t="shared" si="0"/>
        <v>46205</v>
      </c>
      <c r="K19" s="13"/>
    </row>
    <row r="20" spans="1:11" ht="15.75" x14ac:dyDescent="0.25">
      <c r="A20" s="3">
        <v>10</v>
      </c>
      <c r="B20" s="3"/>
      <c r="C20" s="80">
        <v>0</v>
      </c>
      <c r="D20" s="5">
        <f t="shared" si="1"/>
        <v>46204</v>
      </c>
      <c r="E20" s="14">
        <v>0</v>
      </c>
      <c r="F20" s="13" t="s">
        <v>18</v>
      </c>
      <c r="G20" s="55"/>
      <c r="H20" s="16">
        <v>0</v>
      </c>
      <c r="I20" s="3" t="s">
        <v>15</v>
      </c>
      <c r="J20" s="5">
        <f t="shared" si="0"/>
        <v>46205</v>
      </c>
      <c r="K20" s="13"/>
    </row>
    <row r="21" spans="1:11" ht="15.75" x14ac:dyDescent="0.25">
      <c r="A21" s="3">
        <v>11</v>
      </c>
      <c r="B21" s="3"/>
      <c r="C21" s="80">
        <v>0</v>
      </c>
      <c r="D21" s="5">
        <f t="shared" si="1"/>
        <v>46204</v>
      </c>
      <c r="E21" s="14">
        <v>0</v>
      </c>
      <c r="F21" s="13" t="s">
        <v>18</v>
      </c>
      <c r="G21" s="55"/>
      <c r="H21" s="16">
        <v>0</v>
      </c>
      <c r="I21" s="3" t="s">
        <v>15</v>
      </c>
      <c r="J21" s="5">
        <f t="shared" si="0"/>
        <v>46205</v>
      </c>
      <c r="K21" s="13"/>
    </row>
    <row r="22" spans="1:11" ht="18.75" x14ac:dyDescent="0.3">
      <c r="A22" s="3"/>
      <c r="B22" s="17" t="s">
        <v>16</v>
      </c>
      <c r="C22" s="82">
        <f>SUM(C11:C21)</f>
        <v>0</v>
      </c>
      <c r="D22" s="3"/>
      <c r="E22" s="3"/>
      <c r="F22" s="13"/>
      <c r="G22" s="13"/>
      <c r="H22" s="11"/>
      <c r="I22" s="3"/>
      <c r="J22" s="3"/>
      <c r="K22" s="3"/>
    </row>
    <row r="23" spans="1:11" ht="24.75" x14ac:dyDescent="0.5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.75" x14ac:dyDescent="0.3">
      <c r="A24" s="19" t="s">
        <v>3</v>
      </c>
      <c r="B24" s="19" t="s">
        <v>21</v>
      </c>
      <c r="C24" s="5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75" x14ac:dyDescent="0.25">
      <c r="A25" s="8">
        <v>1</v>
      </c>
      <c r="B25" s="8"/>
      <c r="C25" s="75">
        <v>0</v>
      </c>
      <c r="D25" s="5">
        <v>46204</v>
      </c>
      <c r="E25" s="8"/>
      <c r="F25" s="8"/>
      <c r="G25" s="22"/>
      <c r="H25" s="23"/>
      <c r="I25" s="24"/>
      <c r="J25" s="5">
        <v>46204</v>
      </c>
      <c r="K25" s="13"/>
    </row>
    <row r="26" spans="1:11" ht="15.75" x14ac:dyDescent="0.25">
      <c r="A26" s="8">
        <v>2</v>
      </c>
      <c r="B26" s="8"/>
      <c r="C26" s="75">
        <v>0</v>
      </c>
      <c r="D26" s="5">
        <v>46204</v>
      </c>
      <c r="E26" s="8"/>
      <c r="F26" s="8"/>
      <c r="G26" s="22"/>
      <c r="H26" s="23"/>
      <c r="I26" s="24"/>
      <c r="J26" s="5">
        <v>46204</v>
      </c>
      <c r="K26" s="13"/>
    </row>
    <row r="27" spans="1:11" ht="15.75" x14ac:dyDescent="0.25">
      <c r="A27" s="8">
        <v>3</v>
      </c>
      <c r="B27" s="8"/>
      <c r="C27" s="75">
        <v>0</v>
      </c>
      <c r="D27" s="5">
        <v>46204</v>
      </c>
      <c r="E27" s="8"/>
      <c r="F27" s="8"/>
      <c r="G27" s="22"/>
      <c r="H27" s="23"/>
      <c r="I27" s="24"/>
      <c r="J27" s="5">
        <v>46204</v>
      </c>
      <c r="K27" s="13"/>
    </row>
    <row r="28" spans="1:11" ht="15.75" x14ac:dyDescent="0.25">
      <c r="A28" s="8">
        <v>4</v>
      </c>
      <c r="B28" s="8"/>
      <c r="C28" s="75">
        <v>0</v>
      </c>
      <c r="D28" s="5">
        <v>46204</v>
      </c>
      <c r="E28" s="8"/>
      <c r="F28" s="8"/>
      <c r="G28" s="22"/>
      <c r="H28" s="23"/>
      <c r="I28" s="24"/>
      <c r="J28" s="5">
        <v>46204</v>
      </c>
      <c r="K28" s="13"/>
    </row>
    <row r="29" spans="1:11" ht="18.75" x14ac:dyDescent="0.25">
      <c r="A29" s="8"/>
      <c r="B29" s="25" t="s">
        <v>27</v>
      </c>
      <c r="C29" s="83">
        <f>SUM(C25:C28)</f>
        <v>0</v>
      </c>
      <c r="D29" s="3"/>
      <c r="E29" s="8"/>
      <c r="F29" s="8"/>
      <c r="G29" s="8"/>
      <c r="H29" s="27">
        <v>0</v>
      </c>
      <c r="I29" s="24"/>
      <c r="J29" s="3"/>
      <c r="K29" s="28"/>
    </row>
    <row r="30" spans="1:11" x14ac:dyDescent="0.25">
      <c r="C30" s="29"/>
      <c r="H30" s="29"/>
    </row>
    <row r="31" spans="1:11" ht="16.5" x14ac:dyDescent="0.3">
      <c r="B31" s="30" t="s">
        <v>28</v>
      </c>
      <c r="C31" s="76">
        <f>SUM(C14,C19)</f>
        <v>0</v>
      </c>
      <c r="E31" s="32"/>
      <c r="F31" s="32"/>
      <c r="G31" s="116"/>
      <c r="H31" s="116"/>
    </row>
    <row r="32" spans="1:11" ht="16.5" x14ac:dyDescent="0.3">
      <c r="B32" s="33" t="s">
        <v>29</v>
      </c>
      <c r="C32" s="77">
        <f>SUM(C11,C12,C17,C18,C20,C21)</f>
        <v>0</v>
      </c>
      <c r="E32" s="35"/>
      <c r="F32" s="35"/>
      <c r="G32" s="36" t="s">
        <v>30</v>
      </c>
      <c r="H32" s="37"/>
    </row>
    <row r="33" spans="2:10" ht="24" x14ac:dyDescent="0.4">
      <c r="B33" s="38" t="s">
        <v>31</v>
      </c>
      <c r="C33" s="78">
        <f>SUM(C13,C15,C16)</f>
        <v>0</v>
      </c>
      <c r="E33" s="40" t="s">
        <v>32</v>
      </c>
      <c r="F33" s="41"/>
      <c r="G33" s="42"/>
      <c r="H33" s="43"/>
      <c r="I33" s="42"/>
      <c r="J33" s="44"/>
    </row>
    <row r="34" spans="2:10" ht="18.75" x14ac:dyDescent="0.3">
      <c r="B34" s="45" t="s">
        <v>16</v>
      </c>
      <c r="C34" s="79">
        <f>SUM(C31:C33)</f>
        <v>0</v>
      </c>
      <c r="G34" s="36"/>
      <c r="H34" s="37"/>
      <c r="I34" s="36"/>
      <c r="J34" s="36"/>
    </row>
  </sheetData>
  <mergeCells count="6">
    <mergeCell ref="G31:H31"/>
    <mergeCell ref="A1:K1"/>
    <mergeCell ref="A2:K2"/>
    <mergeCell ref="A3:K3"/>
    <mergeCell ref="A10:K10"/>
    <mergeCell ref="A23:K23"/>
  </mergeCell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F6AF1-02A4-4F1A-A7A6-F62627A60BBD}">
  <dimension ref="A1:K34"/>
  <sheetViews>
    <sheetView workbookViewId="0">
      <selection sqref="A1:K34"/>
    </sheetView>
  </sheetViews>
  <sheetFormatPr defaultRowHeight="15" x14ac:dyDescent="0.25"/>
  <sheetData>
    <row r="1" spans="1:11" ht="48.75" x14ac:dyDescent="0.25">
      <c r="A1" s="128" t="s">
        <v>458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553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46204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46203</v>
      </c>
      <c r="K5" s="8" t="s">
        <v>33</v>
      </c>
    </row>
    <row r="6" spans="1:11" ht="15.75" x14ac:dyDescent="0.25">
      <c r="A6" s="3">
        <v>2</v>
      </c>
      <c r="B6" s="3"/>
      <c r="C6" s="80">
        <v>0</v>
      </c>
      <c r="D6" s="5">
        <v>46204</v>
      </c>
      <c r="E6" s="6">
        <v>0</v>
      </c>
      <c r="F6" s="3" t="s">
        <v>14</v>
      </c>
      <c r="G6" s="49"/>
      <c r="H6" s="7">
        <v>0</v>
      </c>
      <c r="I6" s="3" t="s">
        <v>15</v>
      </c>
      <c r="J6" s="5">
        <f>+D6-1</f>
        <v>46203</v>
      </c>
      <c r="K6" s="8"/>
    </row>
    <row r="7" spans="1:11" ht="15.75" x14ac:dyDescent="0.25">
      <c r="A7" s="3">
        <v>3</v>
      </c>
      <c r="B7" s="3"/>
      <c r="C7" s="80">
        <v>0</v>
      </c>
      <c r="D7" s="5"/>
      <c r="E7" s="6"/>
      <c r="F7" s="3"/>
      <c r="G7" s="49"/>
      <c r="H7" s="7"/>
      <c r="I7" s="3"/>
      <c r="J7" s="5"/>
      <c r="K7" s="8"/>
    </row>
    <row r="8" spans="1:11" ht="18.75" x14ac:dyDescent="0.3">
      <c r="A8" s="9"/>
      <c r="B8" s="10" t="s">
        <v>16</v>
      </c>
      <c r="C8" s="81">
        <f>SUM(C5:C7)</f>
        <v>0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4" x14ac:dyDescent="0.4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75" x14ac:dyDescent="0.25">
      <c r="A11" s="3">
        <v>1</v>
      </c>
      <c r="B11" s="3"/>
      <c r="C11" s="80">
        <v>0</v>
      </c>
      <c r="D11" s="5">
        <v>46204</v>
      </c>
      <c r="E11" s="14">
        <v>0</v>
      </c>
      <c r="F11" s="13" t="s">
        <v>18</v>
      </c>
      <c r="G11" s="55"/>
      <c r="H11" s="16">
        <v>0</v>
      </c>
      <c r="I11" s="3" t="s">
        <v>19</v>
      </c>
      <c r="J11" s="5">
        <f t="shared" ref="J11:J21" si="0">+D11+1</f>
        <v>46205</v>
      </c>
      <c r="K11" s="13"/>
    </row>
    <row r="12" spans="1:11" ht="15.75" x14ac:dyDescent="0.25">
      <c r="A12" s="3">
        <v>2</v>
      </c>
      <c r="B12" s="3"/>
      <c r="C12" s="80">
        <v>0</v>
      </c>
      <c r="D12" s="5">
        <f t="shared" ref="D12:D21" si="1">+D11</f>
        <v>46204</v>
      </c>
      <c r="E12" s="14">
        <v>0</v>
      </c>
      <c r="F12" s="13" t="s">
        <v>18</v>
      </c>
      <c r="G12" s="55"/>
      <c r="H12" s="16">
        <v>0</v>
      </c>
      <c r="I12" s="3" t="s">
        <v>15</v>
      </c>
      <c r="J12" s="5">
        <f t="shared" si="0"/>
        <v>46205</v>
      </c>
      <c r="K12" s="13"/>
    </row>
    <row r="13" spans="1:11" ht="15.75" x14ac:dyDescent="0.25">
      <c r="A13" s="3">
        <v>3</v>
      </c>
      <c r="B13" s="3"/>
      <c r="C13" s="80">
        <v>0</v>
      </c>
      <c r="D13" s="5">
        <f t="shared" si="1"/>
        <v>46204</v>
      </c>
      <c r="E13" s="14">
        <v>0</v>
      </c>
      <c r="F13" s="13" t="s">
        <v>18</v>
      </c>
      <c r="G13" s="55"/>
      <c r="H13" s="16">
        <v>0</v>
      </c>
      <c r="I13" s="3" t="s">
        <v>15</v>
      </c>
      <c r="J13" s="5">
        <f t="shared" si="0"/>
        <v>46205</v>
      </c>
      <c r="K13" s="13"/>
    </row>
    <row r="14" spans="1:11" ht="15.75" x14ac:dyDescent="0.25">
      <c r="A14" s="3">
        <v>4</v>
      </c>
      <c r="B14" s="3"/>
      <c r="C14" s="80">
        <v>0</v>
      </c>
      <c r="D14" s="5">
        <f t="shared" si="1"/>
        <v>46204</v>
      </c>
      <c r="E14" s="14">
        <v>0</v>
      </c>
      <c r="F14" s="13" t="s">
        <v>18</v>
      </c>
      <c r="G14" s="55"/>
      <c r="H14" s="16">
        <v>0</v>
      </c>
      <c r="I14" s="3" t="s">
        <v>15</v>
      </c>
      <c r="J14" s="5">
        <f t="shared" si="0"/>
        <v>46205</v>
      </c>
      <c r="K14" s="13"/>
    </row>
    <row r="15" spans="1:11" ht="15.75" x14ac:dyDescent="0.25">
      <c r="A15" s="3">
        <v>5</v>
      </c>
      <c r="B15" s="3"/>
      <c r="C15" s="80">
        <v>0</v>
      </c>
      <c r="D15" s="5">
        <f t="shared" si="1"/>
        <v>46204</v>
      </c>
      <c r="E15" s="14">
        <v>0</v>
      </c>
      <c r="F15" s="13" t="s">
        <v>18</v>
      </c>
      <c r="G15" s="55"/>
      <c r="H15" s="16">
        <v>0</v>
      </c>
      <c r="I15" s="3" t="s">
        <v>15</v>
      </c>
      <c r="J15" s="5">
        <f t="shared" si="0"/>
        <v>46205</v>
      </c>
      <c r="K15" s="13"/>
    </row>
    <row r="16" spans="1:11" ht="15.75" x14ac:dyDescent="0.25">
      <c r="A16" s="3">
        <v>6</v>
      </c>
      <c r="B16" s="3"/>
      <c r="C16" s="80">
        <v>0</v>
      </c>
      <c r="D16" s="5">
        <f t="shared" si="1"/>
        <v>46204</v>
      </c>
      <c r="E16" s="14">
        <v>0</v>
      </c>
      <c r="F16" s="13" t="s">
        <v>18</v>
      </c>
      <c r="G16" s="55"/>
      <c r="H16" s="16">
        <v>0</v>
      </c>
      <c r="I16" s="3" t="s">
        <v>15</v>
      </c>
      <c r="J16" s="5">
        <f t="shared" si="0"/>
        <v>46205</v>
      </c>
      <c r="K16" s="13"/>
    </row>
    <row r="17" spans="1:11" ht="15.75" x14ac:dyDescent="0.25">
      <c r="A17" s="3">
        <v>7</v>
      </c>
      <c r="B17" s="3"/>
      <c r="C17" s="80">
        <v>0</v>
      </c>
      <c r="D17" s="5">
        <f t="shared" si="1"/>
        <v>46204</v>
      </c>
      <c r="E17" s="14">
        <v>0</v>
      </c>
      <c r="F17" s="13" t="s">
        <v>18</v>
      </c>
      <c r="G17" s="55"/>
      <c r="H17" s="16">
        <v>0</v>
      </c>
      <c r="I17" s="3" t="s">
        <v>15</v>
      </c>
      <c r="J17" s="5">
        <f t="shared" si="0"/>
        <v>46205</v>
      </c>
      <c r="K17" s="13"/>
    </row>
    <row r="18" spans="1:11" ht="15.75" x14ac:dyDescent="0.25">
      <c r="A18" s="3">
        <v>8</v>
      </c>
      <c r="B18" s="3"/>
      <c r="C18" s="80">
        <v>0</v>
      </c>
      <c r="D18" s="5">
        <f t="shared" si="1"/>
        <v>46204</v>
      </c>
      <c r="E18" s="14">
        <v>0</v>
      </c>
      <c r="F18" s="13" t="s">
        <v>18</v>
      </c>
      <c r="G18" s="55"/>
      <c r="H18" s="16">
        <v>0</v>
      </c>
      <c r="I18" s="3" t="s">
        <v>15</v>
      </c>
      <c r="J18" s="5">
        <f t="shared" si="0"/>
        <v>46205</v>
      </c>
      <c r="K18" s="13"/>
    </row>
    <row r="19" spans="1:11" ht="15.75" x14ac:dyDescent="0.25">
      <c r="A19" s="3">
        <v>9</v>
      </c>
      <c r="B19" s="3"/>
      <c r="C19" s="80">
        <v>0</v>
      </c>
      <c r="D19" s="5">
        <f t="shared" si="1"/>
        <v>46204</v>
      </c>
      <c r="E19" s="14">
        <v>0</v>
      </c>
      <c r="F19" s="13" t="s">
        <v>18</v>
      </c>
      <c r="G19" s="55"/>
      <c r="H19" s="16">
        <v>0</v>
      </c>
      <c r="I19" s="3" t="s">
        <v>15</v>
      </c>
      <c r="J19" s="5">
        <f t="shared" si="0"/>
        <v>46205</v>
      </c>
      <c r="K19" s="13"/>
    </row>
    <row r="20" spans="1:11" ht="15.75" x14ac:dyDescent="0.25">
      <c r="A20" s="3">
        <v>10</v>
      </c>
      <c r="B20" s="3"/>
      <c r="C20" s="80">
        <v>0</v>
      </c>
      <c r="D20" s="5">
        <f t="shared" si="1"/>
        <v>46204</v>
      </c>
      <c r="E20" s="14">
        <v>0</v>
      </c>
      <c r="F20" s="13" t="s">
        <v>18</v>
      </c>
      <c r="G20" s="55"/>
      <c r="H20" s="16">
        <v>0</v>
      </c>
      <c r="I20" s="3" t="s">
        <v>15</v>
      </c>
      <c r="J20" s="5">
        <f t="shared" si="0"/>
        <v>46205</v>
      </c>
      <c r="K20" s="13"/>
    </row>
    <row r="21" spans="1:11" ht="15.75" x14ac:dyDescent="0.25">
      <c r="A21" s="3">
        <v>11</v>
      </c>
      <c r="B21" s="3"/>
      <c r="C21" s="80">
        <v>0</v>
      </c>
      <c r="D21" s="5">
        <f t="shared" si="1"/>
        <v>46204</v>
      </c>
      <c r="E21" s="14">
        <v>0</v>
      </c>
      <c r="F21" s="13" t="s">
        <v>18</v>
      </c>
      <c r="G21" s="55"/>
      <c r="H21" s="16">
        <v>0</v>
      </c>
      <c r="I21" s="3" t="s">
        <v>15</v>
      </c>
      <c r="J21" s="5">
        <f t="shared" si="0"/>
        <v>46205</v>
      </c>
      <c r="K21" s="13"/>
    </row>
    <row r="22" spans="1:11" ht="18.75" x14ac:dyDescent="0.3">
      <c r="A22" s="3"/>
      <c r="B22" s="17" t="s">
        <v>16</v>
      </c>
      <c r="C22" s="82">
        <f>SUM(C11:C21)</f>
        <v>0</v>
      </c>
      <c r="D22" s="3"/>
      <c r="E22" s="3"/>
      <c r="F22" s="13"/>
      <c r="G22" s="13"/>
      <c r="H22" s="11"/>
      <c r="I22" s="3"/>
      <c r="J22" s="3"/>
      <c r="K22" s="3"/>
    </row>
    <row r="23" spans="1:11" ht="24.75" x14ac:dyDescent="0.5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.75" x14ac:dyDescent="0.3">
      <c r="A24" s="19" t="s">
        <v>3</v>
      </c>
      <c r="B24" s="19" t="s">
        <v>21</v>
      </c>
      <c r="C24" s="5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75" x14ac:dyDescent="0.25">
      <c r="A25" s="8">
        <v>1</v>
      </c>
      <c r="B25" s="8"/>
      <c r="C25" s="75">
        <v>0</v>
      </c>
      <c r="D25" s="5">
        <v>46204</v>
      </c>
      <c r="E25" s="8"/>
      <c r="F25" s="8"/>
      <c r="G25" s="22"/>
      <c r="H25" s="23"/>
      <c r="I25" s="24"/>
      <c r="J25" s="5">
        <v>46204</v>
      </c>
      <c r="K25" s="13"/>
    </row>
    <row r="26" spans="1:11" ht="15.75" x14ac:dyDescent="0.25">
      <c r="A26" s="8">
        <v>2</v>
      </c>
      <c r="B26" s="8"/>
      <c r="C26" s="75">
        <v>0</v>
      </c>
      <c r="D26" s="5">
        <v>46204</v>
      </c>
      <c r="E26" s="8"/>
      <c r="F26" s="8"/>
      <c r="G26" s="22"/>
      <c r="H26" s="23"/>
      <c r="I26" s="24"/>
      <c r="J26" s="5">
        <v>46204</v>
      </c>
      <c r="K26" s="13"/>
    </row>
    <row r="27" spans="1:11" ht="15.75" x14ac:dyDescent="0.25">
      <c r="A27" s="8">
        <v>3</v>
      </c>
      <c r="B27" s="8"/>
      <c r="C27" s="75">
        <v>0</v>
      </c>
      <c r="D27" s="5">
        <v>46204</v>
      </c>
      <c r="E27" s="8"/>
      <c r="F27" s="8"/>
      <c r="G27" s="22"/>
      <c r="H27" s="23"/>
      <c r="I27" s="24"/>
      <c r="J27" s="5">
        <v>46204</v>
      </c>
      <c r="K27" s="13"/>
    </row>
    <row r="28" spans="1:11" ht="15.75" x14ac:dyDescent="0.25">
      <c r="A28" s="8">
        <v>4</v>
      </c>
      <c r="B28" s="8"/>
      <c r="C28" s="75">
        <v>0</v>
      </c>
      <c r="D28" s="5">
        <v>46204</v>
      </c>
      <c r="E28" s="8"/>
      <c r="F28" s="8"/>
      <c r="G28" s="22"/>
      <c r="H28" s="23"/>
      <c r="I28" s="24"/>
      <c r="J28" s="5">
        <v>46204</v>
      </c>
      <c r="K28" s="13"/>
    </row>
    <row r="29" spans="1:11" ht="18.75" x14ac:dyDescent="0.25">
      <c r="A29" s="8"/>
      <c r="B29" s="25" t="s">
        <v>27</v>
      </c>
      <c r="C29" s="83">
        <f>SUM(C25:C28)</f>
        <v>0</v>
      </c>
      <c r="D29" s="3"/>
      <c r="E29" s="8"/>
      <c r="F29" s="8"/>
      <c r="G29" s="8"/>
      <c r="H29" s="27">
        <v>0</v>
      </c>
      <c r="I29" s="24"/>
      <c r="J29" s="3"/>
      <c r="K29" s="28"/>
    </row>
    <row r="30" spans="1:11" x14ac:dyDescent="0.25">
      <c r="C30" s="29"/>
      <c r="H30" s="29"/>
    </row>
    <row r="31" spans="1:11" ht="16.5" x14ac:dyDescent="0.3">
      <c r="B31" s="30" t="s">
        <v>28</v>
      </c>
      <c r="C31" s="76">
        <f>SUM(C14,C19)</f>
        <v>0</v>
      </c>
      <c r="E31" s="32"/>
      <c r="F31" s="32"/>
      <c r="G31" s="116"/>
      <c r="H31" s="116"/>
    </row>
    <row r="32" spans="1:11" ht="16.5" x14ac:dyDescent="0.3">
      <c r="B32" s="33" t="s">
        <v>29</v>
      </c>
      <c r="C32" s="77">
        <f>SUM(C11,C12,C17,C18,C20,C21)</f>
        <v>0</v>
      </c>
      <c r="E32" s="35"/>
      <c r="F32" s="35"/>
      <c r="G32" s="36" t="s">
        <v>30</v>
      </c>
      <c r="H32" s="37"/>
    </row>
    <row r="33" spans="2:10" ht="24" x14ac:dyDescent="0.4">
      <c r="B33" s="38" t="s">
        <v>31</v>
      </c>
      <c r="C33" s="78">
        <f>SUM(C13,C15,C16)</f>
        <v>0</v>
      </c>
      <c r="E33" s="40" t="s">
        <v>32</v>
      </c>
      <c r="F33" s="41"/>
      <c r="G33" s="42"/>
      <c r="H33" s="43"/>
      <c r="I33" s="42"/>
      <c r="J33" s="44"/>
    </row>
    <row r="34" spans="2:10" ht="18.75" x14ac:dyDescent="0.3">
      <c r="B34" s="45" t="s">
        <v>16</v>
      </c>
      <c r="C34" s="79">
        <f>SUM(C31:C33)</f>
        <v>0</v>
      </c>
      <c r="G34" s="36"/>
      <c r="H34" s="37"/>
      <c r="I34" s="36"/>
      <c r="J34" s="36"/>
    </row>
  </sheetData>
  <mergeCells count="6">
    <mergeCell ref="G31:H31"/>
    <mergeCell ref="A1:K1"/>
    <mergeCell ref="A2:K2"/>
    <mergeCell ref="A3:K3"/>
    <mergeCell ref="A10:K10"/>
    <mergeCell ref="A23:K23"/>
  </mergeCells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DDC2B-83B7-4080-AC6F-1BE6E02B8B64}">
  <dimension ref="A1:K34"/>
  <sheetViews>
    <sheetView workbookViewId="0">
      <selection sqref="A1:K34"/>
    </sheetView>
  </sheetViews>
  <sheetFormatPr defaultRowHeight="15" x14ac:dyDescent="0.25"/>
  <sheetData>
    <row r="1" spans="1:11" ht="48.75" x14ac:dyDescent="0.25">
      <c r="A1" s="128" t="s">
        <v>458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553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46204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46203</v>
      </c>
      <c r="K5" s="8" t="s">
        <v>33</v>
      </c>
    </row>
    <row r="6" spans="1:11" ht="15.75" x14ac:dyDescent="0.25">
      <c r="A6" s="3">
        <v>2</v>
      </c>
      <c r="B6" s="3"/>
      <c r="C6" s="80">
        <v>0</v>
      </c>
      <c r="D6" s="5">
        <v>46204</v>
      </c>
      <c r="E6" s="6">
        <v>0</v>
      </c>
      <c r="F6" s="3" t="s">
        <v>14</v>
      </c>
      <c r="G6" s="49"/>
      <c r="H6" s="7">
        <v>0</v>
      </c>
      <c r="I6" s="3" t="s">
        <v>15</v>
      </c>
      <c r="J6" s="5">
        <f>+D6-1</f>
        <v>46203</v>
      </c>
      <c r="K6" s="8"/>
    </row>
    <row r="7" spans="1:11" ht="15.75" x14ac:dyDescent="0.25">
      <c r="A7" s="3">
        <v>3</v>
      </c>
      <c r="B7" s="3"/>
      <c r="C7" s="80">
        <v>0</v>
      </c>
      <c r="D7" s="5"/>
      <c r="E7" s="6"/>
      <c r="F7" s="3"/>
      <c r="G7" s="49"/>
      <c r="H7" s="7"/>
      <c r="I7" s="3"/>
      <c r="J7" s="5"/>
      <c r="K7" s="8"/>
    </row>
    <row r="8" spans="1:11" ht="18.75" x14ac:dyDescent="0.3">
      <c r="A8" s="9"/>
      <c r="B8" s="10" t="s">
        <v>16</v>
      </c>
      <c r="C8" s="81">
        <f>SUM(C5:C7)</f>
        <v>0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4" x14ac:dyDescent="0.4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75" x14ac:dyDescent="0.25">
      <c r="A11" s="3">
        <v>1</v>
      </c>
      <c r="B11" s="3"/>
      <c r="C11" s="80">
        <v>0</v>
      </c>
      <c r="D11" s="5">
        <v>46204</v>
      </c>
      <c r="E11" s="14">
        <v>0</v>
      </c>
      <c r="F11" s="13" t="s">
        <v>18</v>
      </c>
      <c r="G11" s="55"/>
      <c r="H11" s="16">
        <v>0</v>
      </c>
      <c r="I11" s="3" t="s">
        <v>19</v>
      </c>
      <c r="J11" s="5">
        <f t="shared" ref="J11:J21" si="0">+D11+1</f>
        <v>46205</v>
      </c>
      <c r="K11" s="13"/>
    </row>
    <row r="12" spans="1:11" ht="15.75" x14ac:dyDescent="0.25">
      <c r="A12" s="3">
        <v>2</v>
      </c>
      <c r="B12" s="3"/>
      <c r="C12" s="80">
        <v>0</v>
      </c>
      <c r="D12" s="5">
        <f t="shared" ref="D12:D21" si="1">+D11</f>
        <v>46204</v>
      </c>
      <c r="E12" s="14">
        <v>0</v>
      </c>
      <c r="F12" s="13" t="s">
        <v>18</v>
      </c>
      <c r="G12" s="55"/>
      <c r="H12" s="16">
        <v>0</v>
      </c>
      <c r="I12" s="3" t="s">
        <v>15</v>
      </c>
      <c r="J12" s="5">
        <f t="shared" si="0"/>
        <v>46205</v>
      </c>
      <c r="K12" s="13"/>
    </row>
    <row r="13" spans="1:11" ht="15.75" x14ac:dyDescent="0.25">
      <c r="A13" s="3">
        <v>3</v>
      </c>
      <c r="B13" s="3"/>
      <c r="C13" s="80">
        <v>0</v>
      </c>
      <c r="D13" s="5">
        <f t="shared" si="1"/>
        <v>46204</v>
      </c>
      <c r="E13" s="14">
        <v>0</v>
      </c>
      <c r="F13" s="13" t="s">
        <v>18</v>
      </c>
      <c r="G13" s="55"/>
      <c r="H13" s="16">
        <v>0</v>
      </c>
      <c r="I13" s="3" t="s">
        <v>15</v>
      </c>
      <c r="J13" s="5">
        <f t="shared" si="0"/>
        <v>46205</v>
      </c>
      <c r="K13" s="13"/>
    </row>
    <row r="14" spans="1:11" ht="15.75" x14ac:dyDescent="0.25">
      <c r="A14" s="3">
        <v>4</v>
      </c>
      <c r="B14" s="3"/>
      <c r="C14" s="80">
        <v>0</v>
      </c>
      <c r="D14" s="5">
        <f t="shared" si="1"/>
        <v>46204</v>
      </c>
      <c r="E14" s="14">
        <v>0</v>
      </c>
      <c r="F14" s="13" t="s">
        <v>18</v>
      </c>
      <c r="G14" s="55"/>
      <c r="H14" s="16">
        <v>0</v>
      </c>
      <c r="I14" s="3" t="s">
        <v>15</v>
      </c>
      <c r="J14" s="5">
        <f t="shared" si="0"/>
        <v>46205</v>
      </c>
      <c r="K14" s="13"/>
    </row>
    <row r="15" spans="1:11" ht="15.75" x14ac:dyDescent="0.25">
      <c r="A15" s="3">
        <v>5</v>
      </c>
      <c r="B15" s="3"/>
      <c r="C15" s="80">
        <v>0</v>
      </c>
      <c r="D15" s="5">
        <f t="shared" si="1"/>
        <v>46204</v>
      </c>
      <c r="E15" s="14">
        <v>0</v>
      </c>
      <c r="F15" s="13" t="s">
        <v>18</v>
      </c>
      <c r="G15" s="55"/>
      <c r="H15" s="16">
        <v>0</v>
      </c>
      <c r="I15" s="3" t="s">
        <v>15</v>
      </c>
      <c r="J15" s="5">
        <f t="shared" si="0"/>
        <v>46205</v>
      </c>
      <c r="K15" s="13"/>
    </row>
    <row r="16" spans="1:11" ht="15.75" x14ac:dyDescent="0.25">
      <c r="A16" s="3">
        <v>6</v>
      </c>
      <c r="B16" s="3"/>
      <c r="C16" s="80">
        <v>0</v>
      </c>
      <c r="D16" s="5">
        <f t="shared" si="1"/>
        <v>46204</v>
      </c>
      <c r="E16" s="14">
        <v>0</v>
      </c>
      <c r="F16" s="13" t="s">
        <v>18</v>
      </c>
      <c r="G16" s="55"/>
      <c r="H16" s="16">
        <v>0</v>
      </c>
      <c r="I16" s="3" t="s">
        <v>15</v>
      </c>
      <c r="J16" s="5">
        <f t="shared" si="0"/>
        <v>46205</v>
      </c>
      <c r="K16" s="13"/>
    </row>
    <row r="17" spans="1:11" ht="15.75" x14ac:dyDescent="0.25">
      <c r="A17" s="3">
        <v>7</v>
      </c>
      <c r="B17" s="3"/>
      <c r="C17" s="80">
        <v>0</v>
      </c>
      <c r="D17" s="5">
        <f t="shared" si="1"/>
        <v>46204</v>
      </c>
      <c r="E17" s="14">
        <v>0</v>
      </c>
      <c r="F17" s="13" t="s">
        <v>18</v>
      </c>
      <c r="G17" s="55"/>
      <c r="H17" s="16">
        <v>0</v>
      </c>
      <c r="I17" s="3" t="s">
        <v>15</v>
      </c>
      <c r="J17" s="5">
        <f t="shared" si="0"/>
        <v>46205</v>
      </c>
      <c r="K17" s="13"/>
    </row>
    <row r="18" spans="1:11" ht="15.75" x14ac:dyDescent="0.25">
      <c r="A18" s="3">
        <v>8</v>
      </c>
      <c r="B18" s="3"/>
      <c r="C18" s="80">
        <v>0</v>
      </c>
      <c r="D18" s="5">
        <f t="shared" si="1"/>
        <v>46204</v>
      </c>
      <c r="E18" s="14">
        <v>0</v>
      </c>
      <c r="F18" s="13" t="s">
        <v>18</v>
      </c>
      <c r="G18" s="55"/>
      <c r="H18" s="16">
        <v>0</v>
      </c>
      <c r="I18" s="3" t="s">
        <v>15</v>
      </c>
      <c r="J18" s="5">
        <f t="shared" si="0"/>
        <v>46205</v>
      </c>
      <c r="K18" s="13"/>
    </row>
    <row r="19" spans="1:11" ht="15.75" x14ac:dyDescent="0.25">
      <c r="A19" s="3">
        <v>9</v>
      </c>
      <c r="B19" s="3"/>
      <c r="C19" s="80">
        <v>0</v>
      </c>
      <c r="D19" s="5">
        <f t="shared" si="1"/>
        <v>46204</v>
      </c>
      <c r="E19" s="14">
        <v>0</v>
      </c>
      <c r="F19" s="13" t="s">
        <v>18</v>
      </c>
      <c r="G19" s="55"/>
      <c r="H19" s="16">
        <v>0</v>
      </c>
      <c r="I19" s="3" t="s">
        <v>15</v>
      </c>
      <c r="J19" s="5">
        <f t="shared" si="0"/>
        <v>46205</v>
      </c>
      <c r="K19" s="13"/>
    </row>
    <row r="20" spans="1:11" ht="15.75" x14ac:dyDescent="0.25">
      <c r="A20" s="3">
        <v>10</v>
      </c>
      <c r="B20" s="3"/>
      <c r="C20" s="80">
        <v>0</v>
      </c>
      <c r="D20" s="5">
        <f t="shared" si="1"/>
        <v>46204</v>
      </c>
      <c r="E20" s="14">
        <v>0</v>
      </c>
      <c r="F20" s="13" t="s">
        <v>18</v>
      </c>
      <c r="G20" s="55"/>
      <c r="H20" s="16">
        <v>0</v>
      </c>
      <c r="I20" s="3" t="s">
        <v>15</v>
      </c>
      <c r="J20" s="5">
        <f t="shared" si="0"/>
        <v>46205</v>
      </c>
      <c r="K20" s="13"/>
    </row>
    <row r="21" spans="1:11" ht="15.75" x14ac:dyDescent="0.25">
      <c r="A21" s="3">
        <v>11</v>
      </c>
      <c r="B21" s="3"/>
      <c r="C21" s="80">
        <v>0</v>
      </c>
      <c r="D21" s="5">
        <f t="shared" si="1"/>
        <v>46204</v>
      </c>
      <c r="E21" s="14">
        <v>0</v>
      </c>
      <c r="F21" s="13" t="s">
        <v>18</v>
      </c>
      <c r="G21" s="55"/>
      <c r="H21" s="16">
        <v>0</v>
      </c>
      <c r="I21" s="3" t="s">
        <v>15</v>
      </c>
      <c r="J21" s="5">
        <f t="shared" si="0"/>
        <v>46205</v>
      </c>
      <c r="K21" s="13"/>
    </row>
    <row r="22" spans="1:11" ht="18.75" x14ac:dyDescent="0.3">
      <c r="A22" s="3"/>
      <c r="B22" s="17" t="s">
        <v>16</v>
      </c>
      <c r="C22" s="82">
        <f>SUM(C11:C21)</f>
        <v>0</v>
      </c>
      <c r="D22" s="3"/>
      <c r="E22" s="3"/>
      <c r="F22" s="13"/>
      <c r="G22" s="13"/>
      <c r="H22" s="11"/>
      <c r="I22" s="3"/>
      <c r="J22" s="3"/>
      <c r="K22" s="3"/>
    </row>
    <row r="23" spans="1:11" ht="24.75" x14ac:dyDescent="0.5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.75" x14ac:dyDescent="0.3">
      <c r="A24" s="19" t="s">
        <v>3</v>
      </c>
      <c r="B24" s="19" t="s">
        <v>21</v>
      </c>
      <c r="C24" s="5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75" x14ac:dyDescent="0.25">
      <c r="A25" s="8">
        <v>1</v>
      </c>
      <c r="B25" s="8"/>
      <c r="C25" s="75">
        <v>0</v>
      </c>
      <c r="D25" s="5">
        <v>46204</v>
      </c>
      <c r="E25" s="8"/>
      <c r="F25" s="8"/>
      <c r="G25" s="22"/>
      <c r="H25" s="23"/>
      <c r="I25" s="24"/>
      <c r="J25" s="5">
        <v>46204</v>
      </c>
      <c r="K25" s="13"/>
    </row>
    <row r="26" spans="1:11" ht="15.75" x14ac:dyDescent="0.25">
      <c r="A26" s="8">
        <v>2</v>
      </c>
      <c r="B26" s="8"/>
      <c r="C26" s="75">
        <v>0</v>
      </c>
      <c r="D26" s="5">
        <v>46204</v>
      </c>
      <c r="E26" s="8"/>
      <c r="F26" s="8"/>
      <c r="G26" s="22"/>
      <c r="H26" s="23"/>
      <c r="I26" s="24"/>
      <c r="J26" s="5">
        <v>46204</v>
      </c>
      <c r="K26" s="13"/>
    </row>
    <row r="27" spans="1:11" ht="15.75" x14ac:dyDescent="0.25">
      <c r="A27" s="8">
        <v>3</v>
      </c>
      <c r="B27" s="8"/>
      <c r="C27" s="75">
        <v>0</v>
      </c>
      <c r="D27" s="5">
        <v>46204</v>
      </c>
      <c r="E27" s="8"/>
      <c r="F27" s="8"/>
      <c r="G27" s="22"/>
      <c r="H27" s="23"/>
      <c r="I27" s="24"/>
      <c r="J27" s="5">
        <v>46204</v>
      </c>
      <c r="K27" s="13"/>
    </row>
    <row r="28" spans="1:11" ht="15.75" x14ac:dyDescent="0.25">
      <c r="A28" s="8">
        <v>4</v>
      </c>
      <c r="B28" s="8"/>
      <c r="C28" s="75">
        <v>0</v>
      </c>
      <c r="D28" s="5">
        <v>46204</v>
      </c>
      <c r="E28" s="8"/>
      <c r="F28" s="8"/>
      <c r="G28" s="22"/>
      <c r="H28" s="23"/>
      <c r="I28" s="24"/>
      <c r="J28" s="5">
        <v>46204</v>
      </c>
      <c r="K28" s="13"/>
    </row>
    <row r="29" spans="1:11" ht="18.75" x14ac:dyDescent="0.25">
      <c r="A29" s="8"/>
      <c r="B29" s="25" t="s">
        <v>27</v>
      </c>
      <c r="C29" s="83">
        <f>SUM(C25:C28)</f>
        <v>0</v>
      </c>
      <c r="D29" s="3"/>
      <c r="E29" s="8"/>
      <c r="F29" s="8"/>
      <c r="G29" s="8"/>
      <c r="H29" s="27">
        <v>0</v>
      </c>
      <c r="I29" s="24"/>
      <c r="J29" s="3"/>
      <c r="K29" s="28"/>
    </row>
    <row r="30" spans="1:11" x14ac:dyDescent="0.25">
      <c r="C30" s="29"/>
      <c r="H30" s="29"/>
    </row>
    <row r="31" spans="1:11" ht="16.5" x14ac:dyDescent="0.3">
      <c r="B31" s="30" t="s">
        <v>28</v>
      </c>
      <c r="C31" s="76">
        <f>SUM(C14,C19)</f>
        <v>0</v>
      </c>
      <c r="E31" s="32"/>
      <c r="F31" s="32"/>
      <c r="G31" s="116"/>
      <c r="H31" s="116"/>
    </row>
    <row r="32" spans="1:11" ht="16.5" x14ac:dyDescent="0.3">
      <c r="B32" s="33" t="s">
        <v>29</v>
      </c>
      <c r="C32" s="77">
        <f>SUM(C11,C12,C17,C18,C20,C21)</f>
        <v>0</v>
      </c>
      <c r="E32" s="35"/>
      <c r="F32" s="35"/>
      <c r="G32" s="36" t="s">
        <v>30</v>
      </c>
      <c r="H32" s="37"/>
    </row>
    <row r="33" spans="2:10" ht="24" x14ac:dyDescent="0.4">
      <c r="B33" s="38" t="s">
        <v>31</v>
      </c>
      <c r="C33" s="78">
        <f>SUM(C13,C15,C16)</f>
        <v>0</v>
      </c>
      <c r="E33" s="40" t="s">
        <v>32</v>
      </c>
      <c r="F33" s="41"/>
      <c r="G33" s="42"/>
      <c r="H33" s="43"/>
      <c r="I33" s="42"/>
      <c r="J33" s="44"/>
    </row>
    <row r="34" spans="2:10" ht="18.75" x14ac:dyDescent="0.3">
      <c r="B34" s="45" t="s">
        <v>16</v>
      </c>
      <c r="C34" s="79">
        <f>SUM(C31:C33)</f>
        <v>0</v>
      </c>
      <c r="G34" s="36"/>
      <c r="H34" s="37"/>
      <c r="I34" s="36"/>
      <c r="J34" s="36"/>
    </row>
  </sheetData>
  <mergeCells count="6">
    <mergeCell ref="G31:H31"/>
    <mergeCell ref="A1:K1"/>
    <mergeCell ref="A2:K2"/>
    <mergeCell ref="A3:K3"/>
    <mergeCell ref="A10:K10"/>
    <mergeCell ref="A23:K23"/>
  </mergeCell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62B96-0B5C-4A63-BDD4-9895F9B22B2B}">
  <dimension ref="A1:K34"/>
  <sheetViews>
    <sheetView workbookViewId="0">
      <selection sqref="A1:K34"/>
    </sheetView>
  </sheetViews>
  <sheetFormatPr defaultRowHeight="15" x14ac:dyDescent="0.25"/>
  <sheetData>
    <row r="1" spans="1:11" ht="48.75" x14ac:dyDescent="0.25">
      <c r="A1" s="128" t="s">
        <v>458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553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46204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46203</v>
      </c>
      <c r="K5" s="8" t="s">
        <v>33</v>
      </c>
    </row>
    <row r="6" spans="1:11" ht="15.75" x14ac:dyDescent="0.25">
      <c r="A6" s="3">
        <v>2</v>
      </c>
      <c r="B6" s="3"/>
      <c r="C6" s="80">
        <v>0</v>
      </c>
      <c r="D6" s="5">
        <v>46204</v>
      </c>
      <c r="E6" s="6">
        <v>0</v>
      </c>
      <c r="F6" s="3" t="s">
        <v>14</v>
      </c>
      <c r="G6" s="49"/>
      <c r="H6" s="7">
        <v>0</v>
      </c>
      <c r="I6" s="3" t="s">
        <v>15</v>
      </c>
      <c r="J6" s="5">
        <f>+D6-1</f>
        <v>46203</v>
      </c>
      <c r="K6" s="8"/>
    </row>
    <row r="7" spans="1:11" ht="15.75" x14ac:dyDescent="0.25">
      <c r="A7" s="3">
        <v>3</v>
      </c>
      <c r="B7" s="3"/>
      <c r="C7" s="80">
        <v>0</v>
      </c>
      <c r="D7" s="5"/>
      <c r="E7" s="6"/>
      <c r="F7" s="3"/>
      <c r="G7" s="49"/>
      <c r="H7" s="7"/>
      <c r="I7" s="3"/>
      <c r="J7" s="5"/>
      <c r="K7" s="8"/>
    </row>
    <row r="8" spans="1:11" ht="18.75" x14ac:dyDescent="0.3">
      <c r="A8" s="9"/>
      <c r="B8" s="10" t="s">
        <v>16</v>
      </c>
      <c r="C8" s="81">
        <f>SUM(C5:C7)</f>
        <v>0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4" x14ac:dyDescent="0.4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75" x14ac:dyDescent="0.25">
      <c r="A11" s="3">
        <v>1</v>
      </c>
      <c r="B11" s="3"/>
      <c r="C11" s="80">
        <v>0</v>
      </c>
      <c r="D11" s="5">
        <v>46204</v>
      </c>
      <c r="E11" s="14">
        <v>0</v>
      </c>
      <c r="F11" s="13" t="s">
        <v>18</v>
      </c>
      <c r="G11" s="55"/>
      <c r="H11" s="16">
        <v>0</v>
      </c>
      <c r="I11" s="3" t="s">
        <v>19</v>
      </c>
      <c r="J11" s="5">
        <f t="shared" ref="J11:J21" si="0">+D11+1</f>
        <v>46205</v>
      </c>
      <c r="K11" s="13"/>
    </row>
    <row r="12" spans="1:11" ht="15.75" x14ac:dyDescent="0.25">
      <c r="A12" s="3">
        <v>2</v>
      </c>
      <c r="B12" s="3"/>
      <c r="C12" s="80">
        <v>0</v>
      </c>
      <c r="D12" s="5">
        <f t="shared" ref="D12:D21" si="1">+D11</f>
        <v>46204</v>
      </c>
      <c r="E12" s="14">
        <v>0</v>
      </c>
      <c r="F12" s="13" t="s">
        <v>18</v>
      </c>
      <c r="G12" s="55"/>
      <c r="H12" s="16">
        <v>0</v>
      </c>
      <c r="I12" s="3" t="s">
        <v>15</v>
      </c>
      <c r="J12" s="5">
        <f t="shared" si="0"/>
        <v>46205</v>
      </c>
      <c r="K12" s="13"/>
    </row>
    <row r="13" spans="1:11" ht="15.75" x14ac:dyDescent="0.25">
      <c r="A13" s="3">
        <v>3</v>
      </c>
      <c r="B13" s="3"/>
      <c r="C13" s="80">
        <v>0</v>
      </c>
      <c r="D13" s="5">
        <f t="shared" si="1"/>
        <v>46204</v>
      </c>
      <c r="E13" s="14">
        <v>0</v>
      </c>
      <c r="F13" s="13" t="s">
        <v>18</v>
      </c>
      <c r="G13" s="55"/>
      <c r="H13" s="16">
        <v>0</v>
      </c>
      <c r="I13" s="3" t="s">
        <v>15</v>
      </c>
      <c r="J13" s="5">
        <f t="shared" si="0"/>
        <v>46205</v>
      </c>
      <c r="K13" s="13"/>
    </row>
    <row r="14" spans="1:11" ht="15.75" x14ac:dyDescent="0.25">
      <c r="A14" s="3">
        <v>4</v>
      </c>
      <c r="B14" s="3"/>
      <c r="C14" s="80">
        <v>0</v>
      </c>
      <c r="D14" s="5">
        <f t="shared" si="1"/>
        <v>46204</v>
      </c>
      <c r="E14" s="14">
        <v>0</v>
      </c>
      <c r="F14" s="13" t="s">
        <v>18</v>
      </c>
      <c r="G14" s="55"/>
      <c r="H14" s="16">
        <v>0</v>
      </c>
      <c r="I14" s="3" t="s">
        <v>15</v>
      </c>
      <c r="J14" s="5">
        <f t="shared" si="0"/>
        <v>46205</v>
      </c>
      <c r="K14" s="13"/>
    </row>
    <row r="15" spans="1:11" ht="15.75" x14ac:dyDescent="0.25">
      <c r="A15" s="3">
        <v>5</v>
      </c>
      <c r="B15" s="3"/>
      <c r="C15" s="80">
        <v>0</v>
      </c>
      <c r="D15" s="5">
        <f t="shared" si="1"/>
        <v>46204</v>
      </c>
      <c r="E15" s="14">
        <v>0</v>
      </c>
      <c r="F15" s="13" t="s">
        <v>18</v>
      </c>
      <c r="G15" s="55"/>
      <c r="H15" s="16">
        <v>0</v>
      </c>
      <c r="I15" s="3" t="s">
        <v>15</v>
      </c>
      <c r="J15" s="5">
        <f t="shared" si="0"/>
        <v>46205</v>
      </c>
      <c r="K15" s="13"/>
    </row>
    <row r="16" spans="1:11" ht="15.75" x14ac:dyDescent="0.25">
      <c r="A16" s="3">
        <v>6</v>
      </c>
      <c r="B16" s="3"/>
      <c r="C16" s="80">
        <v>0</v>
      </c>
      <c r="D16" s="5">
        <f t="shared" si="1"/>
        <v>46204</v>
      </c>
      <c r="E16" s="14">
        <v>0</v>
      </c>
      <c r="F16" s="13" t="s">
        <v>18</v>
      </c>
      <c r="G16" s="55"/>
      <c r="H16" s="16">
        <v>0</v>
      </c>
      <c r="I16" s="3" t="s">
        <v>15</v>
      </c>
      <c r="J16" s="5">
        <f t="shared" si="0"/>
        <v>46205</v>
      </c>
      <c r="K16" s="13"/>
    </row>
    <row r="17" spans="1:11" ht="15.75" x14ac:dyDescent="0.25">
      <c r="A17" s="3">
        <v>7</v>
      </c>
      <c r="B17" s="3"/>
      <c r="C17" s="80">
        <v>0</v>
      </c>
      <c r="D17" s="5">
        <f t="shared" si="1"/>
        <v>46204</v>
      </c>
      <c r="E17" s="14">
        <v>0</v>
      </c>
      <c r="F17" s="13" t="s">
        <v>18</v>
      </c>
      <c r="G17" s="55"/>
      <c r="H17" s="16">
        <v>0</v>
      </c>
      <c r="I17" s="3" t="s">
        <v>15</v>
      </c>
      <c r="J17" s="5">
        <f t="shared" si="0"/>
        <v>46205</v>
      </c>
      <c r="K17" s="13"/>
    </row>
    <row r="18" spans="1:11" ht="15.75" x14ac:dyDescent="0.25">
      <c r="A18" s="3">
        <v>8</v>
      </c>
      <c r="B18" s="3"/>
      <c r="C18" s="80">
        <v>0</v>
      </c>
      <c r="D18" s="5">
        <f t="shared" si="1"/>
        <v>46204</v>
      </c>
      <c r="E18" s="14">
        <v>0</v>
      </c>
      <c r="F18" s="13" t="s">
        <v>18</v>
      </c>
      <c r="G18" s="55"/>
      <c r="H18" s="16">
        <v>0</v>
      </c>
      <c r="I18" s="3" t="s">
        <v>15</v>
      </c>
      <c r="J18" s="5">
        <f t="shared" si="0"/>
        <v>46205</v>
      </c>
      <c r="K18" s="13"/>
    </row>
    <row r="19" spans="1:11" ht="15.75" x14ac:dyDescent="0.25">
      <c r="A19" s="3">
        <v>9</v>
      </c>
      <c r="B19" s="3"/>
      <c r="C19" s="80">
        <v>0</v>
      </c>
      <c r="D19" s="5">
        <f t="shared" si="1"/>
        <v>46204</v>
      </c>
      <c r="E19" s="14">
        <v>0</v>
      </c>
      <c r="F19" s="13" t="s">
        <v>18</v>
      </c>
      <c r="G19" s="55"/>
      <c r="H19" s="16">
        <v>0</v>
      </c>
      <c r="I19" s="3" t="s">
        <v>15</v>
      </c>
      <c r="J19" s="5">
        <f t="shared" si="0"/>
        <v>46205</v>
      </c>
      <c r="K19" s="13"/>
    </row>
    <row r="20" spans="1:11" ht="15.75" x14ac:dyDescent="0.25">
      <c r="A20" s="3">
        <v>10</v>
      </c>
      <c r="B20" s="3"/>
      <c r="C20" s="80">
        <v>0</v>
      </c>
      <c r="D20" s="5">
        <f t="shared" si="1"/>
        <v>46204</v>
      </c>
      <c r="E20" s="14">
        <v>0</v>
      </c>
      <c r="F20" s="13" t="s">
        <v>18</v>
      </c>
      <c r="G20" s="55"/>
      <c r="H20" s="16">
        <v>0</v>
      </c>
      <c r="I20" s="3" t="s">
        <v>15</v>
      </c>
      <c r="J20" s="5">
        <f t="shared" si="0"/>
        <v>46205</v>
      </c>
      <c r="K20" s="13"/>
    </row>
    <row r="21" spans="1:11" ht="15.75" x14ac:dyDescent="0.25">
      <c r="A21" s="3">
        <v>11</v>
      </c>
      <c r="B21" s="3"/>
      <c r="C21" s="80">
        <v>0</v>
      </c>
      <c r="D21" s="5">
        <f t="shared" si="1"/>
        <v>46204</v>
      </c>
      <c r="E21" s="14">
        <v>0</v>
      </c>
      <c r="F21" s="13" t="s">
        <v>18</v>
      </c>
      <c r="G21" s="55"/>
      <c r="H21" s="16">
        <v>0</v>
      </c>
      <c r="I21" s="3" t="s">
        <v>15</v>
      </c>
      <c r="J21" s="5">
        <f t="shared" si="0"/>
        <v>46205</v>
      </c>
      <c r="K21" s="13"/>
    </row>
    <row r="22" spans="1:11" ht="18.75" x14ac:dyDescent="0.3">
      <c r="A22" s="3"/>
      <c r="B22" s="17" t="s">
        <v>16</v>
      </c>
      <c r="C22" s="82">
        <f>SUM(C11:C21)</f>
        <v>0</v>
      </c>
      <c r="D22" s="3"/>
      <c r="E22" s="3"/>
      <c r="F22" s="13"/>
      <c r="G22" s="13"/>
      <c r="H22" s="11"/>
      <c r="I22" s="3"/>
      <c r="J22" s="3"/>
      <c r="K22" s="3"/>
    </row>
    <row r="23" spans="1:11" ht="24.75" x14ac:dyDescent="0.5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.75" x14ac:dyDescent="0.3">
      <c r="A24" s="19" t="s">
        <v>3</v>
      </c>
      <c r="B24" s="19" t="s">
        <v>21</v>
      </c>
      <c r="C24" s="5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75" x14ac:dyDescent="0.25">
      <c r="A25" s="8">
        <v>1</v>
      </c>
      <c r="B25" s="8"/>
      <c r="C25" s="75">
        <v>0</v>
      </c>
      <c r="D25" s="5">
        <v>46204</v>
      </c>
      <c r="E25" s="8"/>
      <c r="F25" s="8"/>
      <c r="G25" s="22"/>
      <c r="H25" s="23"/>
      <c r="I25" s="24"/>
      <c r="J25" s="5">
        <v>46204</v>
      </c>
      <c r="K25" s="13"/>
    </row>
    <row r="26" spans="1:11" ht="15.75" x14ac:dyDescent="0.25">
      <c r="A26" s="8">
        <v>2</v>
      </c>
      <c r="B26" s="8"/>
      <c r="C26" s="75">
        <v>0</v>
      </c>
      <c r="D26" s="5">
        <v>46204</v>
      </c>
      <c r="E26" s="8"/>
      <c r="F26" s="8"/>
      <c r="G26" s="22"/>
      <c r="H26" s="23"/>
      <c r="I26" s="24"/>
      <c r="J26" s="5">
        <v>46204</v>
      </c>
      <c r="K26" s="13"/>
    </row>
    <row r="27" spans="1:11" ht="15.75" x14ac:dyDescent="0.25">
      <c r="A27" s="8">
        <v>3</v>
      </c>
      <c r="B27" s="8"/>
      <c r="C27" s="75">
        <v>0</v>
      </c>
      <c r="D27" s="5">
        <v>46204</v>
      </c>
      <c r="E27" s="8"/>
      <c r="F27" s="8"/>
      <c r="G27" s="22"/>
      <c r="H27" s="23"/>
      <c r="I27" s="24"/>
      <c r="J27" s="5">
        <v>46204</v>
      </c>
      <c r="K27" s="13"/>
    </row>
    <row r="28" spans="1:11" ht="15.75" x14ac:dyDescent="0.25">
      <c r="A28" s="8">
        <v>4</v>
      </c>
      <c r="B28" s="8"/>
      <c r="C28" s="75">
        <v>0</v>
      </c>
      <c r="D28" s="5">
        <v>46204</v>
      </c>
      <c r="E28" s="8"/>
      <c r="F28" s="8"/>
      <c r="G28" s="22"/>
      <c r="H28" s="23"/>
      <c r="I28" s="24"/>
      <c r="J28" s="5">
        <v>46204</v>
      </c>
      <c r="K28" s="13"/>
    </row>
    <row r="29" spans="1:11" ht="18.75" x14ac:dyDescent="0.25">
      <c r="A29" s="8"/>
      <c r="B29" s="25" t="s">
        <v>27</v>
      </c>
      <c r="C29" s="83">
        <f>SUM(C25:C28)</f>
        <v>0</v>
      </c>
      <c r="D29" s="3"/>
      <c r="E29" s="8"/>
      <c r="F29" s="8"/>
      <c r="G29" s="8"/>
      <c r="H29" s="27">
        <v>0</v>
      </c>
      <c r="I29" s="24"/>
      <c r="J29" s="3"/>
      <c r="K29" s="28"/>
    </row>
    <row r="30" spans="1:11" x14ac:dyDescent="0.25">
      <c r="C30" s="29"/>
      <c r="H30" s="29"/>
    </row>
    <row r="31" spans="1:11" ht="16.5" x14ac:dyDescent="0.3">
      <c r="B31" s="30" t="s">
        <v>28</v>
      </c>
      <c r="C31" s="76">
        <f>SUM(C14,C19)</f>
        <v>0</v>
      </c>
      <c r="E31" s="32"/>
      <c r="F31" s="32"/>
      <c r="G31" s="116"/>
      <c r="H31" s="116"/>
    </row>
    <row r="32" spans="1:11" ht="16.5" x14ac:dyDescent="0.3">
      <c r="B32" s="33" t="s">
        <v>29</v>
      </c>
      <c r="C32" s="77">
        <f>SUM(C11,C12,C17,C18,C20,C21)</f>
        <v>0</v>
      </c>
      <c r="E32" s="35"/>
      <c r="F32" s="35"/>
      <c r="G32" s="36" t="s">
        <v>30</v>
      </c>
      <c r="H32" s="37"/>
    </row>
    <row r="33" spans="2:10" ht="24" x14ac:dyDescent="0.4">
      <c r="B33" s="38" t="s">
        <v>31</v>
      </c>
      <c r="C33" s="78">
        <f>SUM(C13,C15,C16)</f>
        <v>0</v>
      </c>
      <c r="E33" s="40" t="s">
        <v>32</v>
      </c>
      <c r="F33" s="41"/>
      <c r="G33" s="42"/>
      <c r="H33" s="43"/>
      <c r="I33" s="42"/>
      <c r="J33" s="44"/>
    </row>
    <row r="34" spans="2:10" ht="18.75" x14ac:dyDescent="0.3">
      <c r="B34" s="45" t="s">
        <v>16</v>
      </c>
      <c r="C34" s="79">
        <f>SUM(C31:C33)</f>
        <v>0</v>
      </c>
      <c r="G34" s="36"/>
      <c r="H34" s="37"/>
      <c r="I34" s="36"/>
      <c r="J34" s="36"/>
    </row>
  </sheetData>
  <mergeCells count="6">
    <mergeCell ref="G31:H31"/>
    <mergeCell ref="A1:K1"/>
    <mergeCell ref="A2:K2"/>
    <mergeCell ref="A3:K3"/>
    <mergeCell ref="A10:K10"/>
    <mergeCell ref="A23:K23"/>
  </mergeCell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C0F62-57C5-4669-8ED6-89FC2B16121E}">
  <dimension ref="A1:K34"/>
  <sheetViews>
    <sheetView workbookViewId="0">
      <selection sqref="A1:K34"/>
    </sheetView>
  </sheetViews>
  <sheetFormatPr defaultRowHeight="15" x14ac:dyDescent="0.25"/>
  <sheetData>
    <row r="1" spans="1:11" ht="48.75" x14ac:dyDescent="0.25">
      <c r="A1" s="128" t="s">
        <v>458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553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46204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46203</v>
      </c>
      <c r="K5" s="8" t="s">
        <v>33</v>
      </c>
    </row>
    <row r="6" spans="1:11" ht="15.75" x14ac:dyDescent="0.25">
      <c r="A6" s="3">
        <v>2</v>
      </c>
      <c r="B6" s="3"/>
      <c r="C6" s="80">
        <v>0</v>
      </c>
      <c r="D6" s="5">
        <v>46204</v>
      </c>
      <c r="E6" s="6">
        <v>0</v>
      </c>
      <c r="F6" s="3" t="s">
        <v>14</v>
      </c>
      <c r="G6" s="49"/>
      <c r="H6" s="7">
        <v>0</v>
      </c>
      <c r="I6" s="3" t="s">
        <v>15</v>
      </c>
      <c r="J6" s="5">
        <f>+D6-1</f>
        <v>46203</v>
      </c>
      <c r="K6" s="8"/>
    </row>
    <row r="7" spans="1:11" ht="15.75" x14ac:dyDescent="0.25">
      <c r="A7" s="3">
        <v>3</v>
      </c>
      <c r="B7" s="3"/>
      <c r="C7" s="80">
        <v>0</v>
      </c>
      <c r="D7" s="5"/>
      <c r="E7" s="6"/>
      <c r="F7" s="3"/>
      <c r="G7" s="49"/>
      <c r="H7" s="7"/>
      <c r="I7" s="3"/>
      <c r="J7" s="5"/>
      <c r="K7" s="8"/>
    </row>
    <row r="8" spans="1:11" ht="18.75" x14ac:dyDescent="0.3">
      <c r="A8" s="9"/>
      <c r="B8" s="10" t="s">
        <v>16</v>
      </c>
      <c r="C8" s="81">
        <f>SUM(C5:C7)</f>
        <v>0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4" x14ac:dyDescent="0.4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75" x14ac:dyDescent="0.25">
      <c r="A11" s="3">
        <v>1</v>
      </c>
      <c r="B11" s="3"/>
      <c r="C11" s="80">
        <v>0</v>
      </c>
      <c r="D11" s="5">
        <v>46204</v>
      </c>
      <c r="E11" s="14">
        <v>0</v>
      </c>
      <c r="F11" s="13" t="s">
        <v>18</v>
      </c>
      <c r="G11" s="55"/>
      <c r="H11" s="16">
        <v>0</v>
      </c>
      <c r="I11" s="3" t="s">
        <v>19</v>
      </c>
      <c r="J11" s="5">
        <f t="shared" ref="J11:J21" si="0">+D11+1</f>
        <v>46205</v>
      </c>
      <c r="K11" s="13"/>
    </row>
    <row r="12" spans="1:11" ht="15.75" x14ac:dyDescent="0.25">
      <c r="A12" s="3">
        <v>2</v>
      </c>
      <c r="B12" s="3"/>
      <c r="C12" s="80">
        <v>0</v>
      </c>
      <c r="D12" s="5">
        <f t="shared" ref="D12:D21" si="1">+D11</f>
        <v>46204</v>
      </c>
      <c r="E12" s="14">
        <v>0</v>
      </c>
      <c r="F12" s="13" t="s">
        <v>18</v>
      </c>
      <c r="G12" s="55"/>
      <c r="H12" s="16">
        <v>0</v>
      </c>
      <c r="I12" s="3" t="s">
        <v>15</v>
      </c>
      <c r="J12" s="5">
        <f t="shared" si="0"/>
        <v>46205</v>
      </c>
      <c r="K12" s="13"/>
    </row>
    <row r="13" spans="1:11" ht="15.75" x14ac:dyDescent="0.25">
      <c r="A13" s="3">
        <v>3</v>
      </c>
      <c r="B13" s="3"/>
      <c r="C13" s="80">
        <v>0</v>
      </c>
      <c r="D13" s="5">
        <f t="shared" si="1"/>
        <v>46204</v>
      </c>
      <c r="E13" s="14">
        <v>0</v>
      </c>
      <c r="F13" s="13" t="s">
        <v>18</v>
      </c>
      <c r="G13" s="55"/>
      <c r="H13" s="16">
        <v>0</v>
      </c>
      <c r="I13" s="3" t="s">
        <v>15</v>
      </c>
      <c r="J13" s="5">
        <f t="shared" si="0"/>
        <v>46205</v>
      </c>
      <c r="K13" s="13"/>
    </row>
    <row r="14" spans="1:11" ht="15.75" x14ac:dyDescent="0.25">
      <c r="A14" s="3">
        <v>4</v>
      </c>
      <c r="B14" s="3"/>
      <c r="C14" s="80">
        <v>0</v>
      </c>
      <c r="D14" s="5">
        <f t="shared" si="1"/>
        <v>46204</v>
      </c>
      <c r="E14" s="14">
        <v>0</v>
      </c>
      <c r="F14" s="13" t="s">
        <v>18</v>
      </c>
      <c r="G14" s="55"/>
      <c r="H14" s="16">
        <v>0</v>
      </c>
      <c r="I14" s="3" t="s">
        <v>15</v>
      </c>
      <c r="J14" s="5">
        <f t="shared" si="0"/>
        <v>46205</v>
      </c>
      <c r="K14" s="13"/>
    </row>
    <row r="15" spans="1:11" ht="15.75" x14ac:dyDescent="0.25">
      <c r="A15" s="3">
        <v>5</v>
      </c>
      <c r="B15" s="3"/>
      <c r="C15" s="80">
        <v>0</v>
      </c>
      <c r="D15" s="5">
        <f t="shared" si="1"/>
        <v>46204</v>
      </c>
      <c r="E15" s="14">
        <v>0</v>
      </c>
      <c r="F15" s="13" t="s">
        <v>18</v>
      </c>
      <c r="G15" s="55"/>
      <c r="H15" s="16">
        <v>0</v>
      </c>
      <c r="I15" s="3" t="s">
        <v>15</v>
      </c>
      <c r="J15" s="5">
        <f t="shared" si="0"/>
        <v>46205</v>
      </c>
      <c r="K15" s="13"/>
    </row>
    <row r="16" spans="1:11" ht="15.75" x14ac:dyDescent="0.25">
      <c r="A16" s="3">
        <v>6</v>
      </c>
      <c r="B16" s="3"/>
      <c r="C16" s="80">
        <v>0</v>
      </c>
      <c r="D16" s="5">
        <f t="shared" si="1"/>
        <v>46204</v>
      </c>
      <c r="E16" s="14">
        <v>0</v>
      </c>
      <c r="F16" s="13" t="s">
        <v>18</v>
      </c>
      <c r="G16" s="55"/>
      <c r="H16" s="16">
        <v>0</v>
      </c>
      <c r="I16" s="3" t="s">
        <v>15</v>
      </c>
      <c r="J16" s="5">
        <f t="shared" si="0"/>
        <v>46205</v>
      </c>
      <c r="K16" s="13"/>
    </row>
    <row r="17" spans="1:11" ht="15.75" x14ac:dyDescent="0.25">
      <c r="A17" s="3">
        <v>7</v>
      </c>
      <c r="B17" s="3"/>
      <c r="C17" s="80">
        <v>0</v>
      </c>
      <c r="D17" s="5">
        <f t="shared" si="1"/>
        <v>46204</v>
      </c>
      <c r="E17" s="14">
        <v>0</v>
      </c>
      <c r="F17" s="13" t="s">
        <v>18</v>
      </c>
      <c r="G17" s="55"/>
      <c r="H17" s="16">
        <v>0</v>
      </c>
      <c r="I17" s="3" t="s">
        <v>15</v>
      </c>
      <c r="J17" s="5">
        <f t="shared" si="0"/>
        <v>46205</v>
      </c>
      <c r="K17" s="13"/>
    </row>
    <row r="18" spans="1:11" ht="15.75" x14ac:dyDescent="0.25">
      <c r="A18" s="3">
        <v>8</v>
      </c>
      <c r="B18" s="3"/>
      <c r="C18" s="80">
        <v>0</v>
      </c>
      <c r="D18" s="5">
        <f t="shared" si="1"/>
        <v>46204</v>
      </c>
      <c r="E18" s="14">
        <v>0</v>
      </c>
      <c r="F18" s="13" t="s">
        <v>18</v>
      </c>
      <c r="G18" s="55"/>
      <c r="H18" s="16">
        <v>0</v>
      </c>
      <c r="I18" s="3" t="s">
        <v>15</v>
      </c>
      <c r="J18" s="5">
        <f t="shared" si="0"/>
        <v>46205</v>
      </c>
      <c r="K18" s="13"/>
    </row>
    <row r="19" spans="1:11" ht="15.75" x14ac:dyDescent="0.25">
      <c r="A19" s="3">
        <v>9</v>
      </c>
      <c r="B19" s="3"/>
      <c r="C19" s="80">
        <v>0</v>
      </c>
      <c r="D19" s="5">
        <f t="shared" si="1"/>
        <v>46204</v>
      </c>
      <c r="E19" s="14">
        <v>0</v>
      </c>
      <c r="F19" s="13" t="s">
        <v>18</v>
      </c>
      <c r="G19" s="55"/>
      <c r="H19" s="16">
        <v>0</v>
      </c>
      <c r="I19" s="3" t="s">
        <v>15</v>
      </c>
      <c r="J19" s="5">
        <f t="shared" si="0"/>
        <v>46205</v>
      </c>
      <c r="K19" s="13"/>
    </row>
    <row r="20" spans="1:11" ht="15.75" x14ac:dyDescent="0.25">
      <c r="A20" s="3">
        <v>10</v>
      </c>
      <c r="B20" s="3"/>
      <c r="C20" s="80">
        <v>0</v>
      </c>
      <c r="D20" s="5">
        <f t="shared" si="1"/>
        <v>46204</v>
      </c>
      <c r="E20" s="14">
        <v>0</v>
      </c>
      <c r="F20" s="13" t="s">
        <v>18</v>
      </c>
      <c r="G20" s="55"/>
      <c r="H20" s="16">
        <v>0</v>
      </c>
      <c r="I20" s="3" t="s">
        <v>15</v>
      </c>
      <c r="J20" s="5">
        <f t="shared" si="0"/>
        <v>46205</v>
      </c>
      <c r="K20" s="13"/>
    </row>
    <row r="21" spans="1:11" ht="15.75" x14ac:dyDescent="0.25">
      <c r="A21" s="3">
        <v>11</v>
      </c>
      <c r="B21" s="3"/>
      <c r="C21" s="80">
        <v>0</v>
      </c>
      <c r="D21" s="5">
        <f t="shared" si="1"/>
        <v>46204</v>
      </c>
      <c r="E21" s="14">
        <v>0</v>
      </c>
      <c r="F21" s="13" t="s">
        <v>18</v>
      </c>
      <c r="G21" s="55"/>
      <c r="H21" s="16">
        <v>0</v>
      </c>
      <c r="I21" s="3" t="s">
        <v>15</v>
      </c>
      <c r="J21" s="5">
        <f t="shared" si="0"/>
        <v>46205</v>
      </c>
      <c r="K21" s="13"/>
    </row>
    <row r="22" spans="1:11" ht="18.75" x14ac:dyDescent="0.3">
      <c r="A22" s="3"/>
      <c r="B22" s="17" t="s">
        <v>16</v>
      </c>
      <c r="C22" s="82">
        <f>SUM(C11:C21)</f>
        <v>0</v>
      </c>
      <c r="D22" s="3"/>
      <c r="E22" s="3"/>
      <c r="F22" s="13"/>
      <c r="G22" s="13"/>
      <c r="H22" s="11"/>
      <c r="I22" s="3"/>
      <c r="J22" s="3"/>
      <c r="K22" s="3"/>
    </row>
    <row r="23" spans="1:11" ht="24.75" x14ac:dyDescent="0.5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.75" x14ac:dyDescent="0.3">
      <c r="A24" s="19" t="s">
        <v>3</v>
      </c>
      <c r="B24" s="19" t="s">
        <v>21</v>
      </c>
      <c r="C24" s="5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75" x14ac:dyDescent="0.25">
      <c r="A25" s="8">
        <v>1</v>
      </c>
      <c r="B25" s="8"/>
      <c r="C25" s="75">
        <v>0</v>
      </c>
      <c r="D25" s="5">
        <v>46204</v>
      </c>
      <c r="E25" s="8"/>
      <c r="F25" s="8"/>
      <c r="G25" s="22"/>
      <c r="H25" s="23"/>
      <c r="I25" s="24"/>
      <c r="J25" s="5">
        <v>46204</v>
      </c>
      <c r="K25" s="13"/>
    </row>
    <row r="26" spans="1:11" ht="15.75" x14ac:dyDescent="0.25">
      <c r="A26" s="8">
        <v>2</v>
      </c>
      <c r="B26" s="8"/>
      <c r="C26" s="75">
        <v>0</v>
      </c>
      <c r="D26" s="5">
        <v>46204</v>
      </c>
      <c r="E26" s="8"/>
      <c r="F26" s="8"/>
      <c r="G26" s="22"/>
      <c r="H26" s="23"/>
      <c r="I26" s="24"/>
      <c r="J26" s="5">
        <v>46204</v>
      </c>
      <c r="K26" s="13"/>
    </row>
    <row r="27" spans="1:11" ht="15.75" x14ac:dyDescent="0.25">
      <c r="A27" s="8">
        <v>3</v>
      </c>
      <c r="B27" s="8"/>
      <c r="C27" s="75">
        <v>0</v>
      </c>
      <c r="D27" s="5">
        <v>46204</v>
      </c>
      <c r="E27" s="8"/>
      <c r="F27" s="8"/>
      <c r="G27" s="22"/>
      <c r="H27" s="23"/>
      <c r="I27" s="24"/>
      <c r="J27" s="5">
        <v>46204</v>
      </c>
      <c r="K27" s="13"/>
    </row>
    <row r="28" spans="1:11" ht="15.75" x14ac:dyDescent="0.25">
      <c r="A28" s="8">
        <v>4</v>
      </c>
      <c r="B28" s="8"/>
      <c r="C28" s="75">
        <v>0</v>
      </c>
      <c r="D28" s="5">
        <v>46204</v>
      </c>
      <c r="E28" s="8"/>
      <c r="F28" s="8"/>
      <c r="G28" s="22"/>
      <c r="H28" s="23"/>
      <c r="I28" s="24"/>
      <c r="J28" s="5">
        <v>46204</v>
      </c>
      <c r="K28" s="13"/>
    </row>
    <row r="29" spans="1:11" ht="18.75" x14ac:dyDescent="0.25">
      <c r="A29" s="8"/>
      <c r="B29" s="25" t="s">
        <v>27</v>
      </c>
      <c r="C29" s="83">
        <f>SUM(C25:C28)</f>
        <v>0</v>
      </c>
      <c r="D29" s="3"/>
      <c r="E29" s="8"/>
      <c r="F29" s="8"/>
      <c r="G29" s="8"/>
      <c r="H29" s="27">
        <v>0</v>
      </c>
      <c r="I29" s="24"/>
      <c r="J29" s="3"/>
      <c r="K29" s="28"/>
    </row>
    <row r="30" spans="1:11" x14ac:dyDescent="0.25">
      <c r="C30" s="29"/>
      <c r="H30" s="29"/>
    </row>
    <row r="31" spans="1:11" ht="16.5" x14ac:dyDescent="0.3">
      <c r="B31" s="30" t="s">
        <v>28</v>
      </c>
      <c r="C31" s="76">
        <f>SUM(C14,C19)</f>
        <v>0</v>
      </c>
      <c r="E31" s="32"/>
      <c r="F31" s="32"/>
      <c r="G31" s="116"/>
      <c r="H31" s="116"/>
    </row>
    <row r="32" spans="1:11" ht="16.5" x14ac:dyDescent="0.3">
      <c r="B32" s="33" t="s">
        <v>29</v>
      </c>
      <c r="C32" s="77">
        <f>SUM(C11,C12,C17,C18,C20,C21)</f>
        <v>0</v>
      </c>
      <c r="E32" s="35"/>
      <c r="F32" s="35"/>
      <c r="G32" s="36" t="s">
        <v>30</v>
      </c>
      <c r="H32" s="37"/>
    </row>
    <row r="33" spans="2:10" ht="24" x14ac:dyDescent="0.4">
      <c r="B33" s="38" t="s">
        <v>31</v>
      </c>
      <c r="C33" s="78">
        <f>SUM(C13,C15,C16)</f>
        <v>0</v>
      </c>
      <c r="E33" s="40" t="s">
        <v>32</v>
      </c>
      <c r="F33" s="41"/>
      <c r="G33" s="42"/>
      <c r="H33" s="43"/>
      <c r="I33" s="42"/>
      <c r="J33" s="44"/>
    </row>
    <row r="34" spans="2:10" ht="18.75" x14ac:dyDescent="0.3">
      <c r="B34" s="45" t="s">
        <v>16</v>
      </c>
      <c r="C34" s="79">
        <f>SUM(C31:C33)</f>
        <v>0</v>
      </c>
      <c r="G34" s="36"/>
      <c r="H34" s="37"/>
      <c r="I34" s="36"/>
      <c r="J34" s="36"/>
    </row>
  </sheetData>
  <mergeCells count="6">
    <mergeCell ref="G31:H31"/>
    <mergeCell ref="A1:K1"/>
    <mergeCell ref="A2:K2"/>
    <mergeCell ref="A3:K3"/>
    <mergeCell ref="A10:K10"/>
    <mergeCell ref="A23:K23"/>
  </mergeCell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6ED0A-569B-4691-86F1-43A975EAEE4B}">
  <dimension ref="A1:K34"/>
  <sheetViews>
    <sheetView workbookViewId="0">
      <selection sqref="A1:K34"/>
    </sheetView>
  </sheetViews>
  <sheetFormatPr defaultRowHeight="15" x14ac:dyDescent="0.25"/>
  <sheetData>
    <row r="1" spans="1:11" ht="48.75" x14ac:dyDescent="0.25">
      <c r="A1" s="128" t="s">
        <v>458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ht="28.5" x14ac:dyDescent="0.45">
      <c r="A2" s="129" t="s">
        <v>553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ht="24" x14ac:dyDescent="0.4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.75" x14ac:dyDescent="0.3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x14ac:dyDescent="0.25">
      <c r="A5" s="3">
        <v>1</v>
      </c>
      <c r="B5" s="3" t="s">
        <v>51</v>
      </c>
      <c r="C5" s="80">
        <v>0</v>
      </c>
      <c r="D5" s="5">
        <v>46204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46203</v>
      </c>
      <c r="K5" s="8" t="s">
        <v>33</v>
      </c>
    </row>
    <row r="6" spans="1:11" ht="15.75" x14ac:dyDescent="0.25">
      <c r="A6" s="3">
        <v>2</v>
      </c>
      <c r="B6" s="3"/>
      <c r="C6" s="80">
        <v>0</v>
      </c>
      <c r="D6" s="5">
        <v>46204</v>
      </c>
      <c r="E6" s="6">
        <v>0</v>
      </c>
      <c r="F6" s="3" t="s">
        <v>14</v>
      </c>
      <c r="G6" s="49"/>
      <c r="H6" s="7">
        <v>0</v>
      </c>
      <c r="I6" s="3" t="s">
        <v>15</v>
      </c>
      <c r="J6" s="5">
        <f>+D6-1</f>
        <v>46203</v>
      </c>
      <c r="K6" s="8"/>
    </row>
    <row r="7" spans="1:11" ht="15.75" x14ac:dyDescent="0.25">
      <c r="A7" s="3">
        <v>3</v>
      </c>
      <c r="B7" s="3"/>
      <c r="C7" s="80">
        <v>0</v>
      </c>
      <c r="D7" s="5"/>
      <c r="E7" s="6"/>
      <c r="F7" s="3"/>
      <c r="G7" s="49"/>
      <c r="H7" s="7"/>
      <c r="I7" s="3"/>
      <c r="J7" s="5"/>
      <c r="K7" s="8"/>
    </row>
    <row r="8" spans="1:11" ht="18.75" x14ac:dyDescent="0.3">
      <c r="A8" s="9"/>
      <c r="B8" s="10" t="s">
        <v>16</v>
      </c>
      <c r="C8" s="81">
        <f>SUM(C5:C7)</f>
        <v>0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4" x14ac:dyDescent="0.4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75" x14ac:dyDescent="0.25">
      <c r="A11" s="3">
        <v>1</v>
      </c>
      <c r="B11" s="3"/>
      <c r="C11" s="80">
        <v>0</v>
      </c>
      <c r="D11" s="5">
        <v>46204</v>
      </c>
      <c r="E11" s="14">
        <v>0</v>
      </c>
      <c r="F11" s="13" t="s">
        <v>18</v>
      </c>
      <c r="G11" s="55"/>
      <c r="H11" s="16">
        <v>0</v>
      </c>
      <c r="I11" s="3" t="s">
        <v>19</v>
      </c>
      <c r="J11" s="5">
        <f t="shared" ref="J11:J21" si="0">+D11+1</f>
        <v>46205</v>
      </c>
      <c r="K11" s="13"/>
    </row>
    <row r="12" spans="1:11" ht="15.75" x14ac:dyDescent="0.25">
      <c r="A12" s="3">
        <v>2</v>
      </c>
      <c r="B12" s="3"/>
      <c r="C12" s="80">
        <v>0</v>
      </c>
      <c r="D12" s="5">
        <f t="shared" ref="D12:D21" si="1">+D11</f>
        <v>46204</v>
      </c>
      <c r="E12" s="14">
        <v>0</v>
      </c>
      <c r="F12" s="13" t="s">
        <v>18</v>
      </c>
      <c r="G12" s="55"/>
      <c r="H12" s="16">
        <v>0</v>
      </c>
      <c r="I12" s="3" t="s">
        <v>15</v>
      </c>
      <c r="J12" s="5">
        <f t="shared" si="0"/>
        <v>46205</v>
      </c>
      <c r="K12" s="13"/>
    </row>
    <row r="13" spans="1:11" ht="15.75" x14ac:dyDescent="0.25">
      <c r="A13" s="3">
        <v>3</v>
      </c>
      <c r="B13" s="3"/>
      <c r="C13" s="80">
        <v>0</v>
      </c>
      <c r="D13" s="5">
        <f t="shared" si="1"/>
        <v>46204</v>
      </c>
      <c r="E13" s="14">
        <v>0</v>
      </c>
      <c r="F13" s="13" t="s">
        <v>18</v>
      </c>
      <c r="G13" s="55"/>
      <c r="H13" s="16">
        <v>0</v>
      </c>
      <c r="I13" s="3" t="s">
        <v>15</v>
      </c>
      <c r="J13" s="5">
        <f t="shared" si="0"/>
        <v>46205</v>
      </c>
      <c r="K13" s="13"/>
    </row>
    <row r="14" spans="1:11" ht="15.75" x14ac:dyDescent="0.25">
      <c r="A14" s="3">
        <v>4</v>
      </c>
      <c r="B14" s="3"/>
      <c r="C14" s="80">
        <v>0</v>
      </c>
      <c r="D14" s="5">
        <f t="shared" si="1"/>
        <v>46204</v>
      </c>
      <c r="E14" s="14">
        <v>0</v>
      </c>
      <c r="F14" s="13" t="s">
        <v>18</v>
      </c>
      <c r="G14" s="55"/>
      <c r="H14" s="16">
        <v>0</v>
      </c>
      <c r="I14" s="3" t="s">
        <v>15</v>
      </c>
      <c r="J14" s="5">
        <f t="shared" si="0"/>
        <v>46205</v>
      </c>
      <c r="K14" s="13"/>
    </row>
    <row r="15" spans="1:11" ht="15.75" x14ac:dyDescent="0.25">
      <c r="A15" s="3">
        <v>5</v>
      </c>
      <c r="B15" s="3"/>
      <c r="C15" s="80">
        <v>0</v>
      </c>
      <c r="D15" s="5">
        <f t="shared" si="1"/>
        <v>46204</v>
      </c>
      <c r="E15" s="14">
        <v>0</v>
      </c>
      <c r="F15" s="13" t="s">
        <v>18</v>
      </c>
      <c r="G15" s="55"/>
      <c r="H15" s="16">
        <v>0</v>
      </c>
      <c r="I15" s="3" t="s">
        <v>15</v>
      </c>
      <c r="J15" s="5">
        <f t="shared" si="0"/>
        <v>46205</v>
      </c>
      <c r="K15" s="13"/>
    </row>
    <row r="16" spans="1:11" ht="15.75" x14ac:dyDescent="0.25">
      <c r="A16" s="3">
        <v>6</v>
      </c>
      <c r="B16" s="3"/>
      <c r="C16" s="80">
        <v>0</v>
      </c>
      <c r="D16" s="5">
        <f t="shared" si="1"/>
        <v>46204</v>
      </c>
      <c r="E16" s="14">
        <v>0</v>
      </c>
      <c r="F16" s="13" t="s">
        <v>18</v>
      </c>
      <c r="G16" s="55"/>
      <c r="H16" s="16">
        <v>0</v>
      </c>
      <c r="I16" s="3" t="s">
        <v>15</v>
      </c>
      <c r="J16" s="5">
        <f t="shared" si="0"/>
        <v>46205</v>
      </c>
      <c r="K16" s="13"/>
    </row>
    <row r="17" spans="1:11" ht="15.75" x14ac:dyDescent="0.25">
      <c r="A17" s="3">
        <v>7</v>
      </c>
      <c r="B17" s="3"/>
      <c r="C17" s="80">
        <v>0</v>
      </c>
      <c r="D17" s="5">
        <f t="shared" si="1"/>
        <v>46204</v>
      </c>
      <c r="E17" s="14">
        <v>0</v>
      </c>
      <c r="F17" s="13" t="s">
        <v>18</v>
      </c>
      <c r="G17" s="55"/>
      <c r="H17" s="16">
        <v>0</v>
      </c>
      <c r="I17" s="3" t="s">
        <v>15</v>
      </c>
      <c r="J17" s="5">
        <f t="shared" si="0"/>
        <v>46205</v>
      </c>
      <c r="K17" s="13"/>
    </row>
    <row r="18" spans="1:11" ht="15.75" x14ac:dyDescent="0.25">
      <c r="A18" s="3">
        <v>8</v>
      </c>
      <c r="B18" s="3"/>
      <c r="C18" s="80">
        <v>0</v>
      </c>
      <c r="D18" s="5">
        <f t="shared" si="1"/>
        <v>46204</v>
      </c>
      <c r="E18" s="14">
        <v>0</v>
      </c>
      <c r="F18" s="13" t="s">
        <v>18</v>
      </c>
      <c r="G18" s="55"/>
      <c r="H18" s="16">
        <v>0</v>
      </c>
      <c r="I18" s="3" t="s">
        <v>15</v>
      </c>
      <c r="J18" s="5">
        <f t="shared" si="0"/>
        <v>46205</v>
      </c>
      <c r="K18" s="13"/>
    </row>
    <row r="19" spans="1:11" ht="15.75" x14ac:dyDescent="0.25">
      <c r="A19" s="3">
        <v>9</v>
      </c>
      <c r="B19" s="3"/>
      <c r="C19" s="80">
        <v>0</v>
      </c>
      <c r="D19" s="5">
        <f t="shared" si="1"/>
        <v>46204</v>
      </c>
      <c r="E19" s="14">
        <v>0</v>
      </c>
      <c r="F19" s="13" t="s">
        <v>18</v>
      </c>
      <c r="G19" s="55"/>
      <c r="H19" s="16">
        <v>0</v>
      </c>
      <c r="I19" s="3" t="s">
        <v>15</v>
      </c>
      <c r="J19" s="5">
        <f t="shared" si="0"/>
        <v>46205</v>
      </c>
      <c r="K19" s="13"/>
    </row>
    <row r="20" spans="1:11" ht="15.75" x14ac:dyDescent="0.25">
      <c r="A20" s="3">
        <v>10</v>
      </c>
      <c r="B20" s="3"/>
      <c r="C20" s="80">
        <v>0</v>
      </c>
      <c r="D20" s="5">
        <f t="shared" si="1"/>
        <v>46204</v>
      </c>
      <c r="E20" s="14">
        <v>0</v>
      </c>
      <c r="F20" s="13" t="s">
        <v>18</v>
      </c>
      <c r="G20" s="55"/>
      <c r="H20" s="16">
        <v>0</v>
      </c>
      <c r="I20" s="3" t="s">
        <v>15</v>
      </c>
      <c r="J20" s="5">
        <f t="shared" si="0"/>
        <v>46205</v>
      </c>
      <c r="K20" s="13"/>
    </row>
    <row r="21" spans="1:11" ht="15.75" x14ac:dyDescent="0.25">
      <c r="A21" s="3">
        <v>11</v>
      </c>
      <c r="B21" s="3"/>
      <c r="C21" s="80">
        <v>0</v>
      </c>
      <c r="D21" s="5">
        <f t="shared" si="1"/>
        <v>46204</v>
      </c>
      <c r="E21" s="14">
        <v>0</v>
      </c>
      <c r="F21" s="13" t="s">
        <v>18</v>
      </c>
      <c r="G21" s="55"/>
      <c r="H21" s="16">
        <v>0</v>
      </c>
      <c r="I21" s="3" t="s">
        <v>15</v>
      </c>
      <c r="J21" s="5">
        <f t="shared" si="0"/>
        <v>46205</v>
      </c>
      <c r="K21" s="13"/>
    </row>
    <row r="22" spans="1:11" ht="18.75" x14ac:dyDescent="0.3">
      <c r="A22" s="3"/>
      <c r="B22" s="17" t="s">
        <v>16</v>
      </c>
      <c r="C22" s="82">
        <f>SUM(C11:C21)</f>
        <v>0</v>
      </c>
      <c r="D22" s="3"/>
      <c r="E22" s="3"/>
      <c r="F22" s="13"/>
      <c r="G22" s="13"/>
      <c r="H22" s="11"/>
      <c r="I22" s="3"/>
      <c r="J22" s="3"/>
      <c r="K22" s="3"/>
    </row>
    <row r="23" spans="1:11" ht="24.75" x14ac:dyDescent="0.5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.75" x14ac:dyDescent="0.3">
      <c r="A24" s="19" t="s">
        <v>3</v>
      </c>
      <c r="B24" s="19" t="s">
        <v>21</v>
      </c>
      <c r="C24" s="5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75" x14ac:dyDescent="0.25">
      <c r="A25" s="8">
        <v>1</v>
      </c>
      <c r="B25" s="8"/>
      <c r="C25" s="75">
        <v>0</v>
      </c>
      <c r="D25" s="5">
        <v>46204</v>
      </c>
      <c r="E25" s="8"/>
      <c r="F25" s="8"/>
      <c r="G25" s="22"/>
      <c r="H25" s="23"/>
      <c r="I25" s="24"/>
      <c r="J25" s="5">
        <v>46204</v>
      </c>
      <c r="K25" s="13"/>
    </row>
    <row r="26" spans="1:11" ht="15.75" x14ac:dyDescent="0.25">
      <c r="A26" s="8">
        <v>2</v>
      </c>
      <c r="B26" s="8"/>
      <c r="C26" s="75">
        <v>0</v>
      </c>
      <c r="D26" s="5">
        <v>46204</v>
      </c>
      <c r="E26" s="8"/>
      <c r="F26" s="8"/>
      <c r="G26" s="22"/>
      <c r="H26" s="23"/>
      <c r="I26" s="24"/>
      <c r="J26" s="5">
        <v>46204</v>
      </c>
      <c r="K26" s="13"/>
    </row>
    <row r="27" spans="1:11" ht="15.75" x14ac:dyDescent="0.25">
      <c r="A27" s="8">
        <v>3</v>
      </c>
      <c r="B27" s="8"/>
      <c r="C27" s="75">
        <v>0</v>
      </c>
      <c r="D27" s="5">
        <v>46204</v>
      </c>
      <c r="E27" s="8"/>
      <c r="F27" s="8"/>
      <c r="G27" s="22"/>
      <c r="H27" s="23"/>
      <c r="I27" s="24"/>
      <c r="J27" s="5">
        <v>46204</v>
      </c>
      <c r="K27" s="13"/>
    </row>
    <row r="28" spans="1:11" ht="15.75" x14ac:dyDescent="0.25">
      <c r="A28" s="8">
        <v>4</v>
      </c>
      <c r="B28" s="8"/>
      <c r="C28" s="75">
        <v>0</v>
      </c>
      <c r="D28" s="5">
        <v>46204</v>
      </c>
      <c r="E28" s="8"/>
      <c r="F28" s="8"/>
      <c r="G28" s="22"/>
      <c r="H28" s="23"/>
      <c r="I28" s="24"/>
      <c r="J28" s="5">
        <v>46204</v>
      </c>
      <c r="K28" s="13"/>
    </row>
    <row r="29" spans="1:11" ht="18.75" x14ac:dyDescent="0.25">
      <c r="A29" s="8"/>
      <c r="B29" s="25" t="s">
        <v>27</v>
      </c>
      <c r="C29" s="83">
        <f>SUM(C25:C28)</f>
        <v>0</v>
      </c>
      <c r="D29" s="3"/>
      <c r="E29" s="8"/>
      <c r="F29" s="8"/>
      <c r="G29" s="8"/>
      <c r="H29" s="27">
        <v>0</v>
      </c>
      <c r="I29" s="24"/>
      <c r="J29" s="3"/>
      <c r="K29" s="28"/>
    </row>
    <row r="30" spans="1:11" x14ac:dyDescent="0.25">
      <c r="C30" s="29"/>
      <c r="H30" s="29"/>
    </row>
    <row r="31" spans="1:11" ht="16.5" x14ac:dyDescent="0.3">
      <c r="B31" s="30" t="s">
        <v>28</v>
      </c>
      <c r="C31" s="76">
        <f>SUM(C14,C19)</f>
        <v>0</v>
      </c>
      <c r="E31" s="32"/>
      <c r="F31" s="32"/>
      <c r="G31" s="116"/>
      <c r="H31" s="116"/>
    </row>
    <row r="32" spans="1:11" ht="16.5" x14ac:dyDescent="0.3">
      <c r="B32" s="33" t="s">
        <v>29</v>
      </c>
      <c r="C32" s="77">
        <f>SUM(C11,C12,C17,C18,C20,C21)</f>
        <v>0</v>
      </c>
      <c r="E32" s="35"/>
      <c r="F32" s="35"/>
      <c r="G32" s="36" t="s">
        <v>30</v>
      </c>
      <c r="H32" s="37"/>
    </row>
    <row r="33" spans="2:10" ht="24" x14ac:dyDescent="0.4">
      <c r="B33" s="38" t="s">
        <v>31</v>
      </c>
      <c r="C33" s="78">
        <f>SUM(C13,C15,C16)</f>
        <v>0</v>
      </c>
      <c r="E33" s="40" t="s">
        <v>32</v>
      </c>
      <c r="F33" s="41"/>
      <c r="G33" s="42"/>
      <c r="H33" s="43"/>
      <c r="I33" s="42"/>
      <c r="J33" s="44"/>
    </row>
    <row r="34" spans="2:10" ht="18.75" x14ac:dyDescent="0.3">
      <c r="B34" s="45" t="s">
        <v>16</v>
      </c>
      <c r="C34" s="79">
        <f>SUM(C31:C33)</f>
        <v>0</v>
      </c>
      <c r="G34" s="36"/>
      <c r="H34" s="37"/>
      <c r="I34" s="36"/>
      <c r="J34" s="36"/>
    </row>
  </sheetData>
  <mergeCells count="6">
    <mergeCell ref="G31:H31"/>
    <mergeCell ref="A1:K1"/>
    <mergeCell ref="A2:K2"/>
    <mergeCell ref="A3:K3"/>
    <mergeCell ref="A10:K10"/>
    <mergeCell ref="A23:K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140</vt:i4>
      </vt:variant>
      <vt:variant>
        <vt:lpstr>Named Ranges</vt:lpstr>
      </vt:variant>
      <vt:variant>
        <vt:i4>1</vt:i4>
      </vt:variant>
    </vt:vector>
  </HeadingPairs>
  <TitlesOfParts>
    <vt:vector size="141" baseType="lpstr">
      <vt:lpstr>2-MAY</vt:lpstr>
      <vt:lpstr>8-MAY</vt:lpstr>
      <vt:lpstr>12-MAY</vt:lpstr>
      <vt:lpstr>13-MAY</vt:lpstr>
      <vt:lpstr>14-MAY</vt:lpstr>
      <vt:lpstr>15-MAY</vt:lpstr>
      <vt:lpstr>16-MAY</vt:lpstr>
      <vt:lpstr>18-MAY</vt:lpstr>
      <vt:lpstr>19-MAY</vt:lpstr>
      <vt:lpstr>20-MAY</vt:lpstr>
      <vt:lpstr>21-MAY</vt:lpstr>
      <vt:lpstr>22-MAY</vt:lpstr>
      <vt:lpstr>23-MAY</vt:lpstr>
      <vt:lpstr>24-MAY</vt:lpstr>
      <vt:lpstr>25-MAY</vt:lpstr>
      <vt:lpstr>26-MAY</vt:lpstr>
      <vt:lpstr>27-MAY</vt:lpstr>
      <vt:lpstr>28-MAY</vt:lpstr>
      <vt:lpstr>29-MAY</vt:lpstr>
      <vt:lpstr>30-MAY</vt:lpstr>
      <vt:lpstr>31-MAY</vt:lpstr>
      <vt:lpstr>Sheet1</vt:lpstr>
      <vt:lpstr>Sheet2</vt:lpstr>
      <vt:lpstr>1-JUN</vt:lpstr>
      <vt:lpstr>2-JUN</vt:lpstr>
      <vt:lpstr>3-JUN</vt:lpstr>
      <vt:lpstr>4-JUN</vt:lpstr>
      <vt:lpstr>5-JUN</vt:lpstr>
      <vt:lpstr>6-JUN</vt:lpstr>
      <vt:lpstr>7-JUN</vt:lpstr>
      <vt:lpstr>8-JUN</vt:lpstr>
      <vt:lpstr>9-JUN</vt:lpstr>
      <vt:lpstr>10-JUN</vt:lpstr>
      <vt:lpstr>11-JUN</vt:lpstr>
      <vt:lpstr>12-JUN</vt:lpstr>
      <vt:lpstr>13-JUN</vt:lpstr>
      <vt:lpstr>14-JUN</vt:lpstr>
      <vt:lpstr>15-JUN</vt:lpstr>
      <vt:lpstr>16-JUN</vt:lpstr>
      <vt:lpstr>17-JUN</vt:lpstr>
      <vt:lpstr>18-JUN</vt:lpstr>
      <vt:lpstr>19-JUN</vt:lpstr>
      <vt:lpstr>20-JUN</vt:lpstr>
      <vt:lpstr>21-JUN</vt:lpstr>
      <vt:lpstr>22-JUN</vt:lpstr>
      <vt:lpstr>23-JUN</vt:lpstr>
      <vt:lpstr>24-JUN</vt:lpstr>
      <vt:lpstr>25-JUN</vt:lpstr>
      <vt:lpstr>26-JUN</vt:lpstr>
      <vt:lpstr>27-JUN</vt:lpstr>
      <vt:lpstr>28-JUN</vt:lpstr>
      <vt:lpstr>29-JUN</vt:lpstr>
      <vt:lpstr>Sheet3</vt:lpstr>
      <vt:lpstr>Sheet6</vt:lpstr>
      <vt:lpstr>30-JUN</vt:lpstr>
      <vt:lpstr>1-JUL</vt:lpstr>
      <vt:lpstr>2-JUL</vt:lpstr>
      <vt:lpstr>3-JUL</vt:lpstr>
      <vt:lpstr>4-JUL</vt:lpstr>
      <vt:lpstr>5-JUL</vt:lpstr>
      <vt:lpstr>6-JUL</vt:lpstr>
      <vt:lpstr>7-JUL</vt:lpstr>
      <vt:lpstr>8-JUL</vt:lpstr>
      <vt:lpstr>9-JUL</vt:lpstr>
      <vt:lpstr>10-JUL</vt:lpstr>
      <vt:lpstr>11-JUL</vt:lpstr>
      <vt:lpstr>12-JUL</vt:lpstr>
      <vt:lpstr>13-JUL</vt:lpstr>
      <vt:lpstr>14-JUL</vt:lpstr>
      <vt:lpstr>15-JUL</vt:lpstr>
      <vt:lpstr>16-JUL</vt:lpstr>
      <vt:lpstr>17-JUL</vt:lpstr>
      <vt:lpstr>18-JUL</vt:lpstr>
      <vt:lpstr>19-JUL</vt:lpstr>
      <vt:lpstr>20-JUL</vt:lpstr>
      <vt:lpstr>21-JUL</vt:lpstr>
      <vt:lpstr>22-JUL</vt:lpstr>
      <vt:lpstr>23-JUL</vt:lpstr>
      <vt:lpstr>24-JUL</vt:lpstr>
      <vt:lpstr>25-JUL</vt:lpstr>
      <vt:lpstr>26-JUL</vt:lpstr>
      <vt:lpstr>27-JUL</vt:lpstr>
      <vt:lpstr>28-JUL</vt:lpstr>
      <vt:lpstr>29-JUL</vt:lpstr>
      <vt:lpstr>30-JUL</vt:lpstr>
      <vt:lpstr>31-JUL</vt:lpstr>
      <vt:lpstr>1-AUG</vt:lpstr>
      <vt:lpstr>2-AUG</vt:lpstr>
      <vt:lpstr>3-AUG</vt:lpstr>
      <vt:lpstr>4-AUG</vt:lpstr>
      <vt:lpstr>5-AUG</vt:lpstr>
      <vt:lpstr>6-AUG</vt:lpstr>
      <vt:lpstr>7-AUG</vt:lpstr>
      <vt:lpstr>8-AUG</vt:lpstr>
      <vt:lpstr>9-AUG</vt:lpstr>
      <vt:lpstr>10-AUG</vt:lpstr>
      <vt:lpstr>11-AUG</vt:lpstr>
      <vt:lpstr>12-AUG</vt:lpstr>
      <vt:lpstr>13-AUG</vt:lpstr>
      <vt:lpstr>14-AUG</vt:lpstr>
      <vt:lpstr>15-AUG</vt:lpstr>
      <vt:lpstr>16-AUG</vt:lpstr>
      <vt:lpstr>17-AUG</vt:lpstr>
      <vt:lpstr>18-AUG</vt:lpstr>
      <vt:lpstr>19-AUG</vt:lpstr>
      <vt:lpstr>20-AUG</vt:lpstr>
      <vt:lpstr>21-AUG</vt:lpstr>
      <vt:lpstr>22-AUG</vt:lpstr>
      <vt:lpstr>23-AUG</vt:lpstr>
      <vt:lpstr>24-AUG</vt:lpstr>
      <vt:lpstr>25-AUG</vt:lpstr>
      <vt:lpstr>26-AUG</vt:lpstr>
      <vt:lpstr>27-AUG</vt:lpstr>
      <vt:lpstr>28-AUG</vt:lpstr>
      <vt:lpstr>29-AUG</vt:lpstr>
      <vt:lpstr>30-AUG</vt:lpstr>
      <vt:lpstr>31-AUG</vt:lpstr>
      <vt:lpstr>01-SEP</vt:lpstr>
      <vt:lpstr>02-SEP</vt:lpstr>
      <vt:lpstr>3-SEP</vt:lpstr>
      <vt:lpstr>4-SEP</vt:lpstr>
      <vt:lpstr>5-SEP</vt:lpstr>
      <vt:lpstr>Sheet68</vt:lpstr>
      <vt:lpstr>Sheet69</vt:lpstr>
      <vt:lpstr>Sheet70</vt:lpstr>
      <vt:lpstr>Sheet71</vt:lpstr>
      <vt:lpstr>Sheet72</vt:lpstr>
      <vt:lpstr>Sheet73</vt:lpstr>
      <vt:lpstr>Sheet74</vt:lpstr>
      <vt:lpstr>Sheet75</vt:lpstr>
      <vt:lpstr>Sheet76</vt:lpstr>
      <vt:lpstr>Sheet77</vt:lpstr>
      <vt:lpstr>Sheet78</vt:lpstr>
      <vt:lpstr>Sheet79</vt:lpstr>
      <vt:lpstr>Sheet80</vt:lpstr>
      <vt:lpstr>Sheet81</vt:lpstr>
      <vt:lpstr>Sheet82</vt:lpstr>
      <vt:lpstr>Sheet83</vt:lpstr>
      <vt:lpstr>Sheet84</vt:lpstr>
      <vt:lpstr>Sheet85</vt:lpstr>
      <vt:lpstr>'22-JUL'!Print_Area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 Shubh Travel</dc:creator>
  <cp:lastModifiedBy>Shree Shubh Travel</cp:lastModifiedBy>
  <cp:lastPrinted>2026-09-05T10:06:56Z</cp:lastPrinted>
  <dcterms:created xsi:type="dcterms:W3CDTF">2026-05-19T06:01:59Z</dcterms:created>
  <dcterms:modified xsi:type="dcterms:W3CDTF">2026-09-06T07:22:38Z</dcterms:modified>
</cp:coreProperties>
</file>