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350fedc979bdaa/Documents/"/>
    </mc:Choice>
  </mc:AlternateContent>
  <xr:revisionPtr revIDLastSave="0" documentId="8_{44C199A0-9E48-4C47-987F-95558003AF26}" xr6:coauthVersionLast="47" xr6:coauthVersionMax="47" xr10:uidLastSave="{00000000-0000-0000-0000-000000000000}"/>
  <bookViews>
    <workbookView xWindow="-120" yWindow="-120" windowWidth="21840" windowHeight="13140" activeTab="6" xr2:uid="{0721810E-701F-4626-B224-B2483DD0B311}"/>
  </bookViews>
  <sheets>
    <sheet name="1-SEP" sheetId="1" r:id="rId1"/>
    <sheet name="2-SEP" sheetId="2" r:id="rId2"/>
    <sheet name="3-SEP" sheetId="3" r:id="rId3"/>
    <sheet name="4-SEP" sheetId="4" r:id="rId4"/>
    <sheet name="5-SEP" sheetId="5" r:id="rId5"/>
    <sheet name="6-SEP" sheetId="6" r:id="rId6"/>
    <sheet name="7-S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1" i="7" l="1"/>
  <c r="C30" i="7"/>
  <c r="C29" i="7"/>
  <c r="C32" i="7" s="1"/>
  <c r="C27" i="7"/>
  <c r="C19" i="7"/>
  <c r="D12" i="7"/>
  <c r="D13" i="7" s="1"/>
  <c r="D11" i="7"/>
  <c r="J11" i="7" s="1"/>
  <c r="J10" i="7"/>
  <c r="H7" i="7"/>
  <c r="C7" i="7"/>
  <c r="J6" i="7"/>
  <c r="J5" i="7"/>
  <c r="C19" i="6"/>
  <c r="C18" i="6"/>
  <c r="C21" i="6" s="1"/>
  <c r="C16" i="6"/>
  <c r="C11" i="6"/>
  <c r="D10" i="6"/>
  <c r="J10" i="6" s="1"/>
  <c r="J9" i="6"/>
  <c r="H6" i="6"/>
  <c r="C6" i="6"/>
  <c r="J5" i="6"/>
  <c r="C30" i="5"/>
  <c r="C29" i="5"/>
  <c r="C32" i="5" s="1"/>
  <c r="C27" i="5"/>
  <c r="C18" i="5"/>
  <c r="J10" i="5"/>
  <c r="D10" i="5"/>
  <c r="D11" i="5" s="1"/>
  <c r="J9" i="5"/>
  <c r="H6" i="5"/>
  <c r="C6" i="5"/>
  <c r="J5" i="5"/>
  <c r="C28" i="4"/>
  <c r="C27" i="4"/>
  <c r="C30" i="4" s="1"/>
  <c r="C25" i="4"/>
  <c r="C20" i="4"/>
  <c r="D11" i="4"/>
  <c r="D12" i="4" s="1"/>
  <c r="J10" i="4"/>
  <c r="H7" i="4"/>
  <c r="C7" i="4"/>
  <c r="J6" i="4"/>
  <c r="J5" i="4"/>
  <c r="C20" i="3"/>
  <c r="C23" i="3" s="1"/>
  <c r="C18" i="3"/>
  <c r="C12" i="3"/>
  <c r="D11" i="3"/>
  <c r="J11" i="3" s="1"/>
  <c r="J10" i="3"/>
  <c r="H7" i="3"/>
  <c r="C7" i="3"/>
  <c r="J6" i="3"/>
  <c r="J5" i="3"/>
  <c r="C27" i="2"/>
  <c r="C26" i="2"/>
  <c r="C29" i="2" s="1"/>
  <c r="C24" i="2"/>
  <c r="C20" i="2"/>
  <c r="J12" i="2"/>
  <c r="D12" i="2"/>
  <c r="D13" i="2" s="1"/>
  <c r="J11" i="2"/>
  <c r="H8" i="2"/>
  <c r="C8" i="2"/>
  <c r="J6" i="2"/>
  <c r="J5" i="2"/>
  <c r="C31" i="1"/>
  <c r="C29" i="1"/>
  <c r="C28" i="1"/>
  <c r="C26" i="1"/>
  <c r="C19" i="1"/>
  <c r="D11" i="1"/>
  <c r="D12" i="1" s="1"/>
  <c r="D10" i="1"/>
  <c r="J10" i="1" s="1"/>
  <c r="J9" i="1"/>
  <c r="H6" i="1"/>
  <c r="C6" i="1"/>
  <c r="J5" i="1"/>
  <c r="J13" i="7" l="1"/>
  <c r="D14" i="7"/>
  <c r="J12" i="7"/>
  <c r="D12" i="5"/>
  <c r="J11" i="5"/>
  <c r="D13" i="4"/>
  <c r="J12" i="4"/>
  <c r="J11" i="4"/>
  <c r="D14" i="2"/>
  <c r="J13" i="2"/>
  <c r="J12" i="1"/>
  <c r="D13" i="1"/>
  <c r="J11" i="1"/>
  <c r="D15" i="7" l="1"/>
  <c r="J14" i="7"/>
  <c r="J12" i="5"/>
  <c r="D13" i="5"/>
  <c r="D14" i="4"/>
  <c r="J13" i="4"/>
  <c r="J14" i="2"/>
  <c r="D15" i="2"/>
  <c r="D14" i="1"/>
  <c r="J13" i="1"/>
  <c r="J15" i="7" l="1"/>
  <c r="D16" i="7"/>
  <c r="D14" i="5"/>
  <c r="J13" i="5"/>
  <c r="J14" i="4"/>
  <c r="D15" i="4"/>
  <c r="D16" i="2"/>
  <c r="J15" i="2"/>
  <c r="J14" i="1"/>
  <c r="D15" i="1"/>
  <c r="D17" i="7" l="1"/>
  <c r="J16" i="7"/>
  <c r="J14" i="5"/>
  <c r="D15" i="5"/>
  <c r="D16" i="4"/>
  <c r="J15" i="4"/>
  <c r="D17" i="2"/>
  <c r="J16" i="2"/>
  <c r="D16" i="1"/>
  <c r="J15" i="1"/>
  <c r="J17" i="7" l="1"/>
  <c r="D18" i="7"/>
  <c r="J18" i="7" s="1"/>
  <c r="D16" i="5"/>
  <c r="J15" i="5"/>
  <c r="J16" i="4"/>
  <c r="D17" i="4"/>
  <c r="D18" i="2"/>
  <c r="J17" i="2"/>
  <c r="J16" i="1"/>
  <c r="D17" i="1"/>
  <c r="J16" i="5" l="1"/>
  <c r="D17" i="5"/>
  <c r="J17" i="5" s="1"/>
  <c r="D18" i="4"/>
  <c r="J17" i="4"/>
  <c r="J18" i="2"/>
  <c r="D19" i="2"/>
  <c r="J19" i="2" s="1"/>
  <c r="D18" i="1"/>
  <c r="J18" i="1" s="1"/>
  <c r="J17" i="1"/>
  <c r="J18" i="4" l="1"/>
  <c r="D19" i="4"/>
  <c r="J19" i="4" s="1"/>
</calcChain>
</file>

<file path=xl/sharedStrings.xml><?xml version="1.0" encoding="utf-8"?>
<sst xmlns="http://schemas.openxmlformats.org/spreadsheetml/2006/main" count="541" uniqueCount="140">
  <si>
    <t xml:space="preserve">                                   SHREE   SHUBH   TRAVEL                               (HDFC)</t>
  </si>
  <si>
    <t>ONLINE STATEMENT REPORT-01 SEP  2026</t>
  </si>
  <si>
    <t>HDFC RECEIVED DETAILS</t>
  </si>
  <si>
    <t>SN</t>
  </si>
  <si>
    <t xml:space="preserve">CR. </t>
  </si>
  <si>
    <t>NET AMT</t>
  </si>
  <si>
    <t>DATE/TIME</t>
  </si>
  <si>
    <t>VIA</t>
  </si>
  <si>
    <t>TYPE</t>
  </si>
  <si>
    <t xml:space="preserve">TRANS. ID </t>
  </si>
  <si>
    <t>P.FEE</t>
  </si>
  <si>
    <t>STATUS</t>
  </si>
  <si>
    <t>SATTEL DATE</t>
  </si>
  <si>
    <t>COMMENT</t>
  </si>
  <si>
    <t>UPI SETTLEMENT</t>
  </si>
  <si>
    <t>NEFT</t>
  </si>
  <si>
    <t>DONE</t>
  </si>
  <si>
    <t>PAYZAPP</t>
  </si>
  <si>
    <t>TOTAL</t>
  </si>
  <si>
    <t>PAYZAPP RECEIVED TRANSACTION DETAILS</t>
  </si>
  <si>
    <t>KAJAL MAURYA</t>
  </si>
  <si>
    <t>UPI</t>
  </si>
  <si>
    <t xml:space="preserve">DONE </t>
  </si>
  <si>
    <t>YTSK 1604</t>
  </si>
  <si>
    <t>SIMA DEVI</t>
  </si>
  <si>
    <t xml:space="preserve">AKB FLIGHT </t>
  </si>
  <si>
    <t xml:space="preserve">RITIK KUMAR GUPTA </t>
  </si>
  <si>
    <t>MS PRATIMA</t>
  </si>
  <si>
    <t>REC AKB 29/8</t>
  </si>
  <si>
    <t>JITENDRA YADAV</t>
  </si>
  <si>
    <t xml:space="preserve">VASHIM AKRAM </t>
  </si>
  <si>
    <t>ASLAM HANDLOOM</t>
  </si>
  <si>
    <t xml:space="preserve">JAI PRAKASH LAL </t>
  </si>
  <si>
    <t>MR RAKESH K SINGH</t>
  </si>
  <si>
    <t xml:space="preserve">ONLINE PAYMENT TRANSACTION DETAILS </t>
  </si>
  <si>
    <t>DR.</t>
  </si>
  <si>
    <t>DATE</t>
  </si>
  <si>
    <t xml:space="preserve">TRANS ID </t>
  </si>
  <si>
    <t>P. FEES</t>
  </si>
  <si>
    <t>SATTEL .DATE</t>
  </si>
  <si>
    <t>COMMENTS</t>
  </si>
  <si>
    <t>ABDUL ALEEM</t>
  </si>
  <si>
    <t xml:space="preserve">INNOVA OIL </t>
  </si>
  <si>
    <t>RAVIVO AIR TICKET</t>
  </si>
  <si>
    <t xml:space="preserve">COCKPIT PAYMENT </t>
  </si>
  <si>
    <t>BILL DESK PAYMENT</t>
  </si>
  <si>
    <t>GULAM YAZDANI</t>
  </si>
  <si>
    <t xml:space="preserve">LIGHT MISTRI </t>
  </si>
  <si>
    <t xml:space="preserve">TOTAL </t>
  </si>
  <si>
    <t>AKBAR HO</t>
  </si>
  <si>
    <t>YTSK-</t>
  </si>
  <si>
    <t xml:space="preserve"> </t>
  </si>
  <si>
    <t>OTHER</t>
  </si>
  <si>
    <t>VERIFY</t>
  </si>
  <si>
    <t>ONLINE STATEMENT REPORT- 02-SET  2026</t>
  </si>
  <si>
    <t xml:space="preserve">CARDLESS DEPOSIT </t>
  </si>
  <si>
    <t xml:space="preserve">CASH DEPOSIT </t>
  </si>
  <si>
    <t>DEEP ARUN</t>
  </si>
  <si>
    <t>REC GOLU 4/8 AD-700</t>
  </si>
  <si>
    <t>ABON HAZARIKA</t>
  </si>
  <si>
    <t>AMIT KUMAR RAI</t>
  </si>
  <si>
    <t>AKB</t>
  </si>
  <si>
    <t>MOHAMMAD SAEED</t>
  </si>
  <si>
    <t>DURGESH KUMAR</t>
  </si>
  <si>
    <t xml:space="preserve">AKB </t>
  </si>
  <si>
    <t>MR DIPAK SAINI</t>
  </si>
  <si>
    <t>AZIZUDDIN ANSARI</t>
  </si>
  <si>
    <t>GAJENDRA PRASAD GUPTA</t>
  </si>
  <si>
    <t>SUSMA BHARATI</t>
  </si>
  <si>
    <t xml:space="preserve">BILL DESK PAYMENT </t>
  </si>
  <si>
    <t>ONLINE STATEMENT REPORT- 3 SEP  2026</t>
  </si>
  <si>
    <t>OMJEE VERMA</t>
  </si>
  <si>
    <t>REC AKB FLIGHT 1/9</t>
  </si>
  <si>
    <t>DHARMENDRA KUMAR</t>
  </si>
  <si>
    <t>MIX VEHICLE PAYMENT</t>
  </si>
  <si>
    <t>S</t>
  </si>
  <si>
    <t>MOHAMMAD SALMAN</t>
  </si>
  <si>
    <t>AKB FLIGHT</t>
  </si>
  <si>
    <t>HINA FARHAN</t>
  </si>
  <si>
    <t xml:space="preserve">AKB  </t>
  </si>
  <si>
    <t>ASHWANI KUMAR</t>
  </si>
  <si>
    <t xml:space="preserve">P EXP SIR </t>
  </si>
  <si>
    <t>ETIOS OIL VNS AIRPORT</t>
  </si>
  <si>
    <t>BHARAT AUTO</t>
  </si>
  <si>
    <t xml:space="preserve">BIKE OIL P EXP </t>
  </si>
  <si>
    <t>ONLINE STATEMENT REPORT-04 SEP  2026</t>
  </si>
  <si>
    <t>CARDLESS DEPOSIT</t>
  </si>
  <si>
    <t>VIKASH SINGH</t>
  </si>
  <si>
    <t xml:space="preserve">ABON HAZARIKA </t>
  </si>
  <si>
    <t>MR ANSHU AGRAWAL</t>
  </si>
  <si>
    <t>REC AKB 1/9</t>
  </si>
  <si>
    <t>ASIF ALI</t>
  </si>
  <si>
    <t>JAIRAM</t>
  </si>
  <si>
    <t>AD TICKET YTSK 5/9</t>
  </si>
  <si>
    <t>CHANDRESHVAR</t>
  </si>
  <si>
    <t>CHANDAN RAJBHAR</t>
  </si>
  <si>
    <t>SAMEER RAI</t>
  </si>
  <si>
    <t>ABHISHEK KUMAR TIWARI</t>
  </si>
  <si>
    <t>MOHD ILIYAS</t>
  </si>
  <si>
    <t xml:space="preserve">CURRENCY REFUND </t>
  </si>
  <si>
    <t>ONLINE STATEMENT REPORT-05 SEP  2026</t>
  </si>
  <si>
    <t>SAURABH KUMAR</t>
  </si>
  <si>
    <t>ANITA TIWARI</t>
  </si>
  <si>
    <t xml:space="preserve">JAIRAM </t>
  </si>
  <si>
    <t xml:space="preserve">AKB+YTSK </t>
  </si>
  <si>
    <t>NAEEM AHMAD</t>
  </si>
  <si>
    <t>SURYAKANT</t>
  </si>
  <si>
    <t>BASUDEV S KUSHWAHA</t>
  </si>
  <si>
    <t>DEEPTI SINGH</t>
  </si>
  <si>
    <t xml:space="preserve">PURI PACKAGE </t>
  </si>
  <si>
    <t>SETTLEMENT CHARGE</t>
  </si>
  <si>
    <t xml:space="preserve">BANK CHARGE </t>
  </si>
  <si>
    <t xml:space="preserve">GULAM RABBANI </t>
  </si>
  <si>
    <t>CURRENCY</t>
  </si>
  <si>
    <t>RAVIWO AIR TICKET</t>
  </si>
  <si>
    <t>IRA BHUBNESHWAR</t>
  </si>
  <si>
    <t>HOTAL ( PURI )</t>
  </si>
  <si>
    <t>OIL HONDA CITY+ INNOVA (PURI PACKAGE)</t>
  </si>
  <si>
    <t>ONLINE STATEMENT REPORT- 06 SEP  2026</t>
  </si>
  <si>
    <t>AJIT KUMAR</t>
  </si>
  <si>
    <t>ABHA SRIVASTAVA</t>
  </si>
  <si>
    <t>CREDIT-CCPAY</t>
  </si>
  <si>
    <t xml:space="preserve">ICICI BANK CREDIT CARD </t>
  </si>
  <si>
    <t>ONLINE STATEMENT REPORT-07 SEP  2026</t>
  </si>
  <si>
    <t>ABHIMEET KUMAR</t>
  </si>
  <si>
    <t xml:space="preserve">ETIOS AIRPORT </t>
  </si>
  <si>
    <t>MOHAMMAD REHAN</t>
  </si>
  <si>
    <t>ABHISHEKH KR SRI</t>
  </si>
  <si>
    <t>ARSHAD KHAN</t>
  </si>
  <si>
    <t xml:space="preserve">CURRENCY </t>
  </si>
  <si>
    <t>PAWAN KUMAR PANDEY</t>
  </si>
  <si>
    <t>ASHISH CHAURASIYA</t>
  </si>
  <si>
    <t>BECHAN LAL</t>
  </si>
  <si>
    <t xml:space="preserve">SHAMSAD HASAMI </t>
  </si>
  <si>
    <t xml:space="preserve">AKBI TICKET </t>
  </si>
  <si>
    <t>SANJAY TIWARI</t>
  </si>
  <si>
    <t xml:space="preserve">ORIDE ANANAYA </t>
  </si>
  <si>
    <t>PURI PACKAGE</t>
  </si>
  <si>
    <t>SHREE SHUBH TRAVEL</t>
  </si>
  <si>
    <t xml:space="preserve">SELF TR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</si>
</sst>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5" formatCode="_ * #,##0_ ;_ * \-#,##0_ ;_ * &quot;-&quot;??_ ;_ @_ "/>
    <numFmt numFmtId="166" formatCode="_ * #,##0.0_ ;_ * \-#,##0.0_ ;_ * &quot;-&quot;??_ ;_ @_ "/>
    <numFmt numFmtId="167" formatCode="0000"/>
    <numFmt numFmtId="168" formatCode="_(&quot;$&quot;* #,##0.00_);_(&quot;$&quot;* \(#,##0.00\);_(&quot;$&quot;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badi"/>
      <family val="2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masis MT Pro Black"/>
      <family val="1"/>
    </font>
    <font>
      <b/>
      <sz val="16"/>
      <color theme="1"/>
      <name val="Arial Black"/>
      <family val="2"/>
    </font>
    <font>
      <sz val="11"/>
      <color theme="1"/>
      <name val="ADLaM Display"/>
    </font>
    <font>
      <b/>
      <sz val="10"/>
      <color theme="1"/>
      <name val="ADLaM Display"/>
    </font>
    <font>
      <sz val="18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65" fontId="6" fillId="5" borderId="1" xfId="1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44" fontId="7" fillId="6" borderId="1" xfId="1" applyNumberFormat="1" applyFont="1" applyFill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167" fontId="7" fillId="6" borderId="1" xfId="0" applyNumberFormat="1" applyFont="1" applyFill="1" applyBorder="1" applyAlignment="1">
      <alignment horizontal="center"/>
    </xf>
    <xf numFmtId="165" fontId="7" fillId="6" borderId="1" xfId="1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44" fontId="7" fillId="7" borderId="1" xfId="1" applyNumberFormat="1" applyFont="1" applyFill="1" applyBorder="1" applyAlignment="1">
      <alignment horizontal="center"/>
    </xf>
    <xf numFmtId="166" fontId="7" fillId="0" borderId="1" xfId="1" applyNumberFormat="1" applyFont="1" applyBorder="1"/>
    <xf numFmtId="0" fontId="7" fillId="0" borderId="1" xfId="0" applyFont="1" applyBorder="1" applyAlignment="1">
      <alignment horizontal="center"/>
    </xf>
    <xf numFmtId="165" fontId="7" fillId="7" borderId="1" xfId="1" applyNumberFormat="1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43" fontId="7" fillId="6" borderId="1" xfId="1" applyFont="1" applyFill="1" applyBorder="1" applyAlignment="1">
      <alignment horizontal="center"/>
    </xf>
    <xf numFmtId="167" fontId="7" fillId="6" borderId="1" xfId="0" quotePrefix="1" applyNumberFormat="1" applyFont="1" applyFill="1" applyBorder="1" applyAlignment="1">
      <alignment horizontal="center"/>
    </xf>
    <xf numFmtId="165" fontId="7" fillId="0" borderId="1" xfId="1" applyNumberFormat="1" applyFont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44" fontId="7" fillId="9" borderId="1" xfId="1" applyNumberFormat="1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168" fontId="6" fillId="5" borderId="1" xfId="1" applyNumberFormat="1" applyFont="1" applyFill="1" applyBorder="1" applyAlignment="1">
      <alignment horizontal="center" vertical="center"/>
    </xf>
    <xf numFmtId="165" fontId="6" fillId="5" borderId="1" xfId="1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44" fontId="7" fillId="0" borderId="1" xfId="0" applyNumberFormat="1" applyFont="1" applyBorder="1" applyAlignment="1">
      <alignment horizontal="center"/>
    </xf>
    <xf numFmtId="167" fontId="7" fillId="6" borderId="1" xfId="0" applyNumberFormat="1" applyFont="1" applyFill="1" applyBorder="1" applyAlignment="1">
      <alignment horizontal="center" vertical="center"/>
    </xf>
    <xf numFmtId="165" fontId="7" fillId="6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44" fontId="7" fillId="11" borderId="1" xfId="1" applyNumberFormat="1" applyFont="1" applyFill="1" applyBorder="1" applyAlignment="1">
      <alignment horizontal="center" vertical="center"/>
    </xf>
    <xf numFmtId="165" fontId="7" fillId="7" borderId="1" xfId="1" applyNumberFormat="1" applyFont="1" applyFill="1" applyBorder="1" applyAlignment="1">
      <alignment horizontal="center" vertical="center"/>
    </xf>
    <xf numFmtId="0" fontId="0" fillId="0" borderId="1" xfId="0" applyBorder="1"/>
    <xf numFmtId="165" fontId="0" fillId="0" borderId="0" xfId="1" applyNumberFormat="1" applyFont="1"/>
    <xf numFmtId="0" fontId="7" fillId="12" borderId="1" xfId="0" applyFont="1" applyFill="1" applyBorder="1" applyAlignment="1">
      <alignment horizontal="center"/>
    </xf>
    <xf numFmtId="44" fontId="7" fillId="12" borderId="1" xfId="1" applyNumberFormat="1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7" fillId="13" borderId="1" xfId="0" applyFont="1" applyFill="1" applyBorder="1" applyAlignment="1">
      <alignment horizontal="center"/>
    </xf>
    <xf numFmtId="44" fontId="7" fillId="13" borderId="1" xfId="1" applyNumberFormat="1" applyFont="1" applyFill="1" applyBorder="1" applyAlignment="1">
      <alignment horizontal="center"/>
    </xf>
    <xf numFmtId="0" fontId="10" fillId="6" borderId="0" xfId="0" applyFont="1" applyFill="1"/>
    <xf numFmtId="0" fontId="0" fillId="6" borderId="0" xfId="0" applyFill="1"/>
    <xf numFmtId="165" fontId="0" fillId="6" borderId="0" xfId="1" applyNumberFormat="1" applyFont="1" applyFill="1"/>
    <xf numFmtId="0" fontId="7" fillId="14" borderId="1" xfId="0" applyFont="1" applyFill="1" applyBorder="1" applyAlignment="1">
      <alignment horizontal="center"/>
    </xf>
    <xf numFmtId="44" fontId="7" fillId="14" borderId="1" xfId="1" applyNumberFormat="1" applyFont="1" applyFill="1" applyBorder="1" applyAlignment="1">
      <alignment horizontal="center"/>
    </xf>
    <xf numFmtId="0" fontId="5" fillId="15" borderId="0" xfId="0" applyFont="1" applyFill="1"/>
    <xf numFmtId="0" fontId="12" fillId="6" borderId="0" xfId="0" applyFont="1" applyFill="1"/>
    <xf numFmtId="0" fontId="7" fillId="6" borderId="0" xfId="0" applyFont="1" applyFill="1"/>
    <xf numFmtId="165" fontId="7" fillId="6" borderId="0" xfId="1" applyNumberFormat="1" applyFont="1" applyFill="1"/>
    <xf numFmtId="0" fontId="6" fillId="6" borderId="0" xfId="0" applyFont="1" applyFill="1"/>
    <xf numFmtId="0" fontId="6" fillId="16" borderId="1" xfId="0" applyFont="1" applyFill="1" applyBorder="1" applyAlignment="1">
      <alignment horizontal="center"/>
    </xf>
    <xf numFmtId="44" fontId="7" fillId="16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6EA73-D217-47B6-9812-51DFE9590273}">
  <dimension ref="A1:K31"/>
  <sheetViews>
    <sheetView topLeftCell="A13" workbookViewId="0">
      <selection activeCell="L6" sqref="L6"/>
    </sheetView>
  </sheetViews>
  <sheetFormatPr defaultRowHeight="15" x14ac:dyDescent="0.25"/>
  <cols>
    <col min="1" max="1" width="4.42578125" bestFit="1" customWidth="1"/>
    <col min="2" max="2" width="20.710937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19.7109375" bestFit="1" customWidth="1"/>
  </cols>
  <sheetData>
    <row r="1" spans="1:11" ht="24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" x14ac:dyDescent="0.3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24" x14ac:dyDescent="0.4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8.75" x14ac:dyDescent="0.3">
      <c r="A4" s="6" t="s">
        <v>3</v>
      </c>
      <c r="B4" s="6" t="s">
        <v>4</v>
      </c>
      <c r="C4" s="7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7" t="s">
        <v>10</v>
      </c>
      <c r="I4" s="6" t="s">
        <v>11</v>
      </c>
      <c r="J4" s="6" t="s">
        <v>12</v>
      </c>
      <c r="K4" s="6" t="s">
        <v>13</v>
      </c>
    </row>
    <row r="5" spans="1:11" ht="15.75" x14ac:dyDescent="0.25">
      <c r="A5" s="8">
        <v>1</v>
      </c>
      <c r="B5" s="8" t="s">
        <v>14</v>
      </c>
      <c r="C5" s="9">
        <v>0</v>
      </c>
      <c r="D5" s="10">
        <v>46266</v>
      </c>
      <c r="E5" s="11">
        <v>0</v>
      </c>
      <c r="F5" s="8" t="s">
        <v>15</v>
      </c>
      <c r="G5" s="12"/>
      <c r="H5" s="13">
        <v>0</v>
      </c>
      <c r="I5" s="8" t="s">
        <v>16</v>
      </c>
      <c r="J5" s="10">
        <f>+D5-1</f>
        <v>46265</v>
      </c>
      <c r="K5" s="14" t="s">
        <v>17</v>
      </c>
    </row>
    <row r="6" spans="1:11" ht="18.75" x14ac:dyDescent="0.3">
      <c r="A6" s="15"/>
      <c r="B6" s="16" t="s">
        <v>18</v>
      </c>
      <c r="C6" s="17">
        <f>SUM(C5:C5)</f>
        <v>0</v>
      </c>
      <c r="D6" s="8"/>
      <c r="E6" s="18"/>
      <c r="F6" s="15"/>
      <c r="G6" s="19"/>
      <c r="H6" s="20">
        <f>SUM(H5:H5)</f>
        <v>0</v>
      </c>
      <c r="I6" s="15"/>
      <c r="J6" s="15"/>
      <c r="K6" s="15"/>
    </row>
    <row r="8" spans="1:11" ht="24" x14ac:dyDescent="0.4">
      <c r="A8" s="21" t="s">
        <v>19</v>
      </c>
      <c r="B8" s="22"/>
      <c r="C8" s="22"/>
      <c r="D8" s="22"/>
      <c r="E8" s="22"/>
      <c r="F8" s="22"/>
      <c r="G8" s="22"/>
      <c r="H8" s="22"/>
      <c r="I8" s="22"/>
      <c r="J8" s="22"/>
      <c r="K8" s="23"/>
    </row>
    <row r="9" spans="1:11" ht="15.75" x14ac:dyDescent="0.25">
      <c r="A9" s="8">
        <v>1</v>
      </c>
      <c r="B9" s="8" t="s">
        <v>20</v>
      </c>
      <c r="C9" s="9">
        <v>505</v>
      </c>
      <c r="D9" s="10">
        <v>46266</v>
      </c>
      <c r="E9" s="24">
        <v>0</v>
      </c>
      <c r="F9" s="19" t="s">
        <v>21</v>
      </c>
      <c r="G9" s="25">
        <v>4658</v>
      </c>
      <c r="H9" s="26">
        <v>0</v>
      </c>
      <c r="I9" s="8" t="s">
        <v>22</v>
      </c>
      <c r="J9" s="10">
        <f t="shared" ref="J9:J18" si="0">+D9+1</f>
        <v>46267</v>
      </c>
      <c r="K9" s="19" t="s">
        <v>23</v>
      </c>
    </row>
    <row r="10" spans="1:11" ht="15.75" x14ac:dyDescent="0.25">
      <c r="A10" s="8">
        <v>2</v>
      </c>
      <c r="B10" s="8" t="s">
        <v>24</v>
      </c>
      <c r="C10" s="9">
        <v>2000</v>
      </c>
      <c r="D10" s="10">
        <f t="shared" ref="D10:D18" si="1">+D9</f>
        <v>46266</v>
      </c>
      <c r="E10" s="24">
        <v>0</v>
      </c>
      <c r="F10" s="19" t="s">
        <v>21</v>
      </c>
      <c r="G10" s="25">
        <v>7572</v>
      </c>
      <c r="H10" s="26">
        <v>0</v>
      </c>
      <c r="I10" s="8" t="s">
        <v>16</v>
      </c>
      <c r="J10" s="10">
        <f t="shared" si="0"/>
        <v>46267</v>
      </c>
      <c r="K10" s="19" t="s">
        <v>25</v>
      </c>
    </row>
    <row r="11" spans="1:11" ht="15.75" x14ac:dyDescent="0.25">
      <c r="A11" s="8">
        <v>3</v>
      </c>
      <c r="B11" s="8" t="s">
        <v>24</v>
      </c>
      <c r="C11" s="9">
        <v>2000</v>
      </c>
      <c r="D11" s="10">
        <f t="shared" si="1"/>
        <v>46266</v>
      </c>
      <c r="E11" s="24">
        <v>0</v>
      </c>
      <c r="F11" s="19" t="s">
        <v>21</v>
      </c>
      <c r="G11" s="25">
        <v>8770</v>
      </c>
      <c r="H11" s="26">
        <v>0</v>
      </c>
      <c r="I11" s="8" t="s">
        <v>16</v>
      </c>
      <c r="J11" s="10">
        <f t="shared" si="0"/>
        <v>46267</v>
      </c>
      <c r="K11" s="19" t="s">
        <v>25</v>
      </c>
    </row>
    <row r="12" spans="1:11" ht="15.75" x14ac:dyDescent="0.25">
      <c r="A12" s="8">
        <v>4</v>
      </c>
      <c r="B12" s="8" t="s">
        <v>26</v>
      </c>
      <c r="C12" s="9">
        <v>2880</v>
      </c>
      <c r="D12" s="10">
        <f t="shared" si="1"/>
        <v>46266</v>
      </c>
      <c r="E12" s="24">
        <v>0</v>
      </c>
      <c r="F12" s="19" t="s">
        <v>21</v>
      </c>
      <c r="G12" s="25">
        <v>906</v>
      </c>
      <c r="H12" s="26">
        <v>0</v>
      </c>
      <c r="I12" s="8" t="s">
        <v>16</v>
      </c>
      <c r="J12" s="10">
        <f t="shared" si="0"/>
        <v>46267</v>
      </c>
      <c r="K12" s="19" t="s">
        <v>23</v>
      </c>
    </row>
    <row r="13" spans="1:11" ht="15.75" x14ac:dyDescent="0.25">
      <c r="A13" s="8">
        <v>5</v>
      </c>
      <c r="B13" s="8" t="s">
        <v>27</v>
      </c>
      <c r="C13" s="9">
        <v>710</v>
      </c>
      <c r="D13" s="10">
        <f t="shared" si="1"/>
        <v>46266</v>
      </c>
      <c r="E13" s="24">
        <v>0</v>
      </c>
      <c r="F13" s="19" t="s">
        <v>21</v>
      </c>
      <c r="G13" s="25">
        <v>9258</v>
      </c>
      <c r="H13" s="26">
        <v>0</v>
      </c>
      <c r="I13" s="8" t="s">
        <v>16</v>
      </c>
      <c r="J13" s="10">
        <f t="shared" si="0"/>
        <v>46267</v>
      </c>
      <c r="K13" s="19" t="s">
        <v>28</v>
      </c>
    </row>
    <row r="14" spans="1:11" ht="15.75" x14ac:dyDescent="0.25">
      <c r="A14" s="8">
        <v>6</v>
      </c>
      <c r="B14" s="8" t="s">
        <v>29</v>
      </c>
      <c r="C14" s="9">
        <v>465</v>
      </c>
      <c r="D14" s="10">
        <f t="shared" si="1"/>
        <v>46266</v>
      </c>
      <c r="E14" s="24">
        <v>0</v>
      </c>
      <c r="F14" s="19" t="s">
        <v>21</v>
      </c>
      <c r="G14" s="25">
        <v>5611</v>
      </c>
      <c r="H14" s="26">
        <v>0</v>
      </c>
      <c r="I14" s="8" t="s">
        <v>16</v>
      </c>
      <c r="J14" s="10">
        <f t="shared" si="0"/>
        <v>46267</v>
      </c>
      <c r="K14" s="19" t="s">
        <v>23</v>
      </c>
    </row>
    <row r="15" spans="1:11" ht="15.75" x14ac:dyDescent="0.25">
      <c r="A15" s="8">
        <v>7</v>
      </c>
      <c r="B15" s="8" t="s">
        <v>30</v>
      </c>
      <c r="C15" s="9">
        <v>1200</v>
      </c>
      <c r="D15" s="10">
        <f t="shared" si="1"/>
        <v>46266</v>
      </c>
      <c r="E15" s="24">
        <v>0</v>
      </c>
      <c r="F15" s="19" t="s">
        <v>21</v>
      </c>
      <c r="G15" s="25">
        <v>3682</v>
      </c>
      <c r="H15" s="26">
        <v>0</v>
      </c>
      <c r="I15" s="8" t="s">
        <v>16</v>
      </c>
      <c r="J15" s="10">
        <f t="shared" si="0"/>
        <v>46267</v>
      </c>
      <c r="K15" s="19" t="s">
        <v>23</v>
      </c>
    </row>
    <row r="16" spans="1:11" ht="15.75" x14ac:dyDescent="0.25">
      <c r="A16" s="8">
        <v>8</v>
      </c>
      <c r="B16" s="8" t="s">
        <v>31</v>
      </c>
      <c r="C16" s="9">
        <v>1950</v>
      </c>
      <c r="D16" s="10">
        <f t="shared" si="1"/>
        <v>46266</v>
      </c>
      <c r="E16" s="24">
        <v>0</v>
      </c>
      <c r="F16" s="19" t="s">
        <v>21</v>
      </c>
      <c r="G16" s="25">
        <v>8789</v>
      </c>
      <c r="H16" s="26">
        <v>0</v>
      </c>
      <c r="I16" s="8" t="s">
        <v>16</v>
      </c>
      <c r="J16" s="10">
        <f t="shared" si="0"/>
        <v>46267</v>
      </c>
      <c r="K16" s="19" t="s">
        <v>23</v>
      </c>
    </row>
    <row r="17" spans="1:11" ht="15.75" x14ac:dyDescent="0.25">
      <c r="A17" s="8">
        <v>9</v>
      </c>
      <c r="B17" s="8" t="s">
        <v>32</v>
      </c>
      <c r="C17" s="9">
        <v>7050</v>
      </c>
      <c r="D17" s="10">
        <f t="shared" si="1"/>
        <v>46266</v>
      </c>
      <c r="E17" s="24">
        <v>0</v>
      </c>
      <c r="F17" s="19" t="s">
        <v>21</v>
      </c>
      <c r="G17" s="25">
        <v>7957</v>
      </c>
      <c r="H17" s="26">
        <v>0</v>
      </c>
      <c r="I17" s="8" t="s">
        <v>16</v>
      </c>
      <c r="J17" s="10">
        <f t="shared" si="0"/>
        <v>46267</v>
      </c>
      <c r="K17" s="19" t="s">
        <v>23</v>
      </c>
    </row>
    <row r="18" spans="1:11" ht="15.75" x14ac:dyDescent="0.25">
      <c r="A18" s="8">
        <v>10</v>
      </c>
      <c r="B18" s="8" t="s">
        <v>33</v>
      </c>
      <c r="C18" s="9">
        <v>500</v>
      </c>
      <c r="D18" s="10">
        <f t="shared" si="1"/>
        <v>46266</v>
      </c>
      <c r="E18" s="24">
        <v>0</v>
      </c>
      <c r="F18" s="19" t="s">
        <v>21</v>
      </c>
      <c r="G18" s="25">
        <v>5505</v>
      </c>
      <c r="H18" s="26">
        <v>0</v>
      </c>
      <c r="I18" s="8" t="s">
        <v>16</v>
      </c>
      <c r="J18" s="10">
        <f t="shared" si="0"/>
        <v>46267</v>
      </c>
      <c r="K18" s="19" t="s">
        <v>23</v>
      </c>
    </row>
    <row r="19" spans="1:11" ht="18.75" x14ac:dyDescent="0.3">
      <c r="A19" s="8"/>
      <c r="B19" s="27" t="s">
        <v>18</v>
      </c>
      <c r="C19" s="28">
        <f>SUM(C9:C18)</f>
        <v>19260</v>
      </c>
      <c r="D19" s="8"/>
      <c r="E19" s="8"/>
      <c r="F19" s="19"/>
      <c r="G19" s="19"/>
      <c r="H19" s="20"/>
      <c r="I19" s="8"/>
      <c r="J19" s="8"/>
      <c r="K19" s="8"/>
    </row>
    <row r="20" spans="1:11" ht="24.75" x14ac:dyDescent="0.5">
      <c r="A20" s="29" t="s">
        <v>34</v>
      </c>
      <c r="B20" s="30"/>
      <c r="C20" s="30"/>
      <c r="D20" s="30"/>
      <c r="E20" s="30"/>
      <c r="F20" s="30"/>
      <c r="G20" s="30"/>
      <c r="H20" s="30"/>
      <c r="I20" s="30"/>
      <c r="J20" s="30"/>
      <c r="K20" s="31"/>
    </row>
    <row r="21" spans="1:11" ht="18.75" x14ac:dyDescent="0.3">
      <c r="A21" s="32" t="s">
        <v>3</v>
      </c>
      <c r="B21" s="32" t="s">
        <v>35</v>
      </c>
      <c r="C21" s="33" t="s">
        <v>5</v>
      </c>
      <c r="D21" s="6" t="s">
        <v>36</v>
      </c>
      <c r="E21" s="32" t="s">
        <v>7</v>
      </c>
      <c r="F21" s="32" t="s">
        <v>8</v>
      </c>
      <c r="G21" s="32" t="s">
        <v>37</v>
      </c>
      <c r="H21" s="34" t="s">
        <v>38</v>
      </c>
      <c r="I21" s="32" t="s">
        <v>11</v>
      </c>
      <c r="J21" s="32" t="s">
        <v>39</v>
      </c>
      <c r="K21" s="35" t="s">
        <v>40</v>
      </c>
    </row>
    <row r="22" spans="1:11" ht="15.75" x14ac:dyDescent="0.25">
      <c r="A22" s="14">
        <v>1</v>
      </c>
      <c r="B22" s="14" t="s">
        <v>41</v>
      </c>
      <c r="C22" s="36">
        <v>1000</v>
      </c>
      <c r="D22" s="10">
        <v>46266</v>
      </c>
      <c r="E22" s="14"/>
      <c r="F22" s="14"/>
      <c r="G22" s="37">
        <v>5683</v>
      </c>
      <c r="H22" s="38"/>
      <c r="I22" s="39"/>
      <c r="J22" s="10">
        <v>46266</v>
      </c>
      <c r="K22" s="19" t="s">
        <v>42</v>
      </c>
    </row>
    <row r="23" spans="1:11" ht="15.75" x14ac:dyDescent="0.25">
      <c r="A23" s="14">
        <v>2</v>
      </c>
      <c r="B23" s="14" t="s">
        <v>43</v>
      </c>
      <c r="C23" s="36">
        <v>100000</v>
      </c>
      <c r="D23" s="10">
        <v>46266</v>
      </c>
      <c r="E23" s="14"/>
      <c r="F23" s="14"/>
      <c r="G23" s="37">
        <v>7749</v>
      </c>
      <c r="H23" s="38"/>
      <c r="I23" s="39"/>
      <c r="J23" s="10">
        <v>46266</v>
      </c>
      <c r="K23" s="19" t="s">
        <v>44</v>
      </c>
    </row>
    <row r="24" spans="1:11" ht="15.75" x14ac:dyDescent="0.25">
      <c r="A24" s="14">
        <v>3</v>
      </c>
      <c r="B24" s="14" t="s">
        <v>45</v>
      </c>
      <c r="C24" s="36">
        <v>14351</v>
      </c>
      <c r="D24" s="10">
        <v>46266</v>
      </c>
      <c r="E24" s="14"/>
      <c r="F24" s="14"/>
      <c r="G24" s="37">
        <v>163</v>
      </c>
      <c r="H24" s="38"/>
      <c r="I24" s="39"/>
      <c r="J24" s="10">
        <v>46266</v>
      </c>
      <c r="K24" s="19" t="s">
        <v>23</v>
      </c>
    </row>
    <row r="25" spans="1:11" ht="15.75" x14ac:dyDescent="0.25">
      <c r="A25" s="14">
        <v>4</v>
      </c>
      <c r="B25" s="14" t="s">
        <v>46</v>
      </c>
      <c r="C25" s="36">
        <v>1000</v>
      </c>
      <c r="D25" s="10">
        <v>46266</v>
      </c>
      <c r="E25" s="14"/>
      <c r="F25" s="14"/>
      <c r="G25" s="37">
        <v>9077</v>
      </c>
      <c r="H25" s="38"/>
      <c r="I25" s="39"/>
      <c r="J25" s="10">
        <v>46266</v>
      </c>
      <c r="K25" s="19" t="s">
        <v>47</v>
      </c>
    </row>
    <row r="26" spans="1:11" ht="18.75" x14ac:dyDescent="0.25">
      <c r="A26" s="14"/>
      <c r="B26" s="40" t="s">
        <v>48</v>
      </c>
      <c r="C26" s="41">
        <f>SUM(C22:C25)</f>
        <v>116351</v>
      </c>
      <c r="D26" s="8"/>
      <c r="E26" s="14"/>
      <c r="F26" s="14"/>
      <c r="G26" s="14"/>
      <c r="H26" s="42">
        <v>0</v>
      </c>
      <c r="I26" s="39"/>
      <c r="J26" s="8"/>
      <c r="K26" s="43"/>
    </row>
    <row r="27" spans="1:11" x14ac:dyDescent="0.25">
      <c r="C27" s="44"/>
      <c r="H27" s="44"/>
    </row>
    <row r="28" spans="1:11" ht="16.5" x14ac:dyDescent="0.3">
      <c r="B28" s="45" t="s">
        <v>49</v>
      </c>
      <c r="C28" s="46">
        <f>SUM(C11,C10,C13)</f>
        <v>4710</v>
      </c>
      <c r="E28" s="47"/>
      <c r="F28" s="47"/>
      <c r="G28" s="48"/>
      <c r="H28" s="48"/>
    </row>
    <row r="29" spans="1:11" ht="16.5" x14ac:dyDescent="0.3">
      <c r="B29" s="49" t="s">
        <v>50</v>
      </c>
      <c r="C29" s="50">
        <f>SUM(C9,C12,C14,C15,C16,C17,C18)</f>
        <v>14550</v>
      </c>
      <c r="E29" s="51"/>
      <c r="F29" s="51"/>
      <c r="G29" s="52" t="s">
        <v>51</v>
      </c>
      <c r="H29" s="53"/>
    </row>
    <row r="30" spans="1:11" ht="24" x14ac:dyDescent="0.4">
      <c r="B30" s="54" t="s">
        <v>52</v>
      </c>
      <c r="C30" s="55"/>
      <c r="E30" s="56" t="s">
        <v>53</v>
      </c>
      <c r="F30" s="57"/>
      <c r="G30" s="58"/>
      <c r="H30" s="59"/>
      <c r="I30" s="58"/>
      <c r="J30" s="60"/>
    </row>
    <row r="31" spans="1:11" ht="18.75" x14ac:dyDescent="0.3">
      <c r="B31" s="61" t="s">
        <v>18</v>
      </c>
      <c r="C31" s="62">
        <f>SUM(C28:C30)</f>
        <v>19260</v>
      </c>
      <c r="G31" s="52"/>
      <c r="H31" s="53"/>
      <c r="I31" s="52"/>
      <c r="J31" s="52"/>
    </row>
  </sheetData>
  <mergeCells count="6">
    <mergeCell ref="A1:K1"/>
    <mergeCell ref="A2:K2"/>
    <mergeCell ref="A3:K3"/>
    <mergeCell ref="A8:K8"/>
    <mergeCell ref="A20:K20"/>
    <mergeCell ref="G28:H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3701-4E31-491F-8EB2-5C8401C1C433}">
  <dimension ref="A1:K29"/>
  <sheetViews>
    <sheetView workbookViewId="0">
      <selection activeCell="M6" sqref="M6"/>
    </sheetView>
  </sheetViews>
  <sheetFormatPr defaultRowHeight="15" x14ac:dyDescent="0.25"/>
  <cols>
    <col min="1" max="1" width="4.42578125" bestFit="1" customWidth="1"/>
    <col min="2" max="2" width="26.710937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9.42578125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2" bestFit="1" customWidth="1"/>
  </cols>
  <sheetData>
    <row r="1" spans="1:11" ht="24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" x14ac:dyDescent="0.35">
      <c r="A2" s="2" t="s">
        <v>54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24" x14ac:dyDescent="0.4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8.75" x14ac:dyDescent="0.3">
      <c r="A4" s="6" t="s">
        <v>3</v>
      </c>
      <c r="B4" s="6" t="s">
        <v>4</v>
      </c>
      <c r="C4" s="7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7" t="s">
        <v>10</v>
      </c>
      <c r="I4" s="6" t="s">
        <v>11</v>
      </c>
      <c r="J4" s="6" t="s">
        <v>12</v>
      </c>
      <c r="K4" s="6" t="s">
        <v>13</v>
      </c>
    </row>
    <row r="5" spans="1:11" ht="15.75" x14ac:dyDescent="0.25">
      <c r="A5" s="8">
        <v>1</v>
      </c>
      <c r="B5" s="8" t="s">
        <v>55</v>
      </c>
      <c r="C5" s="9">
        <v>22000</v>
      </c>
      <c r="D5" s="10">
        <v>46267</v>
      </c>
      <c r="E5" s="11">
        <v>0</v>
      </c>
      <c r="F5" s="8" t="s">
        <v>15</v>
      </c>
      <c r="G5" s="12">
        <v>270</v>
      </c>
      <c r="H5" s="13">
        <v>0</v>
      </c>
      <c r="I5" s="8" t="s">
        <v>16</v>
      </c>
      <c r="J5" s="10">
        <f>+D5-1</f>
        <v>46266</v>
      </c>
      <c r="K5" s="14" t="s">
        <v>56</v>
      </c>
    </row>
    <row r="6" spans="1:11" ht="15.75" x14ac:dyDescent="0.25">
      <c r="A6" s="8">
        <v>2</v>
      </c>
      <c r="B6" s="8" t="s">
        <v>57</v>
      </c>
      <c r="C6" s="9">
        <v>10000</v>
      </c>
      <c r="D6" s="10">
        <v>46267</v>
      </c>
      <c r="E6" s="11">
        <v>0</v>
      </c>
      <c r="F6" s="8" t="s">
        <v>15</v>
      </c>
      <c r="G6" s="12">
        <v>2943</v>
      </c>
      <c r="H6" s="13">
        <v>0</v>
      </c>
      <c r="I6" s="8" t="s">
        <v>16</v>
      </c>
      <c r="J6" s="10">
        <f>+D6-1</f>
        <v>46266</v>
      </c>
      <c r="K6" s="14" t="s">
        <v>58</v>
      </c>
    </row>
    <row r="7" spans="1:11" ht="15.75" x14ac:dyDescent="0.25">
      <c r="A7" s="8">
        <v>3</v>
      </c>
      <c r="B7" s="8"/>
      <c r="C7" s="9">
        <v>0</v>
      </c>
      <c r="D7" s="10"/>
      <c r="E7" s="11"/>
      <c r="F7" s="8"/>
      <c r="G7" s="12"/>
      <c r="H7" s="13"/>
      <c r="I7" s="8"/>
      <c r="J7" s="10"/>
      <c r="K7" s="14"/>
    </row>
    <row r="8" spans="1:11" ht="18.75" x14ac:dyDescent="0.3">
      <c r="A8" s="15"/>
      <c r="B8" s="16" t="s">
        <v>18</v>
      </c>
      <c r="C8" s="17">
        <f>SUM(C5:C7)</f>
        <v>32000</v>
      </c>
      <c r="D8" s="8"/>
      <c r="E8" s="18"/>
      <c r="F8" s="15"/>
      <c r="G8" s="19"/>
      <c r="H8" s="20">
        <f>SUM(H5:H5)</f>
        <v>0</v>
      </c>
      <c r="I8" s="15"/>
      <c r="J8" s="15"/>
      <c r="K8" s="15"/>
    </row>
    <row r="10" spans="1:11" ht="24" x14ac:dyDescent="0.4">
      <c r="A10" s="21" t="s">
        <v>19</v>
      </c>
      <c r="B10" s="22"/>
      <c r="C10" s="22"/>
      <c r="D10" s="22"/>
      <c r="E10" s="22"/>
      <c r="F10" s="22"/>
      <c r="G10" s="22"/>
      <c r="H10" s="22"/>
      <c r="I10" s="22"/>
      <c r="J10" s="22"/>
      <c r="K10" s="23"/>
    </row>
    <row r="11" spans="1:11" ht="15.75" x14ac:dyDescent="0.25">
      <c r="A11" s="8">
        <v>1</v>
      </c>
      <c r="B11" s="8" t="s">
        <v>59</v>
      </c>
      <c r="C11" s="9">
        <v>2100</v>
      </c>
      <c r="D11" s="10">
        <v>46267</v>
      </c>
      <c r="E11" s="24">
        <v>0</v>
      </c>
      <c r="F11" s="19" t="s">
        <v>21</v>
      </c>
      <c r="G11" s="25">
        <v>5309</v>
      </c>
      <c r="H11" s="26">
        <v>0</v>
      </c>
      <c r="I11" s="8" t="s">
        <v>22</v>
      </c>
      <c r="J11" s="10">
        <f t="shared" ref="J11:J19" si="0">+D11+1</f>
        <v>46268</v>
      </c>
      <c r="K11" s="19" t="s">
        <v>23</v>
      </c>
    </row>
    <row r="12" spans="1:11" ht="15.75" x14ac:dyDescent="0.25">
      <c r="A12" s="8">
        <v>2</v>
      </c>
      <c r="B12" s="8" t="s">
        <v>60</v>
      </c>
      <c r="C12" s="9">
        <v>1000</v>
      </c>
      <c r="D12" s="10">
        <f t="shared" ref="D12:D19" si="1">+D11</f>
        <v>46267</v>
      </c>
      <c r="E12" s="24">
        <v>0</v>
      </c>
      <c r="F12" s="19" t="s">
        <v>21</v>
      </c>
      <c r="G12" s="25">
        <v>4781</v>
      </c>
      <c r="H12" s="26">
        <v>0</v>
      </c>
      <c r="I12" s="8" t="s">
        <v>16</v>
      </c>
      <c r="J12" s="10">
        <f t="shared" si="0"/>
        <v>46268</v>
      </c>
      <c r="K12" s="19" t="s">
        <v>61</v>
      </c>
    </row>
    <row r="13" spans="1:11" ht="15.75" x14ac:dyDescent="0.25">
      <c r="A13" s="8">
        <v>3</v>
      </c>
      <c r="B13" s="8" t="s">
        <v>62</v>
      </c>
      <c r="C13" s="9">
        <v>1120</v>
      </c>
      <c r="D13" s="10">
        <f t="shared" si="1"/>
        <v>46267</v>
      </c>
      <c r="E13" s="24">
        <v>0</v>
      </c>
      <c r="F13" s="19" t="s">
        <v>21</v>
      </c>
      <c r="G13" s="25">
        <v>8606</v>
      </c>
      <c r="H13" s="26">
        <v>0</v>
      </c>
      <c r="I13" s="8" t="s">
        <v>16</v>
      </c>
      <c r="J13" s="10">
        <f t="shared" si="0"/>
        <v>46268</v>
      </c>
      <c r="K13" s="19" t="s">
        <v>61</v>
      </c>
    </row>
    <row r="14" spans="1:11" ht="15.75" x14ac:dyDescent="0.25">
      <c r="A14" s="8">
        <v>4</v>
      </c>
      <c r="B14" s="8" t="s">
        <v>63</v>
      </c>
      <c r="C14" s="9">
        <v>3400</v>
      </c>
      <c r="D14" s="10">
        <f t="shared" si="1"/>
        <v>46267</v>
      </c>
      <c r="E14" s="24">
        <v>0</v>
      </c>
      <c r="F14" s="19" t="s">
        <v>21</v>
      </c>
      <c r="G14" s="25">
        <v>6328</v>
      </c>
      <c r="H14" s="26">
        <v>0</v>
      </c>
      <c r="I14" s="8" t="s">
        <v>16</v>
      </c>
      <c r="J14" s="10">
        <f t="shared" si="0"/>
        <v>46268</v>
      </c>
      <c r="K14" s="19" t="s">
        <v>23</v>
      </c>
    </row>
    <row r="15" spans="1:11" ht="15.75" x14ac:dyDescent="0.25">
      <c r="A15" s="8">
        <v>5</v>
      </c>
      <c r="B15" s="8" t="s">
        <v>62</v>
      </c>
      <c r="C15" s="9">
        <v>1500</v>
      </c>
      <c r="D15" s="10">
        <f t="shared" si="1"/>
        <v>46267</v>
      </c>
      <c r="E15" s="24">
        <v>0</v>
      </c>
      <c r="F15" s="19" t="s">
        <v>21</v>
      </c>
      <c r="G15" s="25">
        <v>4392</v>
      </c>
      <c r="H15" s="26">
        <v>0</v>
      </c>
      <c r="I15" s="8" t="s">
        <v>16</v>
      </c>
      <c r="J15" s="10">
        <f t="shared" si="0"/>
        <v>46268</v>
      </c>
      <c r="K15" s="19" t="s">
        <v>64</v>
      </c>
    </row>
    <row r="16" spans="1:11" ht="15.75" x14ac:dyDescent="0.25">
      <c r="A16" s="8">
        <v>6</v>
      </c>
      <c r="B16" s="8" t="s">
        <v>65</v>
      </c>
      <c r="C16" s="9">
        <v>10</v>
      </c>
      <c r="D16" s="10">
        <f t="shared" si="1"/>
        <v>46267</v>
      </c>
      <c r="E16" s="24">
        <v>0</v>
      </c>
      <c r="F16" s="19" t="s">
        <v>21</v>
      </c>
      <c r="G16" s="25">
        <v>2644</v>
      </c>
      <c r="H16" s="26">
        <v>0</v>
      </c>
      <c r="I16" s="8" t="s">
        <v>16</v>
      </c>
      <c r="J16" s="10">
        <f t="shared" si="0"/>
        <v>46268</v>
      </c>
      <c r="K16" s="19" t="s">
        <v>23</v>
      </c>
    </row>
    <row r="17" spans="1:11" ht="15.75" x14ac:dyDescent="0.25">
      <c r="A17" s="8">
        <v>7</v>
      </c>
      <c r="B17" s="8" t="s">
        <v>66</v>
      </c>
      <c r="C17" s="9">
        <v>1290</v>
      </c>
      <c r="D17" s="10">
        <f t="shared" si="1"/>
        <v>46267</v>
      </c>
      <c r="E17" s="24">
        <v>0</v>
      </c>
      <c r="F17" s="19" t="s">
        <v>21</v>
      </c>
      <c r="G17" s="25">
        <v>1970</v>
      </c>
      <c r="H17" s="26">
        <v>0</v>
      </c>
      <c r="I17" s="8" t="s">
        <v>16</v>
      </c>
      <c r="J17" s="10">
        <f t="shared" si="0"/>
        <v>46268</v>
      </c>
      <c r="K17" s="19" t="s">
        <v>23</v>
      </c>
    </row>
    <row r="18" spans="1:11" ht="15.75" x14ac:dyDescent="0.25">
      <c r="A18" s="8">
        <v>8</v>
      </c>
      <c r="B18" s="8" t="s">
        <v>67</v>
      </c>
      <c r="C18" s="9">
        <v>3840</v>
      </c>
      <c r="D18" s="10">
        <f t="shared" si="1"/>
        <v>46267</v>
      </c>
      <c r="E18" s="24">
        <v>0</v>
      </c>
      <c r="F18" s="19" t="s">
        <v>21</v>
      </c>
      <c r="G18" s="25">
        <v>2599</v>
      </c>
      <c r="H18" s="26">
        <v>0</v>
      </c>
      <c r="I18" s="8" t="s">
        <v>16</v>
      </c>
      <c r="J18" s="10">
        <f t="shared" si="0"/>
        <v>46268</v>
      </c>
      <c r="K18" s="19" t="s">
        <v>61</v>
      </c>
    </row>
    <row r="19" spans="1:11" ht="15.75" x14ac:dyDescent="0.25">
      <c r="A19" s="8">
        <v>9</v>
      </c>
      <c r="B19" s="8" t="s">
        <v>68</v>
      </c>
      <c r="C19" s="9">
        <v>1300</v>
      </c>
      <c r="D19" s="10">
        <f t="shared" si="1"/>
        <v>46267</v>
      </c>
      <c r="E19" s="24">
        <v>0</v>
      </c>
      <c r="F19" s="19" t="s">
        <v>21</v>
      </c>
      <c r="G19" s="25">
        <v>4600</v>
      </c>
      <c r="H19" s="26">
        <v>0</v>
      </c>
      <c r="I19" s="8" t="s">
        <v>16</v>
      </c>
      <c r="J19" s="10">
        <f t="shared" si="0"/>
        <v>46268</v>
      </c>
      <c r="K19" s="19" t="s">
        <v>61</v>
      </c>
    </row>
    <row r="20" spans="1:11" ht="18.75" x14ac:dyDescent="0.3">
      <c r="A20" s="8"/>
      <c r="B20" s="27" t="s">
        <v>18</v>
      </c>
      <c r="C20" s="28">
        <f>SUM(C11:C19)</f>
        <v>15560</v>
      </c>
      <c r="D20" s="8"/>
      <c r="E20" s="8"/>
      <c r="F20" s="19"/>
      <c r="G20" s="19"/>
      <c r="H20" s="20"/>
      <c r="I20" s="8"/>
      <c r="J20" s="8"/>
      <c r="K20" s="8"/>
    </row>
    <row r="21" spans="1:11" ht="24.75" x14ac:dyDescent="0.5">
      <c r="A21" s="29" t="s">
        <v>34</v>
      </c>
      <c r="B21" s="30"/>
      <c r="C21" s="30"/>
      <c r="D21" s="30"/>
      <c r="E21" s="30"/>
      <c r="F21" s="30"/>
      <c r="G21" s="30"/>
      <c r="H21" s="30"/>
      <c r="I21" s="30"/>
      <c r="J21" s="30"/>
      <c r="K21" s="31"/>
    </row>
    <row r="22" spans="1:11" ht="18.75" x14ac:dyDescent="0.3">
      <c r="A22" s="32" t="s">
        <v>3</v>
      </c>
      <c r="B22" s="32" t="s">
        <v>35</v>
      </c>
      <c r="C22" s="33" t="s">
        <v>5</v>
      </c>
      <c r="D22" s="6" t="s">
        <v>36</v>
      </c>
      <c r="E22" s="32" t="s">
        <v>7</v>
      </c>
      <c r="F22" s="32" t="s">
        <v>8</v>
      </c>
      <c r="G22" s="32" t="s">
        <v>37</v>
      </c>
      <c r="H22" s="34" t="s">
        <v>38</v>
      </c>
      <c r="I22" s="32" t="s">
        <v>11</v>
      </c>
      <c r="J22" s="32" t="s">
        <v>39</v>
      </c>
      <c r="K22" s="35" t="s">
        <v>40</v>
      </c>
    </row>
    <row r="23" spans="1:11" ht="15.75" x14ac:dyDescent="0.25">
      <c r="A23" s="14">
        <v>1</v>
      </c>
      <c r="B23" s="14" t="s">
        <v>69</v>
      </c>
      <c r="C23" s="36">
        <v>24556</v>
      </c>
      <c r="D23" s="10">
        <v>46267</v>
      </c>
      <c r="E23" s="14"/>
      <c r="F23" s="14"/>
      <c r="G23" s="37">
        <v>161</v>
      </c>
      <c r="H23" s="38"/>
      <c r="I23" s="39"/>
      <c r="J23" s="10">
        <v>46267</v>
      </c>
      <c r="K23" s="19" t="s">
        <v>23</v>
      </c>
    </row>
    <row r="24" spans="1:11" ht="18.75" x14ac:dyDescent="0.25">
      <c r="A24" s="14"/>
      <c r="B24" s="40" t="s">
        <v>48</v>
      </c>
      <c r="C24" s="41">
        <f>SUM(C23:C23)</f>
        <v>24556</v>
      </c>
      <c r="D24" s="8"/>
      <c r="E24" s="14"/>
      <c r="F24" s="14"/>
      <c r="G24" s="14"/>
      <c r="H24" s="42">
        <v>0</v>
      </c>
      <c r="I24" s="39"/>
      <c r="J24" s="8"/>
      <c r="K24" s="43"/>
    </row>
    <row r="25" spans="1:11" x14ac:dyDescent="0.25">
      <c r="C25" s="44"/>
      <c r="H25" s="44"/>
    </row>
    <row r="26" spans="1:11" ht="16.5" x14ac:dyDescent="0.3">
      <c r="B26" s="45" t="s">
        <v>49</v>
      </c>
      <c r="C26" s="46">
        <f>SUM(C12,C13,C15,C18,C19)</f>
        <v>8760</v>
      </c>
      <c r="E26" s="47"/>
      <c r="F26" s="47"/>
      <c r="G26" s="48"/>
      <c r="H26" s="48"/>
    </row>
    <row r="27" spans="1:11" ht="16.5" x14ac:dyDescent="0.3">
      <c r="B27" s="49" t="s">
        <v>50</v>
      </c>
      <c r="C27" s="50">
        <f>SUM(C11,C14,C16,C17)</f>
        <v>6800</v>
      </c>
      <c r="E27" s="51"/>
      <c r="F27" s="51"/>
      <c r="G27" s="52" t="s">
        <v>51</v>
      </c>
      <c r="H27" s="53"/>
    </row>
    <row r="28" spans="1:11" ht="24" x14ac:dyDescent="0.4">
      <c r="B28" s="54" t="s">
        <v>52</v>
      </c>
      <c r="C28" s="55"/>
      <c r="E28" s="56" t="s">
        <v>53</v>
      </c>
      <c r="F28" s="57"/>
      <c r="G28" s="58"/>
      <c r="H28" s="59"/>
      <c r="I28" s="58"/>
      <c r="J28" s="60"/>
    </row>
    <row r="29" spans="1:11" ht="18.75" x14ac:dyDescent="0.3">
      <c r="B29" s="61" t="s">
        <v>18</v>
      </c>
      <c r="C29" s="62">
        <f>SUM(C26:C28)</f>
        <v>15560</v>
      </c>
      <c r="G29" s="52"/>
      <c r="H29" s="53"/>
      <c r="I29" s="52"/>
      <c r="J29" s="52"/>
    </row>
  </sheetData>
  <mergeCells count="6">
    <mergeCell ref="A1:K1"/>
    <mergeCell ref="A2:K2"/>
    <mergeCell ref="A3:K3"/>
    <mergeCell ref="A10:K10"/>
    <mergeCell ref="A21:K21"/>
    <mergeCell ref="G26:H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D817-6CFE-49B4-BF79-1D5E7562CE09}">
  <dimension ref="A1:K23"/>
  <sheetViews>
    <sheetView workbookViewId="0">
      <selection activeCell="E4" sqref="E1:E1048576"/>
    </sheetView>
  </sheetViews>
  <sheetFormatPr defaultRowHeight="15" x14ac:dyDescent="0.25"/>
  <cols>
    <col min="1" max="1" width="4.42578125" bestFit="1" customWidth="1"/>
    <col min="2" max="2" width="22.57031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3.7109375" bestFit="1" customWidth="1"/>
  </cols>
  <sheetData>
    <row r="1" spans="1:11" ht="24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" x14ac:dyDescent="0.35">
      <c r="A2" s="2" t="s">
        <v>70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24" x14ac:dyDescent="0.4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8.75" x14ac:dyDescent="0.3">
      <c r="A4" s="6" t="s">
        <v>3</v>
      </c>
      <c r="B4" s="6" t="s">
        <v>4</v>
      </c>
      <c r="C4" s="7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7" t="s">
        <v>10</v>
      </c>
      <c r="I4" s="6" t="s">
        <v>11</v>
      </c>
      <c r="J4" s="6" t="s">
        <v>12</v>
      </c>
      <c r="K4" s="6" t="s">
        <v>13</v>
      </c>
    </row>
    <row r="5" spans="1:11" ht="15.75" x14ac:dyDescent="0.25">
      <c r="A5" s="8">
        <v>1</v>
      </c>
      <c r="B5" s="8" t="s">
        <v>71</v>
      </c>
      <c r="C5" s="9">
        <v>8500</v>
      </c>
      <c r="D5" s="10">
        <v>46268</v>
      </c>
      <c r="E5" s="11">
        <v>0</v>
      </c>
      <c r="F5" s="8" t="s">
        <v>15</v>
      </c>
      <c r="G5" s="12">
        <v>2037</v>
      </c>
      <c r="H5" s="13">
        <v>0</v>
      </c>
      <c r="I5" s="8" t="s">
        <v>16</v>
      </c>
      <c r="J5" s="10">
        <f>+D5-1</f>
        <v>46267</v>
      </c>
      <c r="K5" s="14" t="s">
        <v>72</v>
      </c>
    </row>
    <row r="6" spans="1:11" ht="15.75" x14ac:dyDescent="0.25">
      <c r="A6" s="8">
        <v>2</v>
      </c>
      <c r="B6" s="8" t="s">
        <v>73</v>
      </c>
      <c r="C6" s="9">
        <v>10000</v>
      </c>
      <c r="D6" s="10">
        <v>46268</v>
      </c>
      <c r="E6" s="11">
        <v>0</v>
      </c>
      <c r="F6" s="8" t="s">
        <v>15</v>
      </c>
      <c r="G6" s="12">
        <v>1268</v>
      </c>
      <c r="H6" s="13">
        <v>0</v>
      </c>
      <c r="I6" s="8" t="s">
        <v>16</v>
      </c>
      <c r="J6" s="10">
        <f>+D6-1</f>
        <v>46267</v>
      </c>
      <c r="K6" s="14" t="s">
        <v>74</v>
      </c>
    </row>
    <row r="7" spans="1:11" ht="18.75" x14ac:dyDescent="0.3">
      <c r="A7" s="15"/>
      <c r="B7" s="16" t="s">
        <v>18</v>
      </c>
      <c r="C7" s="17">
        <f>SUM(C5:C6)</f>
        <v>18500</v>
      </c>
      <c r="D7" s="8"/>
      <c r="E7" s="18"/>
      <c r="F7" s="15"/>
      <c r="G7" s="19"/>
      <c r="H7" s="20">
        <f>SUM(H5:H5)</f>
        <v>0</v>
      </c>
      <c r="I7" s="15"/>
      <c r="J7" s="15"/>
      <c r="K7" s="15"/>
    </row>
    <row r="8" spans="1:11" x14ac:dyDescent="0.25">
      <c r="G8" t="s">
        <v>75</v>
      </c>
    </row>
    <row r="9" spans="1:11" ht="24" x14ac:dyDescent="0.4">
      <c r="A9" s="21" t="s">
        <v>19</v>
      </c>
      <c r="B9" s="22"/>
      <c r="C9" s="22"/>
      <c r="D9" s="22"/>
      <c r="E9" s="22"/>
      <c r="F9" s="22"/>
      <c r="G9" s="22"/>
      <c r="H9" s="22"/>
      <c r="I9" s="22"/>
      <c r="J9" s="22"/>
      <c r="K9" s="23"/>
    </row>
    <row r="10" spans="1:11" ht="15.75" x14ac:dyDescent="0.25">
      <c r="A10" s="8">
        <v>1</v>
      </c>
      <c r="B10" s="8" t="s">
        <v>76</v>
      </c>
      <c r="C10" s="9">
        <v>24463</v>
      </c>
      <c r="D10" s="10">
        <v>46268</v>
      </c>
      <c r="E10" s="24">
        <v>0</v>
      </c>
      <c r="F10" s="19" t="s">
        <v>21</v>
      </c>
      <c r="G10" s="25">
        <v>24463</v>
      </c>
      <c r="H10" s="26">
        <v>0</v>
      </c>
      <c r="I10" s="8" t="s">
        <v>22</v>
      </c>
      <c r="J10" s="10">
        <f t="shared" ref="J10:J11" si="0">+D10+1</f>
        <v>46269</v>
      </c>
      <c r="K10" s="19" t="s">
        <v>77</v>
      </c>
    </row>
    <row r="11" spans="1:11" ht="15.75" x14ac:dyDescent="0.25">
      <c r="A11" s="8">
        <v>2</v>
      </c>
      <c r="B11" s="8" t="s">
        <v>78</v>
      </c>
      <c r="C11" s="9">
        <v>2250</v>
      </c>
      <c r="D11" s="10">
        <f t="shared" ref="D11" si="1">+D10</f>
        <v>46268</v>
      </c>
      <c r="E11" s="24">
        <v>0</v>
      </c>
      <c r="F11" s="19" t="s">
        <v>21</v>
      </c>
      <c r="G11" s="25">
        <v>3550</v>
      </c>
      <c r="H11" s="26">
        <v>0</v>
      </c>
      <c r="I11" s="8" t="s">
        <v>16</v>
      </c>
      <c r="J11" s="10">
        <f t="shared" si="0"/>
        <v>46269</v>
      </c>
      <c r="K11" s="19" t="s">
        <v>79</v>
      </c>
    </row>
    <row r="12" spans="1:11" ht="18.75" x14ac:dyDescent="0.3">
      <c r="A12" s="8"/>
      <c r="B12" s="27" t="s">
        <v>18</v>
      </c>
      <c r="C12" s="28">
        <f>SUM(C10:C11)</f>
        <v>26713</v>
      </c>
      <c r="D12" s="8"/>
      <c r="E12" s="8"/>
      <c r="F12" s="19"/>
      <c r="G12" s="19"/>
      <c r="H12" s="20"/>
      <c r="I12" s="8"/>
      <c r="J12" s="8"/>
      <c r="K12" s="8"/>
    </row>
    <row r="13" spans="1:11" ht="24.75" x14ac:dyDescent="0.5">
      <c r="A13" s="29" t="s">
        <v>34</v>
      </c>
      <c r="B13" s="30"/>
      <c r="C13" s="30"/>
      <c r="D13" s="30"/>
      <c r="E13" s="30"/>
      <c r="F13" s="30"/>
      <c r="G13" s="30"/>
      <c r="H13" s="30"/>
      <c r="I13" s="30"/>
      <c r="J13" s="30"/>
      <c r="K13" s="31"/>
    </row>
    <row r="14" spans="1:11" ht="18.75" x14ac:dyDescent="0.3">
      <c r="A14" s="32" t="s">
        <v>3</v>
      </c>
      <c r="B14" s="32" t="s">
        <v>35</v>
      </c>
      <c r="C14" s="33" t="s">
        <v>5</v>
      </c>
      <c r="D14" s="6" t="s">
        <v>36</v>
      </c>
      <c r="E14" s="32" t="s">
        <v>7</v>
      </c>
      <c r="F14" s="32" t="s">
        <v>8</v>
      </c>
      <c r="G14" s="32" t="s">
        <v>37</v>
      </c>
      <c r="H14" s="34" t="s">
        <v>38</v>
      </c>
      <c r="I14" s="32" t="s">
        <v>11</v>
      </c>
      <c r="J14" s="32" t="s">
        <v>39</v>
      </c>
      <c r="K14" s="35" t="s">
        <v>40</v>
      </c>
    </row>
    <row r="15" spans="1:11" ht="15.75" x14ac:dyDescent="0.25">
      <c r="A15" s="14">
        <v>1</v>
      </c>
      <c r="B15" s="14" t="s">
        <v>80</v>
      </c>
      <c r="C15" s="36">
        <v>2400</v>
      </c>
      <c r="D15" s="10">
        <v>46268</v>
      </c>
      <c r="E15" s="14"/>
      <c r="F15" s="14"/>
      <c r="G15" s="37">
        <v>6341</v>
      </c>
      <c r="H15" s="38"/>
      <c r="I15" s="39"/>
      <c r="J15" s="10">
        <v>46268</v>
      </c>
      <c r="K15" s="19" t="s">
        <v>81</v>
      </c>
    </row>
    <row r="16" spans="1:11" ht="15.75" x14ac:dyDescent="0.25">
      <c r="A16" s="14">
        <v>2</v>
      </c>
      <c r="B16" s="14" t="s">
        <v>41</v>
      </c>
      <c r="C16" s="36">
        <v>1000</v>
      </c>
      <c r="D16" s="10">
        <v>46268</v>
      </c>
      <c r="E16" s="14"/>
      <c r="F16" s="14"/>
      <c r="G16" s="37">
        <v>3172</v>
      </c>
      <c r="H16" s="38"/>
      <c r="I16" s="39"/>
      <c r="J16" s="10">
        <v>46268</v>
      </c>
      <c r="K16" s="19" t="s">
        <v>82</v>
      </c>
    </row>
    <row r="17" spans="1:11" ht="15.75" x14ac:dyDescent="0.25">
      <c r="A17" s="14">
        <v>3</v>
      </c>
      <c r="B17" s="14" t="s">
        <v>83</v>
      </c>
      <c r="C17" s="36">
        <v>500</v>
      </c>
      <c r="D17" s="10">
        <v>46268</v>
      </c>
      <c r="E17" s="14"/>
      <c r="F17" s="14"/>
      <c r="G17" s="37">
        <v>9347</v>
      </c>
      <c r="H17" s="38"/>
      <c r="I17" s="39"/>
      <c r="J17" s="10">
        <v>46268</v>
      </c>
      <c r="K17" s="19" t="s">
        <v>84</v>
      </c>
    </row>
    <row r="18" spans="1:11" ht="18.75" x14ac:dyDescent="0.25">
      <c r="A18" s="14"/>
      <c r="B18" s="40" t="s">
        <v>48</v>
      </c>
      <c r="C18" s="41">
        <f>SUM(C15:C17)</f>
        <v>3900</v>
      </c>
      <c r="D18" s="8"/>
      <c r="E18" s="14"/>
      <c r="F18" s="14"/>
      <c r="G18" s="14"/>
      <c r="H18" s="42">
        <v>0</v>
      </c>
      <c r="I18" s="39"/>
      <c r="J18" s="8"/>
      <c r="K18" s="43"/>
    </row>
    <row r="19" spans="1:11" x14ac:dyDescent="0.25">
      <c r="C19" s="44"/>
      <c r="H19" s="44"/>
    </row>
    <row r="20" spans="1:11" ht="16.5" x14ac:dyDescent="0.3">
      <c r="B20" s="45" t="s">
        <v>49</v>
      </c>
      <c r="C20" s="46">
        <f>SUM(C10,C11)</f>
        <v>26713</v>
      </c>
      <c r="E20" s="47"/>
      <c r="F20" s="47"/>
      <c r="G20" s="48"/>
      <c r="H20" s="48"/>
    </row>
    <row r="21" spans="1:11" ht="16.5" x14ac:dyDescent="0.3">
      <c r="B21" s="49" t="s">
        <v>50</v>
      </c>
      <c r="C21" s="50"/>
      <c r="E21" s="51"/>
      <c r="F21" s="51"/>
      <c r="G21" s="52" t="s">
        <v>51</v>
      </c>
      <c r="H21" s="53"/>
    </row>
    <row r="22" spans="1:11" ht="24" x14ac:dyDescent="0.4">
      <c r="B22" s="54" t="s">
        <v>52</v>
      </c>
      <c r="C22" s="55"/>
      <c r="E22" s="56" t="s">
        <v>53</v>
      </c>
      <c r="F22" s="57"/>
      <c r="G22" s="58"/>
      <c r="H22" s="59"/>
      <c r="I22" s="58"/>
      <c r="J22" s="60"/>
    </row>
    <row r="23" spans="1:11" ht="18.75" x14ac:dyDescent="0.3">
      <c r="B23" s="61" t="s">
        <v>18</v>
      </c>
      <c r="C23" s="62">
        <f>SUM(C20:C22)</f>
        <v>26713</v>
      </c>
      <c r="G23" s="52"/>
      <c r="H23" s="53"/>
      <c r="I23" s="52"/>
      <c r="J23" s="52"/>
    </row>
  </sheetData>
  <mergeCells count="6">
    <mergeCell ref="A1:K1"/>
    <mergeCell ref="A2:K2"/>
    <mergeCell ref="A3:K3"/>
    <mergeCell ref="A9:K9"/>
    <mergeCell ref="A13:K13"/>
    <mergeCell ref="G20:H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BB0EB-F948-415B-8A2B-2220180C6684}">
  <dimension ref="A1:K30"/>
  <sheetViews>
    <sheetView topLeftCell="A13" workbookViewId="0">
      <selection activeCell="M9" sqref="M9"/>
    </sheetView>
  </sheetViews>
  <sheetFormatPr defaultRowHeight="15" x14ac:dyDescent="0.25"/>
  <cols>
    <col min="1" max="1" width="4.42578125" bestFit="1" customWidth="1"/>
    <col min="2" max="2" width="25.710937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8.140625" customWidth="1"/>
    <col min="9" max="9" width="10" bestFit="1" customWidth="1"/>
    <col min="10" max="10" width="16.85546875" bestFit="1" customWidth="1"/>
    <col min="11" max="11" width="20.5703125" bestFit="1" customWidth="1"/>
  </cols>
  <sheetData>
    <row r="1" spans="1:11" ht="24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" x14ac:dyDescent="0.35">
      <c r="A2" s="2" t="s">
        <v>85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24" x14ac:dyDescent="0.4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8.75" x14ac:dyDescent="0.3">
      <c r="A4" s="6" t="s">
        <v>3</v>
      </c>
      <c r="B4" s="6" t="s">
        <v>4</v>
      </c>
      <c r="C4" s="7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7" t="s">
        <v>10</v>
      </c>
      <c r="I4" s="6" t="s">
        <v>11</v>
      </c>
      <c r="J4" s="6" t="s">
        <v>12</v>
      </c>
      <c r="K4" s="6" t="s">
        <v>13</v>
      </c>
    </row>
    <row r="5" spans="1:11" ht="15.75" x14ac:dyDescent="0.25">
      <c r="A5" s="8">
        <v>1</v>
      </c>
      <c r="B5" s="8" t="s">
        <v>86</v>
      </c>
      <c r="C5" s="9">
        <v>26400</v>
      </c>
      <c r="D5" s="10">
        <v>46269</v>
      </c>
      <c r="E5" s="11">
        <v>0</v>
      </c>
      <c r="F5" s="8" t="s">
        <v>15</v>
      </c>
      <c r="G5" s="12">
        <v>465</v>
      </c>
      <c r="H5" s="13">
        <v>0</v>
      </c>
      <c r="I5" s="8" t="s">
        <v>16</v>
      </c>
      <c r="J5" s="10">
        <f>+D5-1</f>
        <v>46268</v>
      </c>
      <c r="K5" s="14" t="s">
        <v>56</v>
      </c>
    </row>
    <row r="6" spans="1:11" ht="15.75" x14ac:dyDescent="0.25">
      <c r="A6" s="8">
        <v>2</v>
      </c>
      <c r="B6" s="8"/>
      <c r="C6" s="9">
        <v>0</v>
      </c>
      <c r="D6" s="10">
        <v>46269</v>
      </c>
      <c r="E6" s="11">
        <v>0</v>
      </c>
      <c r="F6" s="8" t="s">
        <v>15</v>
      </c>
      <c r="G6" s="12"/>
      <c r="H6" s="13">
        <v>0</v>
      </c>
      <c r="I6" s="8" t="s">
        <v>16</v>
      </c>
      <c r="J6" s="10">
        <f>+D6-1</f>
        <v>46268</v>
      </c>
      <c r="K6" s="14"/>
    </row>
    <row r="7" spans="1:11" ht="18.75" x14ac:dyDescent="0.3">
      <c r="A7" s="15"/>
      <c r="B7" s="16" t="s">
        <v>18</v>
      </c>
      <c r="C7" s="17">
        <f>SUM(C5:C6)</f>
        <v>26400</v>
      </c>
      <c r="D7" s="8"/>
      <c r="E7" s="18"/>
      <c r="F7" s="15"/>
      <c r="G7" s="19"/>
      <c r="H7" s="20">
        <f>SUM(H5:H5)</f>
        <v>0</v>
      </c>
      <c r="I7" s="15"/>
      <c r="J7" s="15"/>
      <c r="K7" s="15"/>
    </row>
    <row r="9" spans="1:11" ht="24" x14ac:dyDescent="0.4">
      <c r="A9" s="21" t="s">
        <v>19</v>
      </c>
      <c r="B9" s="22"/>
      <c r="C9" s="22"/>
      <c r="D9" s="22"/>
      <c r="E9" s="22"/>
      <c r="F9" s="22"/>
      <c r="G9" s="22"/>
      <c r="H9" s="22"/>
      <c r="I9" s="22"/>
      <c r="J9" s="22"/>
      <c r="K9" s="23"/>
    </row>
    <row r="10" spans="1:11" ht="15.75" x14ac:dyDescent="0.25">
      <c r="A10" s="8">
        <v>1</v>
      </c>
      <c r="B10" s="8" t="s">
        <v>87</v>
      </c>
      <c r="C10" s="9">
        <v>1265</v>
      </c>
      <c r="D10" s="10">
        <v>46269</v>
      </c>
      <c r="E10" s="24">
        <v>0</v>
      </c>
      <c r="F10" s="19" t="s">
        <v>21</v>
      </c>
      <c r="G10" s="25">
        <v>7165</v>
      </c>
      <c r="H10" s="26">
        <v>0</v>
      </c>
      <c r="I10" s="8" t="s">
        <v>22</v>
      </c>
      <c r="J10" s="10">
        <f t="shared" ref="J10:J19" si="0">+D10+1</f>
        <v>46270</v>
      </c>
      <c r="K10" s="19" t="s">
        <v>64</v>
      </c>
    </row>
    <row r="11" spans="1:11" ht="15.75" x14ac:dyDescent="0.25">
      <c r="A11" s="8">
        <v>2</v>
      </c>
      <c r="B11" s="8" t="s">
        <v>88</v>
      </c>
      <c r="C11" s="9">
        <v>2100</v>
      </c>
      <c r="D11" s="10">
        <f t="shared" ref="D11:D19" si="1">+D10</f>
        <v>46269</v>
      </c>
      <c r="E11" s="24">
        <v>0</v>
      </c>
      <c r="F11" s="19" t="s">
        <v>21</v>
      </c>
      <c r="G11" s="25">
        <v>8933</v>
      </c>
      <c r="H11" s="26">
        <v>0</v>
      </c>
      <c r="I11" s="8" t="s">
        <v>16</v>
      </c>
      <c r="J11" s="10">
        <f t="shared" si="0"/>
        <v>46270</v>
      </c>
      <c r="K11" s="19" t="s">
        <v>23</v>
      </c>
    </row>
    <row r="12" spans="1:11" ht="15.75" x14ac:dyDescent="0.25">
      <c r="A12" s="8">
        <v>3</v>
      </c>
      <c r="B12" s="8" t="s">
        <v>89</v>
      </c>
      <c r="C12" s="9">
        <v>20940</v>
      </c>
      <c r="D12" s="10">
        <f t="shared" si="1"/>
        <v>46269</v>
      </c>
      <c r="E12" s="24">
        <v>0</v>
      </c>
      <c r="F12" s="19" t="s">
        <v>21</v>
      </c>
      <c r="G12" s="25">
        <v>2144</v>
      </c>
      <c r="H12" s="26">
        <v>0</v>
      </c>
      <c r="I12" s="8" t="s">
        <v>16</v>
      </c>
      <c r="J12" s="10">
        <f t="shared" si="0"/>
        <v>46270</v>
      </c>
      <c r="K12" s="19" t="s">
        <v>90</v>
      </c>
    </row>
    <row r="13" spans="1:11" ht="15.75" x14ac:dyDescent="0.25">
      <c r="A13" s="8">
        <v>4</v>
      </c>
      <c r="B13" s="8" t="s">
        <v>91</v>
      </c>
      <c r="C13" s="9">
        <v>770</v>
      </c>
      <c r="D13" s="10">
        <f t="shared" si="1"/>
        <v>46269</v>
      </c>
      <c r="E13" s="24">
        <v>0</v>
      </c>
      <c r="F13" s="19" t="s">
        <v>21</v>
      </c>
      <c r="G13" s="25">
        <v>8917</v>
      </c>
      <c r="H13" s="26">
        <v>0</v>
      </c>
      <c r="I13" s="8" t="s">
        <v>16</v>
      </c>
      <c r="J13" s="10">
        <f t="shared" si="0"/>
        <v>46270</v>
      </c>
      <c r="K13" s="19" t="s">
        <v>23</v>
      </c>
    </row>
    <row r="14" spans="1:11" ht="15.75" x14ac:dyDescent="0.25">
      <c r="A14" s="8">
        <v>5</v>
      </c>
      <c r="B14" s="8" t="s">
        <v>92</v>
      </c>
      <c r="C14" s="9">
        <v>9000</v>
      </c>
      <c r="D14" s="10">
        <f t="shared" si="1"/>
        <v>46269</v>
      </c>
      <c r="E14" s="24">
        <v>0</v>
      </c>
      <c r="F14" s="19" t="s">
        <v>21</v>
      </c>
      <c r="G14" s="25">
        <v>4249</v>
      </c>
      <c r="H14" s="26">
        <v>0</v>
      </c>
      <c r="I14" s="8" t="s">
        <v>16</v>
      </c>
      <c r="J14" s="10">
        <f t="shared" si="0"/>
        <v>46270</v>
      </c>
      <c r="K14" s="19" t="s">
        <v>93</v>
      </c>
    </row>
    <row r="15" spans="1:11" ht="15.75" x14ac:dyDescent="0.25">
      <c r="A15" s="8">
        <v>6</v>
      </c>
      <c r="B15" s="8" t="s">
        <v>92</v>
      </c>
      <c r="C15" s="9">
        <v>20000</v>
      </c>
      <c r="D15" s="10">
        <f t="shared" si="1"/>
        <v>46269</v>
      </c>
      <c r="E15" s="24">
        <v>0</v>
      </c>
      <c r="F15" s="19" t="s">
        <v>21</v>
      </c>
      <c r="G15" s="25">
        <v>558</v>
      </c>
      <c r="H15" s="26">
        <v>0</v>
      </c>
      <c r="I15" s="8" t="s">
        <v>16</v>
      </c>
      <c r="J15" s="10">
        <f t="shared" si="0"/>
        <v>46270</v>
      </c>
      <c r="K15" s="19" t="s">
        <v>93</v>
      </c>
    </row>
    <row r="16" spans="1:11" ht="15.75" x14ac:dyDescent="0.25">
      <c r="A16" s="8">
        <v>7</v>
      </c>
      <c r="B16" s="8" t="s">
        <v>94</v>
      </c>
      <c r="C16" s="9">
        <v>2570</v>
      </c>
      <c r="D16" s="10">
        <f t="shared" si="1"/>
        <v>46269</v>
      </c>
      <c r="E16" s="24">
        <v>0</v>
      </c>
      <c r="F16" s="19" t="s">
        <v>21</v>
      </c>
      <c r="G16" s="25">
        <v>4263</v>
      </c>
      <c r="H16" s="26">
        <v>0</v>
      </c>
      <c r="I16" s="8" t="s">
        <v>16</v>
      </c>
      <c r="J16" s="10">
        <f t="shared" si="0"/>
        <v>46270</v>
      </c>
      <c r="K16" s="19" t="s">
        <v>23</v>
      </c>
    </row>
    <row r="17" spans="1:11" ht="15.75" x14ac:dyDescent="0.25">
      <c r="A17" s="8">
        <v>8</v>
      </c>
      <c r="B17" s="8" t="s">
        <v>95</v>
      </c>
      <c r="C17" s="9">
        <v>920</v>
      </c>
      <c r="D17" s="10">
        <f t="shared" si="1"/>
        <v>46269</v>
      </c>
      <c r="E17" s="24">
        <v>0</v>
      </c>
      <c r="F17" s="19" t="s">
        <v>21</v>
      </c>
      <c r="G17" s="25">
        <v>4247</v>
      </c>
      <c r="H17" s="26">
        <v>0</v>
      </c>
      <c r="I17" s="8" t="s">
        <v>16</v>
      </c>
      <c r="J17" s="10">
        <f t="shared" si="0"/>
        <v>46270</v>
      </c>
      <c r="K17" s="19" t="s">
        <v>23</v>
      </c>
    </row>
    <row r="18" spans="1:11" ht="15.75" x14ac:dyDescent="0.25">
      <c r="A18" s="8">
        <v>9</v>
      </c>
      <c r="B18" s="8" t="s">
        <v>96</v>
      </c>
      <c r="C18" s="9">
        <v>3170</v>
      </c>
      <c r="D18" s="10">
        <f t="shared" si="1"/>
        <v>46269</v>
      </c>
      <c r="E18" s="24">
        <v>0</v>
      </c>
      <c r="F18" s="19" t="s">
        <v>21</v>
      </c>
      <c r="G18" s="25">
        <v>1394</v>
      </c>
      <c r="H18" s="26">
        <v>0</v>
      </c>
      <c r="I18" s="8" t="s">
        <v>16</v>
      </c>
      <c r="J18" s="10">
        <f t="shared" si="0"/>
        <v>46270</v>
      </c>
      <c r="K18" s="19" t="s">
        <v>23</v>
      </c>
    </row>
    <row r="19" spans="1:11" ht="15.75" x14ac:dyDescent="0.25">
      <c r="A19" s="8">
        <v>10</v>
      </c>
      <c r="B19" s="8" t="s">
        <v>97</v>
      </c>
      <c r="C19" s="9">
        <v>2880</v>
      </c>
      <c r="D19" s="10">
        <f t="shared" si="1"/>
        <v>46269</v>
      </c>
      <c r="E19" s="24">
        <v>0</v>
      </c>
      <c r="F19" s="19" t="s">
        <v>21</v>
      </c>
      <c r="G19" s="25">
        <v>200</v>
      </c>
      <c r="H19" s="26">
        <v>0</v>
      </c>
      <c r="I19" s="8" t="s">
        <v>16</v>
      </c>
      <c r="J19" s="10">
        <f t="shared" si="0"/>
        <v>46270</v>
      </c>
      <c r="K19" s="19" t="s">
        <v>23</v>
      </c>
    </row>
    <row r="20" spans="1:11" ht="18.75" x14ac:dyDescent="0.3">
      <c r="A20" s="8"/>
      <c r="B20" s="27" t="s">
        <v>18</v>
      </c>
      <c r="C20" s="28">
        <f>SUM(C10:C19)</f>
        <v>63615</v>
      </c>
      <c r="D20" s="8"/>
      <c r="E20" s="8"/>
      <c r="F20" s="19"/>
      <c r="G20" s="19"/>
      <c r="H20" s="20"/>
      <c r="I20" s="8"/>
      <c r="J20" s="8"/>
      <c r="K20" s="8"/>
    </row>
    <row r="21" spans="1:11" ht="24.75" x14ac:dyDescent="0.5">
      <c r="A21" s="29" t="s">
        <v>34</v>
      </c>
      <c r="B21" s="30"/>
      <c r="C21" s="30"/>
      <c r="D21" s="30"/>
      <c r="E21" s="30"/>
      <c r="F21" s="30"/>
      <c r="G21" s="30"/>
      <c r="H21" s="30"/>
      <c r="I21" s="30"/>
      <c r="J21" s="30"/>
      <c r="K21" s="31"/>
    </row>
    <row r="22" spans="1:11" ht="18.75" x14ac:dyDescent="0.3">
      <c r="A22" s="32" t="s">
        <v>3</v>
      </c>
      <c r="B22" s="32" t="s">
        <v>35</v>
      </c>
      <c r="C22" s="33" t="s">
        <v>5</v>
      </c>
      <c r="D22" s="6" t="s">
        <v>36</v>
      </c>
      <c r="E22" s="32" t="s">
        <v>7</v>
      </c>
      <c r="F22" s="32" t="s">
        <v>8</v>
      </c>
      <c r="G22" s="32" t="s">
        <v>37</v>
      </c>
      <c r="H22" s="34" t="s">
        <v>38</v>
      </c>
      <c r="I22" s="32" t="s">
        <v>11</v>
      </c>
      <c r="J22" s="32" t="s">
        <v>39</v>
      </c>
      <c r="K22" s="35" t="s">
        <v>40</v>
      </c>
    </row>
    <row r="23" spans="1:11" ht="15.75" x14ac:dyDescent="0.25">
      <c r="A23" s="14">
        <v>1</v>
      </c>
      <c r="B23" s="14" t="s">
        <v>45</v>
      </c>
      <c r="C23" s="36">
        <v>26601</v>
      </c>
      <c r="D23" s="10">
        <v>46269</v>
      </c>
      <c r="E23" s="14"/>
      <c r="F23" s="14"/>
      <c r="G23" s="37">
        <v>92</v>
      </c>
      <c r="H23" s="38"/>
      <c r="I23" s="39"/>
      <c r="J23" s="10">
        <v>46269</v>
      </c>
      <c r="K23" s="19" t="s">
        <v>23</v>
      </c>
    </row>
    <row r="24" spans="1:11" ht="15.75" x14ac:dyDescent="0.25">
      <c r="A24" s="14">
        <v>2</v>
      </c>
      <c r="B24" s="14" t="s">
        <v>98</v>
      </c>
      <c r="C24" s="36">
        <v>5555</v>
      </c>
      <c r="D24" s="10">
        <v>46269</v>
      </c>
      <c r="E24" s="14"/>
      <c r="F24" s="14"/>
      <c r="G24" s="37">
        <v>3250</v>
      </c>
      <c r="H24" s="38"/>
      <c r="I24" s="39"/>
      <c r="J24" s="10">
        <v>46269</v>
      </c>
      <c r="K24" s="19" t="s">
        <v>99</v>
      </c>
    </row>
    <row r="25" spans="1:11" ht="18.75" x14ac:dyDescent="0.25">
      <c r="A25" s="14"/>
      <c r="B25" s="40" t="s">
        <v>48</v>
      </c>
      <c r="C25" s="41">
        <f>SUM(C23:C24)</f>
        <v>32156</v>
      </c>
      <c r="D25" s="8"/>
      <c r="E25" s="14"/>
      <c r="F25" s="14"/>
      <c r="G25" s="14"/>
      <c r="H25" s="42">
        <v>0</v>
      </c>
      <c r="I25" s="39"/>
      <c r="J25" s="8"/>
      <c r="K25" s="43"/>
    </row>
    <row r="26" spans="1:11" x14ac:dyDescent="0.25">
      <c r="C26" s="44"/>
      <c r="H26" s="44"/>
    </row>
    <row r="27" spans="1:11" ht="16.5" x14ac:dyDescent="0.3">
      <c r="B27" s="45" t="s">
        <v>49</v>
      </c>
      <c r="C27" s="46">
        <f>SUM(C10,C12)</f>
        <v>22205</v>
      </c>
      <c r="E27" s="47"/>
      <c r="F27" s="47"/>
      <c r="G27" s="48"/>
      <c r="H27" s="48"/>
    </row>
    <row r="28" spans="1:11" ht="16.5" x14ac:dyDescent="0.3">
      <c r="B28" s="49" t="s">
        <v>50</v>
      </c>
      <c r="C28" s="50">
        <f>SUM(C11,C13,C14,C15,C16,C17,C18,C19)</f>
        <v>41410</v>
      </c>
      <c r="E28" s="51"/>
      <c r="F28" s="51"/>
      <c r="G28" s="52" t="s">
        <v>51</v>
      </c>
      <c r="H28" s="53"/>
    </row>
    <row r="29" spans="1:11" ht="24" x14ac:dyDescent="0.4">
      <c r="B29" s="54" t="s">
        <v>52</v>
      </c>
      <c r="C29" s="55"/>
      <c r="E29" s="56" t="s">
        <v>53</v>
      </c>
      <c r="F29" s="57"/>
      <c r="G29" s="58"/>
      <c r="H29" s="59"/>
      <c r="I29" s="58"/>
      <c r="J29" s="60"/>
    </row>
    <row r="30" spans="1:11" ht="18.75" x14ac:dyDescent="0.3">
      <c r="B30" s="61" t="s">
        <v>18</v>
      </c>
      <c r="C30" s="62">
        <f>SUM(C27:C29)</f>
        <v>63615</v>
      </c>
      <c r="G30" s="52"/>
      <c r="H30" s="53"/>
      <c r="I30" s="52"/>
      <c r="J30" s="52"/>
    </row>
  </sheetData>
  <mergeCells count="6">
    <mergeCell ref="A1:K1"/>
    <mergeCell ref="A2:K2"/>
    <mergeCell ref="A3:K3"/>
    <mergeCell ref="A9:K9"/>
    <mergeCell ref="A21:K21"/>
    <mergeCell ref="G27:H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5B69-5C37-4893-88C3-1C74040EFECE}">
  <dimension ref="A1:K32"/>
  <sheetViews>
    <sheetView workbookViewId="0">
      <selection activeCell="D4" sqref="D1:D1048576"/>
    </sheetView>
  </sheetViews>
  <sheetFormatPr defaultRowHeight="15" x14ac:dyDescent="0.25"/>
  <cols>
    <col min="1" max="1" width="4.42578125" bestFit="1" customWidth="1"/>
    <col min="2" max="2" width="24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42.5703125" bestFit="1" customWidth="1"/>
  </cols>
  <sheetData>
    <row r="1" spans="1:11" ht="24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" x14ac:dyDescent="0.35">
      <c r="A2" s="2" t="s">
        <v>100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24" x14ac:dyDescent="0.4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8.75" x14ac:dyDescent="0.3">
      <c r="A4" s="6" t="s">
        <v>3</v>
      </c>
      <c r="B4" s="6" t="s">
        <v>4</v>
      </c>
      <c r="C4" s="7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7" t="s">
        <v>10</v>
      </c>
      <c r="I4" s="6" t="s">
        <v>11</v>
      </c>
      <c r="J4" s="6" t="s">
        <v>12</v>
      </c>
      <c r="K4" s="6" t="s">
        <v>13</v>
      </c>
    </row>
    <row r="5" spans="1:11" ht="15.75" x14ac:dyDescent="0.25">
      <c r="A5" s="8">
        <v>1</v>
      </c>
      <c r="B5" s="8"/>
      <c r="C5" s="9">
        <v>0</v>
      </c>
      <c r="D5" s="10">
        <v>46270</v>
      </c>
      <c r="E5" s="11">
        <v>0</v>
      </c>
      <c r="F5" s="8" t="s">
        <v>15</v>
      </c>
      <c r="G5" s="12"/>
      <c r="H5" s="13">
        <v>0</v>
      </c>
      <c r="I5" s="8" t="s">
        <v>16</v>
      </c>
      <c r="J5" s="10">
        <f>+D5-1</f>
        <v>46269</v>
      </c>
      <c r="K5" s="14" t="s">
        <v>17</v>
      </c>
    </row>
    <row r="6" spans="1:11" ht="18.75" x14ac:dyDescent="0.3">
      <c r="A6" s="15"/>
      <c r="B6" s="16" t="s">
        <v>18</v>
      </c>
      <c r="C6" s="17">
        <f>SUM(C5:C5)</f>
        <v>0</v>
      </c>
      <c r="D6" s="8"/>
      <c r="E6" s="18"/>
      <c r="F6" s="15"/>
      <c r="G6" s="19"/>
      <c r="H6" s="20">
        <f>SUM(H5:H5)</f>
        <v>0</v>
      </c>
      <c r="I6" s="15"/>
      <c r="J6" s="15"/>
      <c r="K6" s="15"/>
    </row>
    <row r="8" spans="1:11" ht="24" x14ac:dyDescent="0.4">
      <c r="A8" s="21" t="s">
        <v>19</v>
      </c>
      <c r="B8" s="22"/>
      <c r="C8" s="22"/>
      <c r="D8" s="22"/>
      <c r="E8" s="22"/>
      <c r="F8" s="22"/>
      <c r="G8" s="22"/>
      <c r="H8" s="22"/>
      <c r="I8" s="22"/>
      <c r="J8" s="22"/>
      <c r="K8" s="23"/>
    </row>
    <row r="9" spans="1:11" ht="15.75" x14ac:dyDescent="0.25">
      <c r="A9" s="8">
        <v>1</v>
      </c>
      <c r="B9" s="8" t="s">
        <v>101</v>
      </c>
      <c r="C9" s="9">
        <v>1760</v>
      </c>
      <c r="D9" s="10">
        <v>46270</v>
      </c>
      <c r="E9" s="24">
        <v>0</v>
      </c>
      <c r="F9" s="19" t="s">
        <v>21</v>
      </c>
      <c r="G9" s="25">
        <v>8078</v>
      </c>
      <c r="H9" s="26">
        <v>0</v>
      </c>
      <c r="I9" s="8" t="s">
        <v>22</v>
      </c>
      <c r="J9" s="10">
        <f t="shared" ref="J9:J17" si="0">+D9+1</f>
        <v>46271</v>
      </c>
      <c r="K9" s="19" t="s">
        <v>23</v>
      </c>
    </row>
    <row r="10" spans="1:11" ht="15.75" x14ac:dyDescent="0.25">
      <c r="A10" s="8">
        <v>2</v>
      </c>
      <c r="B10" s="8" t="s">
        <v>102</v>
      </c>
      <c r="C10" s="9">
        <v>785</v>
      </c>
      <c r="D10" s="10">
        <f t="shared" ref="D10:D17" si="1">+D9</f>
        <v>46270</v>
      </c>
      <c r="E10" s="24">
        <v>0</v>
      </c>
      <c r="F10" s="19" t="s">
        <v>21</v>
      </c>
      <c r="G10" s="25">
        <v>5563</v>
      </c>
      <c r="H10" s="26">
        <v>0</v>
      </c>
      <c r="I10" s="8" t="s">
        <v>16</v>
      </c>
      <c r="J10" s="10">
        <f t="shared" si="0"/>
        <v>46271</v>
      </c>
      <c r="K10" s="19" t="s">
        <v>23</v>
      </c>
    </row>
    <row r="11" spans="1:11" ht="15.75" x14ac:dyDescent="0.25">
      <c r="A11" s="8">
        <v>3</v>
      </c>
      <c r="B11" s="8" t="s">
        <v>103</v>
      </c>
      <c r="C11" s="9">
        <v>7400</v>
      </c>
      <c r="D11" s="10">
        <f t="shared" si="1"/>
        <v>46270</v>
      </c>
      <c r="E11" s="24">
        <v>0</v>
      </c>
      <c r="F11" s="19" t="s">
        <v>21</v>
      </c>
      <c r="G11" s="25">
        <v>4721</v>
      </c>
      <c r="H11" s="26">
        <v>0</v>
      </c>
      <c r="I11" s="8" t="s">
        <v>16</v>
      </c>
      <c r="J11" s="10">
        <f t="shared" si="0"/>
        <v>46271</v>
      </c>
      <c r="K11" s="19" t="s">
        <v>104</v>
      </c>
    </row>
    <row r="12" spans="1:11" ht="15.75" x14ac:dyDescent="0.25">
      <c r="A12" s="8">
        <v>4</v>
      </c>
      <c r="B12" s="8" t="s">
        <v>60</v>
      </c>
      <c r="C12" s="9">
        <v>1400</v>
      </c>
      <c r="D12" s="10">
        <f t="shared" si="1"/>
        <v>46270</v>
      </c>
      <c r="E12" s="24">
        <v>0</v>
      </c>
      <c r="F12" s="19" t="s">
        <v>21</v>
      </c>
      <c r="G12" s="25">
        <v>7900</v>
      </c>
      <c r="H12" s="26">
        <v>0</v>
      </c>
      <c r="I12" s="8" t="s">
        <v>16</v>
      </c>
      <c r="J12" s="10">
        <f t="shared" si="0"/>
        <v>46271</v>
      </c>
      <c r="K12" s="19" t="s">
        <v>61</v>
      </c>
    </row>
    <row r="13" spans="1:11" ht="15.75" x14ac:dyDescent="0.25">
      <c r="A13" s="8">
        <v>5</v>
      </c>
      <c r="B13" s="8" t="s">
        <v>105</v>
      </c>
      <c r="C13" s="9">
        <v>1010</v>
      </c>
      <c r="D13" s="10">
        <f t="shared" si="1"/>
        <v>46270</v>
      </c>
      <c r="E13" s="24">
        <v>0</v>
      </c>
      <c r="F13" s="19" t="s">
        <v>21</v>
      </c>
      <c r="G13" s="25">
        <v>5016</v>
      </c>
      <c r="H13" s="26">
        <v>0</v>
      </c>
      <c r="I13" s="8" t="s">
        <v>16</v>
      </c>
      <c r="J13" s="10">
        <f t="shared" si="0"/>
        <v>46271</v>
      </c>
      <c r="K13" s="19" t="s">
        <v>23</v>
      </c>
    </row>
    <row r="14" spans="1:11" ht="15.75" x14ac:dyDescent="0.25">
      <c r="A14" s="8">
        <v>6</v>
      </c>
      <c r="B14" s="8" t="s">
        <v>106</v>
      </c>
      <c r="C14" s="9">
        <v>3680</v>
      </c>
      <c r="D14" s="10">
        <f t="shared" si="1"/>
        <v>46270</v>
      </c>
      <c r="E14" s="24">
        <v>0</v>
      </c>
      <c r="F14" s="19" t="s">
        <v>21</v>
      </c>
      <c r="G14" s="25">
        <v>5852</v>
      </c>
      <c r="H14" s="26">
        <v>0</v>
      </c>
      <c r="I14" s="8" t="s">
        <v>16</v>
      </c>
      <c r="J14" s="10">
        <f t="shared" si="0"/>
        <v>46271</v>
      </c>
      <c r="K14" s="19" t="s">
        <v>23</v>
      </c>
    </row>
    <row r="15" spans="1:11" ht="15.75" x14ac:dyDescent="0.25">
      <c r="A15" s="8">
        <v>7</v>
      </c>
      <c r="B15" s="8" t="s">
        <v>107</v>
      </c>
      <c r="C15" s="9">
        <v>1175</v>
      </c>
      <c r="D15" s="10">
        <f t="shared" si="1"/>
        <v>46270</v>
      </c>
      <c r="E15" s="24">
        <v>0</v>
      </c>
      <c r="F15" s="19" t="s">
        <v>21</v>
      </c>
      <c r="G15" s="25">
        <v>6571</v>
      </c>
      <c r="H15" s="26">
        <v>0</v>
      </c>
      <c r="I15" s="8" t="s">
        <v>16</v>
      </c>
      <c r="J15" s="10">
        <f t="shared" si="0"/>
        <v>46271</v>
      </c>
      <c r="K15" s="19" t="s">
        <v>23</v>
      </c>
    </row>
    <row r="16" spans="1:11" ht="15.75" x14ac:dyDescent="0.25">
      <c r="A16" s="8">
        <v>8</v>
      </c>
      <c r="B16" s="8" t="s">
        <v>68</v>
      </c>
      <c r="C16" s="9">
        <v>155</v>
      </c>
      <c r="D16" s="10">
        <f t="shared" si="1"/>
        <v>46270</v>
      </c>
      <c r="E16" s="24">
        <v>0</v>
      </c>
      <c r="F16" s="19" t="s">
        <v>21</v>
      </c>
      <c r="G16" s="25">
        <v>3569</v>
      </c>
      <c r="H16" s="26">
        <v>0</v>
      </c>
      <c r="I16" s="8" t="s">
        <v>16</v>
      </c>
      <c r="J16" s="10">
        <f t="shared" si="0"/>
        <v>46271</v>
      </c>
      <c r="K16" s="19" t="s">
        <v>61</v>
      </c>
    </row>
    <row r="17" spans="1:11" ht="15.75" x14ac:dyDescent="0.25">
      <c r="A17" s="8">
        <v>9</v>
      </c>
      <c r="B17" s="8" t="s">
        <v>108</v>
      </c>
      <c r="C17" s="9">
        <v>21000</v>
      </c>
      <c r="D17" s="10">
        <f t="shared" si="1"/>
        <v>46270</v>
      </c>
      <c r="E17" s="24">
        <v>0</v>
      </c>
      <c r="F17" s="19" t="s">
        <v>21</v>
      </c>
      <c r="G17" s="25">
        <v>8508</v>
      </c>
      <c r="H17" s="26">
        <v>0</v>
      </c>
      <c r="I17" s="8" t="s">
        <v>16</v>
      </c>
      <c r="J17" s="10">
        <f t="shared" si="0"/>
        <v>46271</v>
      </c>
      <c r="K17" s="19" t="s">
        <v>109</v>
      </c>
    </row>
    <row r="18" spans="1:11" ht="18.75" x14ac:dyDescent="0.3">
      <c r="A18" s="8"/>
      <c r="B18" s="27" t="s">
        <v>18</v>
      </c>
      <c r="C18" s="28">
        <f>SUM(C9:C17)</f>
        <v>38365</v>
      </c>
      <c r="D18" s="8"/>
      <c r="E18" s="8"/>
      <c r="F18" s="19"/>
      <c r="G18" s="19"/>
      <c r="H18" s="20"/>
      <c r="I18" s="8"/>
      <c r="J18" s="8"/>
      <c r="K18" s="8"/>
    </row>
    <row r="19" spans="1:11" ht="24.75" x14ac:dyDescent="0.5">
      <c r="A19" s="29" t="s">
        <v>34</v>
      </c>
      <c r="B19" s="30"/>
      <c r="C19" s="30"/>
      <c r="D19" s="30"/>
      <c r="E19" s="30"/>
      <c r="F19" s="30"/>
      <c r="G19" s="30"/>
      <c r="H19" s="30"/>
      <c r="I19" s="30"/>
      <c r="J19" s="30"/>
      <c r="K19" s="31"/>
    </row>
    <row r="20" spans="1:11" ht="18.75" x14ac:dyDescent="0.3">
      <c r="A20" s="32" t="s">
        <v>3</v>
      </c>
      <c r="B20" s="32" t="s">
        <v>35</v>
      </c>
      <c r="C20" s="33" t="s">
        <v>5</v>
      </c>
      <c r="D20" s="6" t="s">
        <v>36</v>
      </c>
      <c r="E20" s="32" t="s">
        <v>7</v>
      </c>
      <c r="F20" s="32" t="s">
        <v>8</v>
      </c>
      <c r="G20" s="32" t="s">
        <v>37</v>
      </c>
      <c r="H20" s="34" t="s">
        <v>38</v>
      </c>
      <c r="I20" s="32" t="s">
        <v>11</v>
      </c>
      <c r="J20" s="32" t="s">
        <v>39</v>
      </c>
      <c r="K20" s="35" t="s">
        <v>40</v>
      </c>
    </row>
    <row r="21" spans="1:11" ht="15.75" x14ac:dyDescent="0.25">
      <c r="A21" s="14">
        <v>1</v>
      </c>
      <c r="B21" s="14" t="s">
        <v>69</v>
      </c>
      <c r="C21" s="36">
        <v>36831</v>
      </c>
      <c r="D21" s="10">
        <v>46270</v>
      </c>
      <c r="E21" s="14"/>
      <c r="F21" s="14"/>
      <c r="G21" s="37">
        <v>17</v>
      </c>
      <c r="H21" s="38"/>
      <c r="I21" s="39"/>
      <c r="J21" s="10">
        <v>46270</v>
      </c>
      <c r="K21" s="19" t="s">
        <v>23</v>
      </c>
    </row>
    <row r="22" spans="1:11" ht="15.75" x14ac:dyDescent="0.25">
      <c r="A22" s="14">
        <v>2</v>
      </c>
      <c r="B22" s="14" t="s">
        <v>110</v>
      </c>
      <c r="C22" s="36">
        <v>2.36</v>
      </c>
      <c r="D22" s="10">
        <v>46270</v>
      </c>
      <c r="E22" s="14"/>
      <c r="F22" s="14"/>
      <c r="G22" s="37">
        <v>0</v>
      </c>
      <c r="H22" s="38"/>
      <c r="I22" s="39"/>
      <c r="J22" s="10">
        <v>46270</v>
      </c>
      <c r="K22" s="19" t="s">
        <v>111</v>
      </c>
    </row>
    <row r="23" spans="1:11" ht="15.75" x14ac:dyDescent="0.25">
      <c r="A23" s="14">
        <v>3</v>
      </c>
      <c r="B23" s="14" t="s">
        <v>112</v>
      </c>
      <c r="C23" s="36">
        <v>12000</v>
      </c>
      <c r="D23" s="10">
        <v>46270</v>
      </c>
      <c r="E23" s="14"/>
      <c r="F23" s="14"/>
      <c r="G23" s="37">
        <v>7519</v>
      </c>
      <c r="H23" s="38"/>
      <c r="I23" s="39"/>
      <c r="J23" s="10">
        <v>46270</v>
      </c>
      <c r="K23" s="19" t="s">
        <v>113</v>
      </c>
    </row>
    <row r="24" spans="1:11" ht="15.75" x14ac:dyDescent="0.25">
      <c r="A24" s="14">
        <v>4</v>
      </c>
      <c r="B24" s="14" t="s">
        <v>114</v>
      </c>
      <c r="C24" s="36">
        <v>19500</v>
      </c>
      <c r="D24" s="10">
        <v>46270</v>
      </c>
      <c r="E24" s="14"/>
      <c r="F24" s="14"/>
      <c r="G24" s="37">
        <v>8500</v>
      </c>
      <c r="H24" s="38"/>
      <c r="I24" s="39"/>
      <c r="J24" s="10">
        <v>46270</v>
      </c>
      <c r="K24" s="19" t="s">
        <v>44</v>
      </c>
    </row>
    <row r="25" spans="1:11" ht="15.75" x14ac:dyDescent="0.25">
      <c r="A25" s="14">
        <v>5</v>
      </c>
      <c r="B25" s="14" t="s">
        <v>115</v>
      </c>
      <c r="C25" s="36">
        <v>26000</v>
      </c>
      <c r="D25" s="10">
        <v>46270</v>
      </c>
      <c r="E25" s="14"/>
      <c r="F25" s="14"/>
      <c r="G25" s="37">
        <v>4873</v>
      </c>
      <c r="H25" s="38"/>
      <c r="I25" s="39"/>
      <c r="J25" s="10">
        <v>46270</v>
      </c>
      <c r="K25" s="19" t="s">
        <v>116</v>
      </c>
    </row>
    <row r="26" spans="1:11" ht="15.75" x14ac:dyDescent="0.25">
      <c r="A26" s="14">
        <v>6</v>
      </c>
      <c r="B26" s="14" t="s">
        <v>41</v>
      </c>
      <c r="C26" s="36">
        <v>3000</v>
      </c>
      <c r="D26" s="10">
        <v>46270</v>
      </c>
      <c r="E26" s="14"/>
      <c r="F26" s="14"/>
      <c r="G26" s="37">
        <v>2617</v>
      </c>
      <c r="H26" s="38"/>
      <c r="I26" s="39"/>
      <c r="J26" s="10">
        <v>46270</v>
      </c>
      <c r="K26" s="19" t="s">
        <v>117</v>
      </c>
    </row>
    <row r="27" spans="1:11" ht="18.75" x14ac:dyDescent="0.25">
      <c r="A27" s="14"/>
      <c r="B27" s="40" t="s">
        <v>48</v>
      </c>
      <c r="C27" s="41">
        <f>SUM(C21:C26)</f>
        <v>97333.36</v>
      </c>
      <c r="D27" s="8"/>
      <c r="E27" s="14"/>
      <c r="F27" s="14"/>
      <c r="G27" s="14"/>
      <c r="H27" s="42">
        <v>0</v>
      </c>
      <c r="I27" s="39"/>
      <c r="J27" s="8"/>
      <c r="K27" s="43"/>
    </row>
    <row r="28" spans="1:11" x14ac:dyDescent="0.25">
      <c r="C28" s="44"/>
      <c r="H28" s="44"/>
    </row>
    <row r="29" spans="1:11" ht="16.5" x14ac:dyDescent="0.3">
      <c r="B29" s="45" t="s">
        <v>49</v>
      </c>
      <c r="C29" s="46">
        <f>SUM(C12,C16)</f>
        <v>1555</v>
      </c>
      <c r="E29" s="47"/>
      <c r="F29" s="47"/>
      <c r="G29" s="48"/>
      <c r="H29" s="48"/>
    </row>
    <row r="30" spans="1:11" ht="16.5" x14ac:dyDescent="0.3">
      <c r="B30" s="49" t="s">
        <v>50</v>
      </c>
      <c r="C30" s="50">
        <f>SUM(C9,C10,C13,C15,C14)</f>
        <v>8410</v>
      </c>
      <c r="E30" s="51"/>
      <c r="F30" s="51"/>
      <c r="G30" s="52" t="s">
        <v>51</v>
      </c>
      <c r="H30" s="53"/>
    </row>
    <row r="31" spans="1:11" ht="24" x14ac:dyDescent="0.4">
      <c r="B31" s="54" t="s">
        <v>52</v>
      </c>
      <c r="C31" s="55"/>
      <c r="E31" s="56" t="s">
        <v>53</v>
      </c>
      <c r="F31" s="57"/>
      <c r="G31" s="58"/>
      <c r="H31" s="59"/>
      <c r="I31" s="58"/>
      <c r="J31" s="60"/>
    </row>
    <row r="32" spans="1:11" ht="18.75" x14ac:dyDescent="0.3">
      <c r="B32" s="61" t="s">
        <v>18</v>
      </c>
      <c r="C32" s="62">
        <f>SUM(C29:C31)</f>
        <v>9965</v>
      </c>
      <c r="G32" s="52"/>
      <c r="H32" s="53"/>
      <c r="I32" s="52"/>
      <c r="J32" s="52"/>
    </row>
  </sheetData>
  <mergeCells count="6">
    <mergeCell ref="A1:K1"/>
    <mergeCell ref="A2:K2"/>
    <mergeCell ref="A3:K3"/>
    <mergeCell ref="A8:K8"/>
    <mergeCell ref="A19:K19"/>
    <mergeCell ref="G29:H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A709B-23A7-4ED6-AD0F-868736FDA5E3}">
  <dimension ref="A1:K21"/>
  <sheetViews>
    <sheetView topLeftCell="A12" workbookViewId="0">
      <selection activeCell="L8" sqref="L8"/>
    </sheetView>
  </sheetViews>
  <sheetFormatPr defaultRowHeight="15" x14ac:dyDescent="0.25"/>
  <cols>
    <col min="1" max="1" width="4.42578125" bestFit="1" customWidth="1"/>
    <col min="2" max="2" width="20.140625" bestFit="1" customWidth="1"/>
    <col min="3" max="3" width="12.710937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6.5703125" customWidth="1"/>
  </cols>
  <sheetData>
    <row r="1" spans="1:11" ht="24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" x14ac:dyDescent="0.35">
      <c r="A2" s="2" t="s">
        <v>118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24" x14ac:dyDescent="0.4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8.75" x14ac:dyDescent="0.3">
      <c r="A4" s="6" t="s">
        <v>3</v>
      </c>
      <c r="B4" s="6" t="s">
        <v>4</v>
      </c>
      <c r="C4" s="7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7" t="s">
        <v>10</v>
      </c>
      <c r="I4" s="6" t="s">
        <v>11</v>
      </c>
      <c r="J4" s="6" t="s">
        <v>12</v>
      </c>
      <c r="K4" s="6" t="s">
        <v>13</v>
      </c>
    </row>
    <row r="5" spans="1:11" ht="15.75" x14ac:dyDescent="0.25">
      <c r="A5" s="8">
        <v>1</v>
      </c>
      <c r="B5" s="8"/>
      <c r="C5" s="9">
        <v>0</v>
      </c>
      <c r="D5" s="10">
        <v>46271</v>
      </c>
      <c r="E5" s="11">
        <v>0</v>
      </c>
      <c r="F5" s="8" t="s">
        <v>15</v>
      </c>
      <c r="G5" s="12"/>
      <c r="H5" s="13">
        <v>0</v>
      </c>
      <c r="I5" s="8" t="s">
        <v>16</v>
      </c>
      <c r="J5" s="10">
        <f>+D5-1</f>
        <v>46270</v>
      </c>
      <c r="K5" s="14"/>
    </row>
    <row r="6" spans="1:11" ht="18.75" x14ac:dyDescent="0.3">
      <c r="A6" s="15"/>
      <c r="B6" s="16" t="s">
        <v>18</v>
      </c>
      <c r="C6" s="17">
        <f>SUM(C5:C5)</f>
        <v>0</v>
      </c>
      <c r="D6" s="8"/>
      <c r="E6" s="18"/>
      <c r="F6" s="15"/>
      <c r="G6" s="19"/>
      <c r="H6" s="20">
        <f>SUM(H5:H5)</f>
        <v>0</v>
      </c>
      <c r="I6" s="15"/>
      <c r="J6" s="15"/>
      <c r="K6" s="15"/>
    </row>
    <row r="8" spans="1:11" ht="24" x14ac:dyDescent="0.4">
      <c r="A8" s="21" t="s">
        <v>19</v>
      </c>
      <c r="B8" s="22"/>
      <c r="C8" s="22"/>
      <c r="D8" s="22"/>
      <c r="E8" s="22"/>
      <c r="F8" s="22"/>
      <c r="G8" s="22"/>
      <c r="H8" s="22"/>
      <c r="I8" s="22"/>
      <c r="J8" s="22"/>
      <c r="K8" s="23"/>
    </row>
    <row r="9" spans="1:11" ht="15.75" x14ac:dyDescent="0.25">
      <c r="A9" s="8">
        <v>1</v>
      </c>
      <c r="B9" s="8" t="s">
        <v>119</v>
      </c>
      <c r="C9" s="9">
        <v>16800</v>
      </c>
      <c r="D9" s="10">
        <v>46271</v>
      </c>
      <c r="E9" s="24">
        <v>0</v>
      </c>
      <c r="F9" s="19" t="s">
        <v>21</v>
      </c>
      <c r="G9" s="25">
        <v>5923</v>
      </c>
      <c r="H9" s="26">
        <v>0</v>
      </c>
      <c r="I9" s="8" t="s">
        <v>22</v>
      </c>
      <c r="J9" s="10">
        <f t="shared" ref="J9:J10" si="0">+D9+1</f>
        <v>46272</v>
      </c>
      <c r="K9" s="19" t="s">
        <v>77</v>
      </c>
    </row>
    <row r="10" spans="1:11" ht="15.75" x14ac:dyDescent="0.25">
      <c r="A10" s="8">
        <v>2</v>
      </c>
      <c r="B10" s="8" t="s">
        <v>120</v>
      </c>
      <c r="C10" s="9">
        <v>3510</v>
      </c>
      <c r="D10" s="10">
        <f t="shared" ref="D10" si="1">+D9</f>
        <v>46271</v>
      </c>
      <c r="E10" s="24">
        <v>0</v>
      </c>
      <c r="F10" s="19" t="s">
        <v>21</v>
      </c>
      <c r="G10" s="25">
        <v>8696</v>
      </c>
      <c r="H10" s="26">
        <v>0</v>
      </c>
      <c r="I10" s="8" t="s">
        <v>16</v>
      </c>
      <c r="J10" s="10">
        <f t="shared" si="0"/>
        <v>46272</v>
      </c>
      <c r="K10" s="19" t="s">
        <v>23</v>
      </c>
    </row>
    <row r="11" spans="1:11" ht="18.75" x14ac:dyDescent="0.3">
      <c r="A11" s="8"/>
      <c r="B11" s="27" t="s">
        <v>18</v>
      </c>
      <c r="C11" s="28">
        <f>SUM(C9:C10)</f>
        <v>20310</v>
      </c>
      <c r="D11" s="8"/>
      <c r="E11" s="8"/>
      <c r="F11" s="19"/>
      <c r="G11" s="19"/>
      <c r="H11" s="20"/>
      <c r="I11" s="8"/>
      <c r="J11" s="8"/>
      <c r="K11" s="8"/>
    </row>
    <row r="12" spans="1:11" ht="24.75" x14ac:dyDescent="0.5">
      <c r="A12" s="29" t="s">
        <v>34</v>
      </c>
      <c r="B12" s="30"/>
      <c r="C12" s="30"/>
      <c r="D12" s="30"/>
      <c r="E12" s="30"/>
      <c r="F12" s="30"/>
      <c r="G12" s="30"/>
      <c r="H12" s="30"/>
      <c r="I12" s="30"/>
      <c r="J12" s="30"/>
      <c r="K12" s="31"/>
    </row>
    <row r="13" spans="1:11" ht="18.75" x14ac:dyDescent="0.3">
      <c r="A13" s="32" t="s">
        <v>3</v>
      </c>
      <c r="B13" s="32" t="s">
        <v>35</v>
      </c>
      <c r="C13" s="33" t="s">
        <v>5</v>
      </c>
      <c r="D13" s="6" t="s">
        <v>36</v>
      </c>
      <c r="E13" s="32" t="s">
        <v>7</v>
      </c>
      <c r="F13" s="32" t="s">
        <v>8</v>
      </c>
      <c r="G13" s="32" t="s">
        <v>37</v>
      </c>
      <c r="H13" s="34" t="s">
        <v>38</v>
      </c>
      <c r="I13" s="32" t="s">
        <v>11</v>
      </c>
      <c r="J13" s="32" t="s">
        <v>39</v>
      </c>
      <c r="K13" s="35" t="s">
        <v>40</v>
      </c>
    </row>
    <row r="14" spans="1:11" ht="15.75" x14ac:dyDescent="0.25">
      <c r="A14" s="14">
        <v>1</v>
      </c>
      <c r="B14" s="14" t="s">
        <v>45</v>
      </c>
      <c r="C14" s="36">
        <v>24686</v>
      </c>
      <c r="D14" s="10">
        <v>46271</v>
      </c>
      <c r="E14" s="14"/>
      <c r="F14" s="14"/>
      <c r="G14" s="37">
        <v>75</v>
      </c>
      <c r="H14" s="38"/>
      <c r="I14" s="39"/>
      <c r="J14" s="10">
        <v>46271</v>
      </c>
      <c r="K14" s="19" t="s">
        <v>23</v>
      </c>
    </row>
    <row r="15" spans="1:11" ht="15.75" x14ac:dyDescent="0.25">
      <c r="A15" s="14">
        <v>2</v>
      </c>
      <c r="B15" s="14" t="s">
        <v>121</v>
      </c>
      <c r="C15" s="36">
        <v>7000</v>
      </c>
      <c r="D15" s="10">
        <v>46271</v>
      </c>
      <c r="E15" s="14"/>
      <c r="F15" s="14"/>
      <c r="G15" s="37">
        <v>9568</v>
      </c>
      <c r="H15" s="38"/>
      <c r="I15" s="39"/>
      <c r="J15" s="10">
        <v>46271</v>
      </c>
      <c r="K15" s="19" t="s">
        <v>122</v>
      </c>
    </row>
    <row r="16" spans="1:11" ht="18.75" x14ac:dyDescent="0.25">
      <c r="A16" s="14"/>
      <c r="B16" s="40" t="s">
        <v>48</v>
      </c>
      <c r="C16" s="41">
        <f>SUM(C14:C15)</f>
        <v>31686</v>
      </c>
      <c r="D16" s="8"/>
      <c r="E16" s="14"/>
      <c r="F16" s="14"/>
      <c r="G16" s="14"/>
      <c r="H16" s="42">
        <v>0</v>
      </c>
      <c r="I16" s="39"/>
      <c r="J16" s="8"/>
      <c r="K16" s="43"/>
    </row>
    <row r="17" spans="2:10" x14ac:dyDescent="0.25">
      <c r="C17" s="44"/>
      <c r="H17" s="44"/>
    </row>
    <row r="18" spans="2:10" ht="16.5" x14ac:dyDescent="0.3">
      <c r="B18" s="45" t="s">
        <v>49</v>
      </c>
      <c r="C18" s="46">
        <f>SUM(C9)</f>
        <v>16800</v>
      </c>
      <c r="E18" s="47"/>
      <c r="F18" s="47"/>
      <c r="G18" s="48"/>
      <c r="H18" s="48"/>
    </row>
    <row r="19" spans="2:10" ht="16.5" x14ac:dyDescent="0.3">
      <c r="B19" s="49" t="s">
        <v>50</v>
      </c>
      <c r="C19" s="50">
        <f>SUM(C10)</f>
        <v>3510</v>
      </c>
      <c r="E19" s="51"/>
      <c r="F19" s="51"/>
      <c r="G19" s="52" t="s">
        <v>51</v>
      </c>
      <c r="H19" s="53"/>
    </row>
    <row r="20" spans="2:10" ht="24" x14ac:dyDescent="0.4">
      <c r="B20" s="54" t="s">
        <v>52</v>
      </c>
      <c r="C20" s="55"/>
      <c r="E20" s="56" t="s">
        <v>53</v>
      </c>
      <c r="F20" s="57"/>
      <c r="G20" s="58"/>
      <c r="H20" s="59"/>
      <c r="I20" s="58"/>
      <c r="J20" s="60"/>
    </row>
    <row r="21" spans="2:10" ht="18.75" x14ac:dyDescent="0.3">
      <c r="B21" s="61" t="s">
        <v>18</v>
      </c>
      <c r="C21" s="62">
        <f>SUM(C18:C20)</f>
        <v>20310</v>
      </c>
      <c r="G21" s="52"/>
      <c r="H21" s="53"/>
      <c r="I21" s="52"/>
      <c r="J21" s="52"/>
    </row>
  </sheetData>
  <mergeCells count="6">
    <mergeCell ref="A1:K1"/>
    <mergeCell ref="A2:K2"/>
    <mergeCell ref="A3:K3"/>
    <mergeCell ref="A8:K8"/>
    <mergeCell ref="A12:K12"/>
    <mergeCell ref="G18:H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21A1-A326-4657-BFFB-F59B631FC2ED}">
  <dimension ref="A1:K32"/>
  <sheetViews>
    <sheetView tabSelected="1" topLeftCell="A18" workbookViewId="0">
      <selection activeCell="H33" sqref="H33"/>
    </sheetView>
  </sheetViews>
  <sheetFormatPr defaultRowHeight="15" x14ac:dyDescent="0.25"/>
  <cols>
    <col min="1" max="1" width="4.42578125" bestFit="1" customWidth="1"/>
    <col min="2" max="2" width="24.140625" bestFit="1" customWidth="1"/>
    <col min="3" max="3" width="14.42578125" bestFit="1" customWidth="1"/>
    <col min="4" max="4" width="13.85546875" bestFit="1" customWidth="1"/>
    <col min="5" max="5" width="11.42578125" bestFit="1" customWidth="1"/>
    <col min="6" max="6" width="6.85546875" bestFit="1" customWidth="1"/>
    <col min="7" max="7" width="12.85546875" bestFit="1" customWidth="1"/>
    <col min="8" max="8" width="10.28515625" bestFit="1" customWidth="1"/>
    <col min="9" max="9" width="10" bestFit="1" customWidth="1"/>
    <col min="10" max="10" width="16.85546875" bestFit="1" customWidth="1"/>
    <col min="11" max="11" width="28.5703125" customWidth="1"/>
  </cols>
  <sheetData>
    <row r="1" spans="1:11" ht="24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" x14ac:dyDescent="0.35">
      <c r="A2" s="2" t="s">
        <v>123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24" x14ac:dyDescent="0.4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8.75" x14ac:dyDescent="0.3">
      <c r="A4" s="6" t="s">
        <v>3</v>
      </c>
      <c r="B4" s="6" t="s">
        <v>4</v>
      </c>
      <c r="C4" s="7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7" t="s">
        <v>10</v>
      </c>
      <c r="I4" s="6" t="s">
        <v>11</v>
      </c>
      <c r="J4" s="6" t="s">
        <v>12</v>
      </c>
      <c r="K4" s="6" t="s">
        <v>13</v>
      </c>
    </row>
    <row r="5" spans="1:11" ht="15.75" x14ac:dyDescent="0.25">
      <c r="A5" s="8">
        <v>1</v>
      </c>
      <c r="B5" s="8" t="s">
        <v>86</v>
      </c>
      <c r="C5" s="9">
        <v>54000</v>
      </c>
      <c r="D5" s="10">
        <v>46272</v>
      </c>
      <c r="E5" s="11">
        <v>0</v>
      </c>
      <c r="F5" s="8" t="s">
        <v>15</v>
      </c>
      <c r="G5" s="12">
        <v>895</v>
      </c>
      <c r="H5" s="13">
        <v>0</v>
      </c>
      <c r="I5" s="8" t="s">
        <v>16</v>
      </c>
      <c r="J5" s="10">
        <f>+D5-1</f>
        <v>46271</v>
      </c>
      <c r="K5" s="14" t="s">
        <v>56</v>
      </c>
    </row>
    <row r="6" spans="1:11" ht="15.75" x14ac:dyDescent="0.25">
      <c r="A6" s="8">
        <v>2</v>
      </c>
      <c r="B6" s="8" t="s">
        <v>124</v>
      </c>
      <c r="C6" s="9">
        <v>2625</v>
      </c>
      <c r="D6" s="10">
        <v>46272</v>
      </c>
      <c r="E6" s="11">
        <v>0</v>
      </c>
      <c r="F6" s="8" t="s">
        <v>15</v>
      </c>
      <c r="G6" s="12">
        <v>6682</v>
      </c>
      <c r="H6" s="13">
        <v>0</v>
      </c>
      <c r="I6" s="8" t="s">
        <v>16</v>
      </c>
      <c r="J6" s="10">
        <f>+D6-1</f>
        <v>46271</v>
      </c>
      <c r="K6" s="14" t="s">
        <v>125</v>
      </c>
    </row>
    <row r="7" spans="1:11" ht="18.75" x14ac:dyDescent="0.3">
      <c r="A7" s="15"/>
      <c r="B7" s="16" t="s">
        <v>18</v>
      </c>
      <c r="C7" s="17">
        <f>SUM(C5:C6)</f>
        <v>56625</v>
      </c>
      <c r="D7" s="8"/>
      <c r="E7" s="18"/>
      <c r="F7" s="15"/>
      <c r="G7" s="19"/>
      <c r="H7" s="20">
        <f>SUM(H5:H5)</f>
        <v>0</v>
      </c>
      <c r="I7" s="15"/>
      <c r="J7" s="15"/>
      <c r="K7" s="15"/>
    </row>
    <row r="9" spans="1:11" ht="24" x14ac:dyDescent="0.4">
      <c r="A9" s="21" t="s">
        <v>19</v>
      </c>
      <c r="B9" s="22"/>
      <c r="C9" s="22"/>
      <c r="D9" s="22"/>
      <c r="E9" s="22"/>
      <c r="F9" s="22"/>
      <c r="G9" s="22"/>
      <c r="H9" s="22"/>
      <c r="I9" s="22"/>
      <c r="J9" s="22"/>
      <c r="K9" s="23"/>
    </row>
    <row r="10" spans="1:11" ht="15.75" x14ac:dyDescent="0.25">
      <c r="A10" s="8">
        <v>1</v>
      </c>
      <c r="B10" s="8" t="s">
        <v>126</v>
      </c>
      <c r="C10" s="9">
        <v>2990</v>
      </c>
      <c r="D10" s="10">
        <v>46272</v>
      </c>
      <c r="E10" s="24">
        <v>0</v>
      </c>
      <c r="F10" s="19" t="s">
        <v>21</v>
      </c>
      <c r="G10" s="25">
        <v>7642</v>
      </c>
      <c r="H10" s="26">
        <v>0</v>
      </c>
      <c r="I10" s="8" t="s">
        <v>22</v>
      </c>
      <c r="J10" s="10">
        <f t="shared" ref="J10:J18" si="0">+D10+1</f>
        <v>46273</v>
      </c>
      <c r="K10" s="19" t="s">
        <v>79</v>
      </c>
    </row>
    <row r="11" spans="1:11" ht="15.75" x14ac:dyDescent="0.25">
      <c r="A11" s="8">
        <v>2</v>
      </c>
      <c r="B11" s="8" t="s">
        <v>127</v>
      </c>
      <c r="C11" s="9">
        <v>4000</v>
      </c>
      <c r="D11" s="10">
        <f t="shared" ref="D11:D18" si="1">+D10</f>
        <v>46272</v>
      </c>
      <c r="E11" s="24">
        <v>0</v>
      </c>
      <c r="F11" s="19" t="s">
        <v>21</v>
      </c>
      <c r="G11" s="25">
        <v>9605</v>
      </c>
      <c r="H11" s="26">
        <v>0</v>
      </c>
      <c r="I11" s="8" t="s">
        <v>16</v>
      </c>
      <c r="J11" s="10">
        <f t="shared" si="0"/>
        <v>46273</v>
      </c>
      <c r="K11" s="19" t="s">
        <v>61</v>
      </c>
    </row>
    <row r="12" spans="1:11" ht="15.75" x14ac:dyDescent="0.25">
      <c r="A12" s="8">
        <v>3</v>
      </c>
      <c r="B12" s="8" t="s">
        <v>128</v>
      </c>
      <c r="C12" s="9">
        <v>14400</v>
      </c>
      <c r="D12" s="10">
        <f t="shared" si="1"/>
        <v>46272</v>
      </c>
      <c r="E12" s="24">
        <v>0</v>
      </c>
      <c r="F12" s="19" t="s">
        <v>21</v>
      </c>
      <c r="G12" s="25">
        <v>4210</v>
      </c>
      <c r="H12" s="26">
        <v>0</v>
      </c>
      <c r="I12" s="8" t="s">
        <v>16</v>
      </c>
      <c r="J12" s="10">
        <f t="shared" si="0"/>
        <v>46273</v>
      </c>
      <c r="K12" s="19" t="s">
        <v>129</v>
      </c>
    </row>
    <row r="13" spans="1:11" ht="15.75" x14ac:dyDescent="0.25">
      <c r="A13" s="8">
        <v>4</v>
      </c>
      <c r="B13" s="8" t="s">
        <v>130</v>
      </c>
      <c r="C13" s="9">
        <v>1275</v>
      </c>
      <c r="D13" s="10">
        <f t="shared" si="1"/>
        <v>46272</v>
      </c>
      <c r="E13" s="24">
        <v>0</v>
      </c>
      <c r="F13" s="19" t="s">
        <v>21</v>
      </c>
      <c r="G13" s="25">
        <v>1403</v>
      </c>
      <c r="H13" s="26">
        <v>0</v>
      </c>
      <c r="I13" s="8" t="s">
        <v>16</v>
      </c>
      <c r="J13" s="10">
        <f t="shared" si="0"/>
        <v>46273</v>
      </c>
      <c r="K13" s="19" t="s">
        <v>23</v>
      </c>
    </row>
    <row r="14" spans="1:11" ht="15.75" x14ac:dyDescent="0.25">
      <c r="A14" s="8">
        <v>5</v>
      </c>
      <c r="B14" s="8" t="s">
        <v>131</v>
      </c>
      <c r="C14" s="9">
        <v>770</v>
      </c>
      <c r="D14" s="10">
        <f t="shared" si="1"/>
        <v>46272</v>
      </c>
      <c r="E14" s="24">
        <v>0</v>
      </c>
      <c r="F14" s="19" t="s">
        <v>21</v>
      </c>
      <c r="G14" s="25">
        <v>4281</v>
      </c>
      <c r="H14" s="26">
        <v>0</v>
      </c>
      <c r="I14" s="8" t="s">
        <v>16</v>
      </c>
      <c r="J14" s="10">
        <f t="shared" si="0"/>
        <v>46273</v>
      </c>
      <c r="K14" s="19" t="s">
        <v>23</v>
      </c>
    </row>
    <row r="15" spans="1:11" ht="15.75" x14ac:dyDescent="0.25">
      <c r="A15" s="8">
        <v>6</v>
      </c>
      <c r="B15" s="8" t="s">
        <v>132</v>
      </c>
      <c r="C15" s="9">
        <v>2115</v>
      </c>
      <c r="D15" s="10">
        <f t="shared" si="1"/>
        <v>46272</v>
      </c>
      <c r="E15" s="24">
        <v>0</v>
      </c>
      <c r="F15" s="19" t="s">
        <v>21</v>
      </c>
      <c r="G15" s="25">
        <v>6252</v>
      </c>
      <c r="H15" s="26">
        <v>0</v>
      </c>
      <c r="I15" s="8" t="s">
        <v>16</v>
      </c>
      <c r="J15" s="10">
        <f t="shared" si="0"/>
        <v>46273</v>
      </c>
      <c r="K15" s="19" t="s">
        <v>23</v>
      </c>
    </row>
    <row r="16" spans="1:11" ht="15.75" x14ac:dyDescent="0.25">
      <c r="A16" s="8">
        <v>7</v>
      </c>
      <c r="B16" s="8" t="s">
        <v>132</v>
      </c>
      <c r="C16" s="9">
        <v>1335</v>
      </c>
      <c r="D16" s="10">
        <f t="shared" si="1"/>
        <v>46272</v>
      </c>
      <c r="E16" s="24">
        <v>0</v>
      </c>
      <c r="F16" s="19" t="s">
        <v>21</v>
      </c>
      <c r="G16" s="25">
        <v>8334</v>
      </c>
      <c r="H16" s="26">
        <v>0</v>
      </c>
      <c r="I16" s="8" t="s">
        <v>16</v>
      </c>
      <c r="J16" s="10">
        <f t="shared" si="0"/>
        <v>46273</v>
      </c>
      <c r="K16" s="19" t="s">
        <v>23</v>
      </c>
    </row>
    <row r="17" spans="1:11" ht="15.75" x14ac:dyDescent="0.25">
      <c r="A17" s="8">
        <v>8</v>
      </c>
      <c r="B17" s="8" t="s">
        <v>133</v>
      </c>
      <c r="C17" s="9">
        <v>4700</v>
      </c>
      <c r="D17" s="10">
        <f t="shared" si="1"/>
        <v>46272</v>
      </c>
      <c r="E17" s="24">
        <v>0</v>
      </c>
      <c r="F17" s="19" t="s">
        <v>21</v>
      </c>
      <c r="G17" s="25">
        <v>3702</v>
      </c>
      <c r="H17" s="26">
        <v>0</v>
      </c>
      <c r="I17" s="8" t="s">
        <v>16</v>
      </c>
      <c r="J17" s="10">
        <f t="shared" si="0"/>
        <v>46273</v>
      </c>
      <c r="K17" s="19" t="s">
        <v>77</v>
      </c>
    </row>
    <row r="18" spans="1:11" ht="15.75" x14ac:dyDescent="0.25">
      <c r="A18" s="8">
        <v>9</v>
      </c>
      <c r="B18" s="8" t="s">
        <v>133</v>
      </c>
      <c r="C18" s="9">
        <v>37000</v>
      </c>
      <c r="D18" s="10">
        <f t="shared" si="1"/>
        <v>46272</v>
      </c>
      <c r="E18" s="24">
        <v>0</v>
      </c>
      <c r="F18" s="19" t="s">
        <v>21</v>
      </c>
      <c r="G18" s="25">
        <v>5569</v>
      </c>
      <c r="H18" s="26">
        <v>0</v>
      </c>
      <c r="I18" s="8" t="s">
        <v>16</v>
      </c>
      <c r="J18" s="10">
        <f t="shared" si="0"/>
        <v>46273</v>
      </c>
      <c r="K18" s="19" t="s">
        <v>77</v>
      </c>
    </row>
    <row r="19" spans="1:11" ht="18.75" x14ac:dyDescent="0.3">
      <c r="A19" s="8"/>
      <c r="B19" s="27" t="s">
        <v>18</v>
      </c>
      <c r="C19" s="28">
        <f>SUM(C10:C18)</f>
        <v>68585</v>
      </c>
      <c r="D19" s="8"/>
      <c r="E19" s="8"/>
      <c r="F19" s="19"/>
      <c r="G19" s="19"/>
      <c r="H19" s="20"/>
      <c r="I19" s="8"/>
      <c r="J19" s="8"/>
      <c r="K19" s="8"/>
    </row>
    <row r="20" spans="1:11" ht="24.75" x14ac:dyDescent="0.5">
      <c r="A20" s="29" t="s">
        <v>34</v>
      </c>
      <c r="B20" s="30"/>
      <c r="C20" s="30"/>
      <c r="D20" s="30"/>
      <c r="E20" s="30"/>
      <c r="F20" s="30"/>
      <c r="G20" s="30"/>
      <c r="H20" s="30"/>
      <c r="I20" s="30"/>
      <c r="J20" s="30"/>
      <c r="K20" s="31"/>
    </row>
    <row r="21" spans="1:11" ht="18.75" x14ac:dyDescent="0.3">
      <c r="A21" s="32" t="s">
        <v>3</v>
      </c>
      <c r="B21" s="32" t="s">
        <v>35</v>
      </c>
      <c r="C21" s="33" t="s">
        <v>5</v>
      </c>
      <c r="D21" s="6" t="s">
        <v>36</v>
      </c>
      <c r="E21" s="32" t="s">
        <v>7</v>
      </c>
      <c r="F21" s="32" t="s">
        <v>8</v>
      </c>
      <c r="G21" s="32" t="s">
        <v>37</v>
      </c>
      <c r="H21" s="34" t="s">
        <v>38</v>
      </c>
      <c r="I21" s="32" t="s">
        <v>11</v>
      </c>
      <c r="J21" s="32" t="s">
        <v>39</v>
      </c>
      <c r="K21" s="35" t="s">
        <v>40</v>
      </c>
    </row>
    <row r="22" spans="1:11" ht="15.75" x14ac:dyDescent="0.25">
      <c r="A22" s="14">
        <v>1</v>
      </c>
      <c r="B22" s="14" t="s">
        <v>112</v>
      </c>
      <c r="C22" s="36">
        <v>4600</v>
      </c>
      <c r="D22" s="10">
        <v>46272</v>
      </c>
      <c r="E22" s="14"/>
      <c r="F22" s="14"/>
      <c r="G22" s="37">
        <v>4415</v>
      </c>
      <c r="H22" s="38"/>
      <c r="I22" s="39"/>
      <c r="J22" s="10">
        <v>46272</v>
      </c>
      <c r="K22" s="19" t="s">
        <v>134</v>
      </c>
    </row>
    <row r="23" spans="1:11" ht="15.75" x14ac:dyDescent="0.25">
      <c r="A23" s="14">
        <v>2</v>
      </c>
      <c r="B23" s="14" t="s">
        <v>135</v>
      </c>
      <c r="C23" s="36">
        <v>680</v>
      </c>
      <c r="D23" s="10">
        <v>46272</v>
      </c>
      <c r="E23" s="14"/>
      <c r="F23" s="14"/>
      <c r="G23" s="37">
        <v>2918</v>
      </c>
      <c r="H23" s="38"/>
      <c r="I23" s="39"/>
      <c r="J23" s="10">
        <v>46272</v>
      </c>
      <c r="K23" s="19"/>
    </row>
    <row r="24" spans="1:11" ht="15.75" x14ac:dyDescent="0.25">
      <c r="A24" s="14">
        <v>3</v>
      </c>
      <c r="B24" s="14" t="s">
        <v>136</v>
      </c>
      <c r="C24" s="36">
        <v>15000</v>
      </c>
      <c r="D24" s="10">
        <v>46272</v>
      </c>
      <c r="E24" s="14"/>
      <c r="F24" s="14"/>
      <c r="G24" s="37">
        <v>2955</v>
      </c>
      <c r="H24" s="38"/>
      <c r="I24" s="39"/>
      <c r="J24" s="10">
        <v>46272</v>
      </c>
      <c r="K24" s="19" t="s">
        <v>137</v>
      </c>
    </row>
    <row r="25" spans="1:11" ht="15.75" x14ac:dyDescent="0.25">
      <c r="A25" s="14">
        <v>4</v>
      </c>
      <c r="B25" s="14" t="s">
        <v>138</v>
      </c>
      <c r="C25" s="36">
        <v>90000</v>
      </c>
      <c r="D25" s="10">
        <v>46272</v>
      </c>
      <c r="E25" s="14"/>
      <c r="F25" s="14"/>
      <c r="G25" s="37">
        <v>1418</v>
      </c>
      <c r="H25" s="38"/>
      <c r="I25" s="39"/>
      <c r="J25" s="10">
        <v>46272</v>
      </c>
      <c r="K25" s="19" t="s">
        <v>139</v>
      </c>
    </row>
    <row r="26" spans="1:11" ht="15.75" x14ac:dyDescent="0.25">
      <c r="A26" s="14">
        <v>5</v>
      </c>
      <c r="B26" s="14" t="s">
        <v>45</v>
      </c>
      <c r="C26" s="36">
        <v>40655</v>
      </c>
      <c r="D26" s="10">
        <v>46272</v>
      </c>
      <c r="E26" s="14"/>
      <c r="F26" s="14"/>
      <c r="G26" s="37">
        <v>190</v>
      </c>
      <c r="H26" s="38"/>
      <c r="I26" s="39"/>
      <c r="J26" s="10">
        <v>46272</v>
      </c>
      <c r="K26" s="19" t="s">
        <v>23</v>
      </c>
    </row>
    <row r="27" spans="1:11" ht="18.75" x14ac:dyDescent="0.25">
      <c r="A27" s="14"/>
      <c r="B27" s="40" t="s">
        <v>48</v>
      </c>
      <c r="C27" s="41">
        <f>SUM(C22:C26)</f>
        <v>150935</v>
      </c>
      <c r="D27" s="8"/>
      <c r="E27" s="14"/>
      <c r="F27" s="14"/>
      <c r="G27" s="14"/>
      <c r="H27" s="42">
        <v>0</v>
      </c>
      <c r="I27" s="39"/>
      <c r="J27" s="8"/>
      <c r="K27" s="43"/>
    </row>
    <row r="28" spans="1:11" x14ac:dyDescent="0.25">
      <c r="C28" s="44"/>
      <c r="H28" s="44"/>
    </row>
    <row r="29" spans="1:11" ht="16.5" x14ac:dyDescent="0.3">
      <c r="B29" s="45" t="s">
        <v>49</v>
      </c>
      <c r="C29" s="46">
        <f>SUM(C10:C11,C17,C18)</f>
        <v>48690</v>
      </c>
      <c r="E29" s="47"/>
      <c r="F29" s="47"/>
      <c r="G29" s="48"/>
      <c r="H29" s="48"/>
    </row>
    <row r="30" spans="1:11" ht="16.5" x14ac:dyDescent="0.3">
      <c r="B30" s="49" t="s">
        <v>50</v>
      </c>
      <c r="C30" s="50">
        <f>SUM(C13,C14,C15,C16)</f>
        <v>5495</v>
      </c>
      <c r="E30" s="51"/>
      <c r="F30" s="51"/>
      <c r="G30" s="52" t="s">
        <v>51</v>
      </c>
      <c r="H30" s="53"/>
    </row>
    <row r="31" spans="1:11" ht="24" x14ac:dyDescent="0.4">
      <c r="B31" s="54" t="s">
        <v>113</v>
      </c>
      <c r="C31" s="55">
        <f>SUM(C12)</f>
        <v>14400</v>
      </c>
      <c r="E31" s="56" t="s">
        <v>53</v>
      </c>
      <c r="F31" s="57"/>
      <c r="G31" s="58"/>
      <c r="H31" s="59"/>
      <c r="I31" s="58"/>
      <c r="J31" s="60"/>
    </row>
    <row r="32" spans="1:11" ht="18.75" x14ac:dyDescent="0.3">
      <c r="B32" s="61" t="s">
        <v>18</v>
      </c>
      <c r="C32" s="62">
        <f>SUM(C29:C31)</f>
        <v>68585</v>
      </c>
      <c r="G32" s="52"/>
      <c r="H32" s="53"/>
      <c r="I32" s="52"/>
      <c r="J32" s="52"/>
    </row>
  </sheetData>
  <mergeCells count="6">
    <mergeCell ref="A1:K1"/>
    <mergeCell ref="A2:K2"/>
    <mergeCell ref="A3:K3"/>
    <mergeCell ref="A9:K9"/>
    <mergeCell ref="A20:K20"/>
    <mergeCell ref="G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1-SEP</vt:lpstr>
      <vt:lpstr>2-SEP</vt:lpstr>
      <vt:lpstr>3-SEP</vt:lpstr>
      <vt:lpstr>4-SEP</vt:lpstr>
      <vt:lpstr>5-SEP</vt:lpstr>
      <vt:lpstr>6-SEP</vt:lpstr>
      <vt:lpstr>7-SEP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Shubh Travel</dc:creator>
  <cp:lastModifiedBy>Shree Shubh Travel</cp:lastModifiedBy>
  <dcterms:created xsi:type="dcterms:W3CDTF">2026-09-08T07:22:08Z</dcterms:created>
  <dcterms:modified xsi:type="dcterms:W3CDTF">2026-09-08T07:31:31Z</dcterms:modified>
</cp:coreProperties>
</file>