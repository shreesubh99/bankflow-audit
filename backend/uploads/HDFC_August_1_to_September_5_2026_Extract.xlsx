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jal\Downloads\"/>
    </mc:Choice>
  </mc:AlternateContent>
  <xr:revisionPtr revIDLastSave="0" documentId="13_ncr:1_{7A696695-9A86-4250-A9D2-61759FE6A1A9}" xr6:coauthVersionLast="47" xr6:coauthVersionMax="47" xr10:uidLastSave="{00000000-0000-0000-0000-000000000000}"/>
  <bookViews>
    <workbookView xWindow="-108" yWindow="-108" windowWidth="23256" windowHeight="12456" firstSheet="6" activeTab="15" xr2:uid="{00000000-000D-0000-FFFF-FFFF00000000}"/>
  </bookViews>
  <sheets>
    <sheet name="1-AUG" sheetId="1" r:id="rId1"/>
    <sheet name="2-AUG" sheetId="2" r:id="rId2"/>
    <sheet name="3-AUG" sheetId="3" r:id="rId3"/>
    <sheet name="4-AUG" sheetId="4" r:id="rId4"/>
    <sheet name="5-AUG" sheetId="5" r:id="rId5"/>
    <sheet name="6-AUG" sheetId="6" r:id="rId6"/>
    <sheet name="7-AUG" sheetId="7" r:id="rId7"/>
    <sheet name="8-AUG" sheetId="8" r:id="rId8"/>
    <sheet name="9-AUG" sheetId="9" r:id="rId9"/>
    <sheet name="10-AUG" sheetId="10" r:id="rId10"/>
    <sheet name="11-AUG" sheetId="11" r:id="rId11"/>
    <sheet name="12-AUG" sheetId="12" r:id="rId12"/>
    <sheet name="13-AUG" sheetId="13" r:id="rId13"/>
    <sheet name="14-AUG" sheetId="14" r:id="rId14"/>
    <sheet name="15-AUG" sheetId="15" r:id="rId15"/>
    <sheet name="16-AUG" sheetId="16" r:id="rId16"/>
    <sheet name="17-AUG" sheetId="17" r:id="rId17"/>
    <sheet name="18-AUG" sheetId="18" r:id="rId18"/>
    <sheet name="19-AUG" sheetId="19" r:id="rId19"/>
    <sheet name="20-AUG" sheetId="20" r:id="rId20"/>
    <sheet name="21-AUG" sheetId="21" r:id="rId21"/>
    <sheet name="22-AUG" sheetId="22" r:id="rId22"/>
    <sheet name="23-AUG" sheetId="23" r:id="rId23"/>
    <sheet name="24-AUG" sheetId="24" r:id="rId24"/>
    <sheet name="25-AUG" sheetId="25" r:id="rId25"/>
    <sheet name="26-AUG" sheetId="26" r:id="rId26"/>
    <sheet name="27-AUG" sheetId="27" r:id="rId27"/>
    <sheet name="28-AUG" sheetId="28" r:id="rId28"/>
    <sheet name="29-AUG" sheetId="29" r:id="rId29"/>
    <sheet name="30-AUG" sheetId="30" r:id="rId30"/>
    <sheet name="31-AUG" sheetId="31" r:id="rId31"/>
    <sheet name="01-SEP" sheetId="32" r:id="rId32"/>
    <sheet name="02-SEP" sheetId="33" r:id="rId33"/>
    <sheet name="3-SEP" sheetId="34" r:id="rId34"/>
    <sheet name="4-SEP" sheetId="35" r:id="rId35"/>
    <sheet name="5-SEP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6" l="1"/>
  <c r="C27" i="36"/>
  <c r="C18" i="36"/>
  <c r="J10" i="36"/>
  <c r="D10" i="36"/>
  <c r="D11" i="36" s="1"/>
  <c r="J9" i="36"/>
  <c r="H6" i="36"/>
  <c r="C6" i="36"/>
  <c r="J5" i="36"/>
  <c r="C28" i="35"/>
  <c r="C27" i="35"/>
  <c r="C30" i="35" s="1"/>
  <c r="C25" i="35"/>
  <c r="C20" i="35"/>
  <c r="D13" i="35"/>
  <c r="J12" i="35"/>
  <c r="D12" i="35"/>
  <c r="J11" i="35"/>
  <c r="D11" i="35"/>
  <c r="J10" i="35"/>
  <c r="H7" i="35"/>
  <c r="C7" i="35"/>
  <c r="J6" i="35"/>
  <c r="J5" i="35"/>
  <c r="C20" i="34"/>
  <c r="C23" i="34" s="1"/>
  <c r="C18" i="34"/>
  <c r="C12" i="34"/>
  <c r="J11" i="34"/>
  <c r="D11" i="34"/>
  <c r="J10" i="34"/>
  <c r="H7" i="34"/>
  <c r="C7" i="34"/>
  <c r="J6" i="34"/>
  <c r="J5" i="34"/>
  <c r="C27" i="33"/>
  <c r="C26" i="33"/>
  <c r="C29" i="33" s="1"/>
  <c r="C24" i="33"/>
  <c r="C20" i="33"/>
  <c r="J14" i="33"/>
  <c r="D14" i="33"/>
  <c r="D15" i="33" s="1"/>
  <c r="D12" i="33"/>
  <c r="D13" i="33" s="1"/>
  <c r="J13" i="33" s="1"/>
  <c r="J11" i="33"/>
  <c r="H8" i="33"/>
  <c r="C8" i="33"/>
  <c r="J6" i="33"/>
  <c r="J5" i="33"/>
  <c r="C29" i="32"/>
  <c r="C28" i="32"/>
  <c r="C26" i="32"/>
  <c r="C19" i="32"/>
  <c r="D10" i="32"/>
  <c r="D11" i="32" s="1"/>
  <c r="J9" i="32"/>
  <c r="H6" i="32"/>
  <c r="C6" i="32"/>
  <c r="J5" i="32"/>
  <c r="C37" i="31"/>
  <c r="C36" i="31"/>
  <c r="C35" i="31"/>
  <c r="C34" i="31"/>
  <c r="C32" i="31"/>
  <c r="C23" i="31"/>
  <c r="D12" i="31"/>
  <c r="D13" i="31" s="1"/>
  <c r="J13" i="31" s="1"/>
  <c r="J11" i="31"/>
  <c r="H8" i="31"/>
  <c r="C8" i="31"/>
  <c r="J7" i="31"/>
  <c r="J6" i="31"/>
  <c r="J5" i="31"/>
  <c r="C30" i="30"/>
  <c r="C29" i="30"/>
  <c r="C28" i="30"/>
  <c r="C27" i="30"/>
  <c r="C25" i="30"/>
  <c r="C19" i="30"/>
  <c r="D10" i="30"/>
  <c r="D11" i="30" s="1"/>
  <c r="J9" i="30"/>
  <c r="H6" i="30"/>
  <c r="C6" i="30"/>
  <c r="J5" i="30"/>
  <c r="C22" i="29"/>
  <c r="C21" i="29"/>
  <c r="C20" i="29"/>
  <c r="C23" i="29" s="1"/>
  <c r="C18" i="29"/>
  <c r="C13" i="29"/>
  <c r="J11" i="29"/>
  <c r="D11" i="29"/>
  <c r="D12" i="29" s="1"/>
  <c r="J12" i="29" s="1"/>
  <c r="J10" i="29"/>
  <c r="D10" i="29"/>
  <c r="J9" i="29"/>
  <c r="H6" i="29"/>
  <c r="C6" i="29"/>
  <c r="J5" i="29"/>
  <c r="C30" i="28"/>
  <c r="C29" i="28"/>
  <c r="C28" i="28"/>
  <c r="C31" i="28" s="1"/>
  <c r="C26" i="28"/>
  <c r="C17" i="28"/>
  <c r="J11" i="28"/>
  <c r="D11" i="28"/>
  <c r="D12" i="28" s="1"/>
  <c r="J10" i="28"/>
  <c r="D10" i="28"/>
  <c r="J9" i="28"/>
  <c r="H6" i="28"/>
  <c r="C6" i="28"/>
  <c r="J5" i="28"/>
  <c r="C21" i="27"/>
  <c r="C20" i="27"/>
  <c r="C23" i="27" s="1"/>
  <c r="C18" i="27"/>
  <c r="C13" i="27"/>
  <c r="J12" i="27"/>
  <c r="D12" i="27"/>
  <c r="D11" i="27"/>
  <c r="J11" i="27" s="1"/>
  <c r="J10" i="27"/>
  <c r="D10" i="27"/>
  <c r="J9" i="27"/>
  <c r="H6" i="27"/>
  <c r="C6" i="27"/>
  <c r="J5" i="27"/>
  <c r="C25" i="26"/>
  <c r="C24" i="26"/>
  <c r="C27" i="26" s="1"/>
  <c r="C22" i="26"/>
  <c r="C17" i="26"/>
  <c r="J12" i="26"/>
  <c r="D12" i="26"/>
  <c r="D13" i="26" s="1"/>
  <c r="J11" i="26"/>
  <c r="D11" i="26"/>
  <c r="J10" i="26"/>
  <c r="J9" i="26"/>
  <c r="H6" i="26"/>
  <c r="C6" i="26"/>
  <c r="J5" i="26"/>
  <c r="C25" i="25"/>
  <c r="C24" i="25"/>
  <c r="C27" i="25" s="1"/>
  <c r="C22" i="25"/>
  <c r="C17" i="25"/>
  <c r="J11" i="25"/>
  <c r="D11" i="25"/>
  <c r="D12" i="25" s="1"/>
  <c r="J10" i="25"/>
  <c r="D10" i="25"/>
  <c r="J9" i="25"/>
  <c r="H6" i="25"/>
  <c r="C6" i="25"/>
  <c r="J5" i="25"/>
  <c r="C24" i="24"/>
  <c r="C23" i="24"/>
  <c r="C26" i="24" s="1"/>
  <c r="C21" i="24"/>
  <c r="C16" i="24"/>
  <c r="D12" i="24"/>
  <c r="J12" i="24" s="1"/>
  <c r="J11" i="24"/>
  <c r="H8" i="24"/>
  <c r="C8" i="24"/>
  <c r="J7" i="24"/>
  <c r="J6" i="24"/>
  <c r="J5" i="24"/>
  <c r="C22" i="23"/>
  <c r="C21" i="23"/>
  <c r="C24" i="23" s="1"/>
  <c r="C19" i="23"/>
  <c r="C12" i="23"/>
  <c r="D10" i="23"/>
  <c r="J9" i="23"/>
  <c r="H6" i="23"/>
  <c r="C6" i="23"/>
  <c r="J5" i="23"/>
  <c r="C28" i="22"/>
  <c r="C30" i="22" s="1"/>
  <c r="C27" i="22"/>
  <c r="C25" i="22"/>
  <c r="C20" i="22"/>
  <c r="D12" i="22"/>
  <c r="D13" i="22" s="1"/>
  <c r="J11" i="22"/>
  <c r="H8" i="22"/>
  <c r="C8" i="22"/>
  <c r="J6" i="22"/>
  <c r="J5" i="22"/>
  <c r="C24" i="21"/>
  <c r="C23" i="21"/>
  <c r="C27" i="21" s="1"/>
  <c r="C21" i="21"/>
  <c r="C17" i="21"/>
  <c r="D10" i="21"/>
  <c r="D11" i="21" s="1"/>
  <c r="J9" i="21"/>
  <c r="C6" i="21"/>
  <c r="C26" i="20"/>
  <c r="C25" i="20"/>
  <c r="C24" i="20"/>
  <c r="C27" i="20" s="1"/>
  <c r="C22" i="20"/>
  <c r="C16" i="20"/>
  <c r="J14" i="20"/>
  <c r="D14" i="20"/>
  <c r="D15" i="20" s="1"/>
  <c r="J15" i="20" s="1"/>
  <c r="J13" i="20"/>
  <c r="D13" i="20"/>
  <c r="D12" i="20"/>
  <c r="J12" i="20" s="1"/>
  <c r="J11" i="20"/>
  <c r="D11" i="20"/>
  <c r="J10" i="20"/>
  <c r="H7" i="20"/>
  <c r="C7" i="20"/>
  <c r="J6" i="20"/>
  <c r="J5" i="20"/>
  <c r="C34" i="19"/>
  <c r="C33" i="19"/>
  <c r="C32" i="19"/>
  <c r="C31" i="19"/>
  <c r="C30" i="19"/>
  <c r="C28" i="19"/>
  <c r="C23" i="19"/>
  <c r="J14" i="19"/>
  <c r="D14" i="19"/>
  <c r="D15" i="19" s="1"/>
  <c r="J13" i="19"/>
  <c r="D13" i="19"/>
  <c r="D12" i="19"/>
  <c r="J12" i="19" s="1"/>
  <c r="J11" i="19"/>
  <c r="H8" i="19"/>
  <c r="C8" i="19"/>
  <c r="J7" i="19"/>
  <c r="J6" i="19"/>
  <c r="J5" i="19"/>
  <c r="C20" i="18"/>
  <c r="C22" i="18" s="1"/>
  <c r="C17" i="18"/>
  <c r="C10" i="18"/>
  <c r="J9" i="18"/>
  <c r="H6" i="18"/>
  <c r="C6" i="18"/>
  <c r="J5" i="18"/>
  <c r="C18" i="17"/>
  <c r="C20" i="17" s="1"/>
  <c r="C15" i="17"/>
  <c r="C11" i="17"/>
  <c r="D10" i="17"/>
  <c r="J10" i="17" s="1"/>
  <c r="J9" i="17"/>
  <c r="D9" i="17"/>
  <c r="J8" i="17"/>
  <c r="H6" i="17"/>
  <c r="C6" i="17"/>
  <c r="J5" i="17"/>
  <c r="C21" i="16"/>
  <c r="C20" i="16"/>
  <c r="C19" i="16"/>
  <c r="C22" i="16" s="1"/>
  <c r="C17" i="16"/>
  <c r="C13" i="16"/>
  <c r="D11" i="16"/>
  <c r="J11" i="16" s="1"/>
  <c r="J10" i="16"/>
  <c r="H7" i="16"/>
  <c r="C7" i="16"/>
  <c r="J5" i="16"/>
  <c r="C35" i="15"/>
  <c r="C34" i="15"/>
  <c r="C33" i="15"/>
  <c r="C32" i="15"/>
  <c r="C36" i="15" s="1"/>
  <c r="C30" i="15"/>
  <c r="C23" i="15"/>
  <c r="D13" i="15"/>
  <c r="J12" i="15"/>
  <c r="D12" i="15"/>
  <c r="J11" i="15"/>
  <c r="H8" i="15"/>
  <c r="C8" i="15"/>
  <c r="J7" i="15"/>
  <c r="J6" i="15"/>
  <c r="J5" i="15"/>
  <c r="C28" i="14"/>
  <c r="C27" i="14"/>
  <c r="C30" i="14" s="1"/>
  <c r="C25" i="14"/>
  <c r="C18" i="14"/>
  <c r="D12" i="14"/>
  <c r="D13" i="14" s="1"/>
  <c r="J11" i="14"/>
  <c r="D11" i="14"/>
  <c r="D10" i="14"/>
  <c r="J10" i="14" s="1"/>
  <c r="J9" i="14"/>
  <c r="H6" i="14"/>
  <c r="C6" i="14"/>
  <c r="J5" i="14"/>
  <c r="C20" i="13"/>
  <c r="C18" i="13"/>
  <c r="C21" i="13" s="1"/>
  <c r="C16" i="13"/>
  <c r="C12" i="13"/>
  <c r="J11" i="13"/>
  <c r="J10" i="13"/>
  <c r="J9" i="13"/>
  <c r="H6" i="13"/>
  <c r="C6" i="13"/>
  <c r="J5" i="13"/>
  <c r="C28" i="12"/>
  <c r="C27" i="12"/>
  <c r="C26" i="12"/>
  <c r="C29" i="12" s="1"/>
  <c r="C24" i="12"/>
  <c r="C18" i="12"/>
  <c r="J12" i="12"/>
  <c r="D12" i="12"/>
  <c r="D13" i="12" s="1"/>
  <c r="J11" i="12"/>
  <c r="D11" i="12"/>
  <c r="J10" i="12"/>
  <c r="D10" i="12"/>
  <c r="J9" i="12"/>
  <c r="H6" i="12"/>
  <c r="C6" i="12"/>
  <c r="J5" i="12"/>
  <c r="C22" i="11"/>
  <c r="C21" i="11"/>
  <c r="C19" i="11"/>
  <c r="C15" i="11"/>
  <c r="J10" i="11"/>
  <c r="D10" i="11"/>
  <c r="D11" i="11" s="1"/>
  <c r="J9" i="11"/>
  <c r="H6" i="11"/>
  <c r="C6" i="11"/>
  <c r="J5" i="11"/>
  <c r="C26" i="10"/>
  <c r="C24" i="10"/>
  <c r="C27" i="10" s="1"/>
  <c r="C22" i="10"/>
  <c r="C15" i="10"/>
  <c r="D10" i="10"/>
  <c r="D11" i="10" s="1"/>
  <c r="J9" i="10"/>
  <c r="H6" i="10"/>
  <c r="C6" i="10"/>
  <c r="J5" i="10"/>
  <c r="C23" i="9"/>
  <c r="C22" i="9"/>
  <c r="C21" i="9"/>
  <c r="C18" i="9"/>
  <c r="C12" i="9"/>
  <c r="D10" i="9"/>
  <c r="J10" i="9" s="1"/>
  <c r="J9" i="9"/>
  <c r="H6" i="9"/>
  <c r="C6" i="9"/>
  <c r="J5" i="9"/>
  <c r="C31" i="8"/>
  <c r="C30" i="8"/>
  <c r="C29" i="8"/>
  <c r="C28" i="8"/>
  <c r="C26" i="8"/>
  <c r="C22" i="8"/>
  <c r="D13" i="8"/>
  <c r="D14" i="8" s="1"/>
  <c r="J12" i="8"/>
  <c r="D12" i="8"/>
  <c r="D11" i="8"/>
  <c r="J11" i="8" s="1"/>
  <c r="J10" i="8"/>
  <c r="H7" i="8"/>
  <c r="C7" i="8"/>
  <c r="J6" i="8"/>
  <c r="J5" i="8"/>
  <c r="C30" i="7"/>
  <c r="C29" i="7"/>
  <c r="C28" i="7"/>
  <c r="C31" i="7" s="1"/>
  <c r="C26" i="7"/>
  <c r="C19" i="7"/>
  <c r="D10" i="7"/>
  <c r="J10" i="7" s="1"/>
  <c r="J9" i="7"/>
  <c r="H6" i="7"/>
  <c r="C6" i="7"/>
  <c r="J5" i="7"/>
  <c r="C36" i="6"/>
  <c r="C35" i="6"/>
  <c r="C34" i="6"/>
  <c r="C33" i="6"/>
  <c r="C31" i="6"/>
  <c r="C26" i="6"/>
  <c r="D11" i="6"/>
  <c r="D12" i="6" s="1"/>
  <c r="J10" i="6"/>
  <c r="D10" i="6"/>
  <c r="J9" i="6"/>
  <c r="H6" i="6"/>
  <c r="C6" i="6"/>
  <c r="J5" i="6"/>
  <c r="C29" i="5"/>
  <c r="C28" i="5"/>
  <c r="C27" i="5"/>
  <c r="C25" i="5"/>
  <c r="C20" i="5"/>
  <c r="D14" i="5"/>
  <c r="J14" i="5" s="1"/>
  <c r="J13" i="5"/>
  <c r="H10" i="5"/>
  <c r="C10" i="5"/>
  <c r="J9" i="5"/>
  <c r="J8" i="5"/>
  <c r="J7" i="5"/>
  <c r="J6" i="5"/>
  <c r="J5" i="5"/>
  <c r="C24" i="4"/>
  <c r="C23" i="4"/>
  <c r="C26" i="4" s="1"/>
  <c r="C21" i="4"/>
  <c r="C15" i="4"/>
  <c r="J10" i="4"/>
  <c r="D10" i="4"/>
  <c r="D11" i="4" s="1"/>
  <c r="J9" i="4"/>
  <c r="H6" i="4"/>
  <c r="C6" i="4"/>
  <c r="J5" i="4"/>
  <c r="C30" i="3"/>
  <c r="C29" i="3"/>
  <c r="C28" i="3"/>
  <c r="C31" i="3" s="1"/>
  <c r="C26" i="3"/>
  <c r="C21" i="3"/>
  <c r="J11" i="3"/>
  <c r="D11" i="3"/>
  <c r="D12" i="3" s="1"/>
  <c r="J10" i="3"/>
  <c r="H7" i="3"/>
  <c r="C7" i="3"/>
  <c r="J6" i="3"/>
  <c r="J5" i="3"/>
  <c r="C22" i="2"/>
  <c r="C20" i="2"/>
  <c r="C17" i="2"/>
  <c r="C12" i="2"/>
  <c r="D11" i="2"/>
  <c r="J11" i="2" s="1"/>
  <c r="J10" i="2"/>
  <c r="H7" i="2"/>
  <c r="C7" i="2"/>
  <c r="J6" i="2"/>
  <c r="J5" i="2"/>
  <c r="C33" i="1"/>
  <c r="C34" i="1" s="1"/>
  <c r="C32" i="1"/>
  <c r="C31" i="1"/>
  <c r="C29" i="1"/>
  <c r="C22" i="1"/>
  <c r="D12" i="1"/>
  <c r="D13" i="1" s="1"/>
  <c r="J11" i="1"/>
  <c r="D11" i="1"/>
  <c r="J10" i="1"/>
  <c r="H7" i="1"/>
  <c r="C7" i="1"/>
  <c r="J6" i="1"/>
  <c r="J5" i="1"/>
  <c r="D12" i="16" l="1"/>
  <c r="J12" i="16" s="1"/>
  <c r="C30" i="5"/>
  <c r="J12" i="6"/>
  <c r="D13" i="6"/>
  <c r="J13" i="12"/>
  <c r="D14" i="12"/>
  <c r="D12" i="32"/>
  <c r="J11" i="32"/>
  <c r="D15" i="8"/>
  <c r="J14" i="8"/>
  <c r="D14" i="31"/>
  <c r="J11" i="6"/>
  <c r="D16" i="33"/>
  <c r="J15" i="33"/>
  <c r="D12" i="36"/>
  <c r="J11" i="36"/>
  <c r="J13" i="14"/>
  <c r="D14" i="14"/>
  <c r="D12" i="21"/>
  <c r="J11" i="21"/>
  <c r="D14" i="35"/>
  <c r="J13" i="35"/>
  <c r="D13" i="3"/>
  <c r="J12" i="3"/>
  <c r="C24" i="11"/>
  <c r="J12" i="14"/>
  <c r="J10" i="21"/>
  <c r="D15" i="5"/>
  <c r="J13" i="1"/>
  <c r="D14" i="1"/>
  <c r="D12" i="10"/>
  <c r="J11" i="10"/>
  <c r="D14" i="22"/>
  <c r="J13" i="22"/>
  <c r="J12" i="25"/>
  <c r="D13" i="25"/>
  <c r="J12" i="1"/>
  <c r="D14" i="15"/>
  <c r="J13" i="15"/>
  <c r="J12" i="22"/>
  <c r="D11" i="23"/>
  <c r="J11" i="23" s="1"/>
  <c r="J10" i="23"/>
  <c r="D14" i="26"/>
  <c r="J13" i="26"/>
  <c r="C31" i="32"/>
  <c r="J13" i="8"/>
  <c r="J11" i="11"/>
  <c r="D12" i="11"/>
  <c r="J11" i="4"/>
  <c r="D12" i="4"/>
  <c r="J12" i="28"/>
  <c r="D13" i="28"/>
  <c r="D12" i="30"/>
  <c r="J11" i="30"/>
  <c r="J15" i="19"/>
  <c r="D16" i="19"/>
  <c r="J10" i="32"/>
  <c r="D11" i="9"/>
  <c r="J11" i="9" s="1"/>
  <c r="J10" i="10"/>
  <c r="D13" i="24"/>
  <c r="J10" i="30"/>
  <c r="D11" i="7"/>
  <c r="J12" i="31"/>
  <c r="J12" i="33"/>
  <c r="D12" i="7" l="1"/>
  <c r="J11" i="7"/>
  <c r="D13" i="4"/>
  <c r="J12" i="4"/>
  <c r="J13" i="25"/>
  <c r="D14" i="25"/>
  <c r="D15" i="31"/>
  <c r="J14" i="31"/>
  <c r="D15" i="22"/>
  <c r="J14" i="22"/>
  <c r="D15" i="35"/>
  <c r="J14" i="35"/>
  <c r="J15" i="8"/>
  <c r="D16" i="8"/>
  <c r="J16" i="19"/>
  <c r="D17" i="19"/>
  <c r="D14" i="24"/>
  <c r="J13" i="24"/>
  <c r="D14" i="3"/>
  <c r="J13" i="3"/>
  <c r="J12" i="21"/>
  <c r="D13" i="21"/>
  <c r="D13" i="32"/>
  <c r="J12" i="32"/>
  <c r="D15" i="15"/>
  <c r="J14" i="15"/>
  <c r="J12" i="11"/>
  <c r="D13" i="11"/>
  <c r="J14" i="1"/>
  <c r="D15" i="1"/>
  <c r="J14" i="14"/>
  <c r="D15" i="14"/>
  <c r="D15" i="12"/>
  <c r="J14" i="12"/>
  <c r="D13" i="30"/>
  <c r="J12" i="30"/>
  <c r="D17" i="33"/>
  <c r="J16" i="33"/>
  <c r="D16" i="5"/>
  <c r="J15" i="5"/>
  <c r="D14" i="6"/>
  <c r="J13" i="6"/>
  <c r="D15" i="26"/>
  <c r="J14" i="26"/>
  <c r="J12" i="10"/>
  <c r="D13" i="10"/>
  <c r="J13" i="28"/>
  <c r="D14" i="28"/>
  <c r="D13" i="36"/>
  <c r="J12" i="36"/>
  <c r="D16" i="14" l="1"/>
  <c r="J15" i="14"/>
  <c r="D16" i="31"/>
  <c r="J15" i="31"/>
  <c r="D15" i="25"/>
  <c r="J14" i="25"/>
  <c r="D15" i="28"/>
  <c r="J14" i="28"/>
  <c r="J15" i="35"/>
  <c r="D16" i="35"/>
  <c r="D16" i="1"/>
  <c r="J15" i="1"/>
  <c r="D15" i="24"/>
  <c r="J15" i="24" s="1"/>
  <c r="J14" i="24"/>
  <c r="D14" i="11"/>
  <c r="J14" i="11" s="1"/>
  <c r="J13" i="11"/>
  <c r="D18" i="19"/>
  <c r="J17" i="19"/>
  <c r="D14" i="10"/>
  <c r="J14" i="10" s="1"/>
  <c r="J13" i="10"/>
  <c r="D14" i="21"/>
  <c r="J13" i="21"/>
  <c r="J16" i="5"/>
  <c r="D17" i="5"/>
  <c r="D14" i="4"/>
  <c r="J14" i="4" s="1"/>
  <c r="J13" i="4"/>
  <c r="D14" i="30"/>
  <c r="J13" i="30"/>
  <c r="D16" i="22"/>
  <c r="J15" i="22"/>
  <c r="D15" i="3"/>
  <c r="J14" i="3"/>
  <c r="D15" i="6"/>
  <c r="J14" i="6"/>
  <c r="D17" i="8"/>
  <c r="J16" i="8"/>
  <c r="J13" i="32"/>
  <c r="D14" i="32"/>
  <c r="D16" i="12"/>
  <c r="J15" i="12"/>
  <c r="D16" i="26"/>
  <c r="J16" i="26" s="1"/>
  <c r="J15" i="26"/>
  <c r="D14" i="36"/>
  <c r="J13" i="36"/>
  <c r="D18" i="33"/>
  <c r="J17" i="33"/>
  <c r="D16" i="15"/>
  <c r="J15" i="15"/>
  <c r="D13" i="7"/>
  <c r="J12" i="7"/>
  <c r="D16" i="6" l="1"/>
  <c r="J15" i="6"/>
  <c r="D16" i="28"/>
  <c r="J16" i="28" s="1"/>
  <c r="J15" i="28"/>
  <c r="D18" i="5"/>
  <c r="J17" i="5"/>
  <c r="D17" i="1"/>
  <c r="J16" i="1"/>
  <c r="D17" i="35"/>
  <c r="J16" i="35"/>
  <c r="D17" i="15"/>
  <c r="J16" i="15"/>
  <c r="D19" i="33"/>
  <c r="J19" i="33" s="1"/>
  <c r="J18" i="33"/>
  <c r="D19" i="19"/>
  <c r="J18" i="19"/>
  <c r="D15" i="21"/>
  <c r="J14" i="21"/>
  <c r="D15" i="36"/>
  <c r="J14" i="36"/>
  <c r="D16" i="25"/>
  <c r="J16" i="25" s="1"/>
  <c r="J15" i="25"/>
  <c r="J15" i="3"/>
  <c r="D16" i="3"/>
  <c r="D17" i="22"/>
  <c r="J16" i="22"/>
  <c r="D17" i="12"/>
  <c r="J17" i="12" s="1"/>
  <c r="J16" i="12"/>
  <c r="D18" i="8"/>
  <c r="J17" i="8"/>
  <c r="J14" i="30"/>
  <c r="D15" i="30"/>
  <c r="J16" i="31"/>
  <c r="D17" i="31"/>
  <c r="D15" i="32"/>
  <c r="J14" i="32"/>
  <c r="J13" i="7"/>
  <c r="D14" i="7"/>
  <c r="D17" i="14"/>
  <c r="J17" i="14" s="1"/>
  <c r="J16" i="14"/>
  <c r="J16" i="3" l="1"/>
  <c r="D17" i="3"/>
  <c r="D16" i="32"/>
  <c r="J15" i="32"/>
  <c r="D18" i="31"/>
  <c r="J17" i="31"/>
  <c r="J17" i="15"/>
  <c r="D18" i="15"/>
  <c r="D16" i="30"/>
  <c r="J15" i="30"/>
  <c r="J17" i="1"/>
  <c r="D18" i="1"/>
  <c r="D19" i="5"/>
  <c r="J19" i="5" s="1"/>
  <c r="J18" i="5"/>
  <c r="D18" i="35"/>
  <c r="J17" i="35"/>
  <c r="J15" i="36"/>
  <c r="D16" i="36"/>
  <c r="J18" i="8"/>
  <c r="D19" i="8"/>
  <c r="D16" i="21"/>
  <c r="J16" i="21" s="1"/>
  <c r="J15" i="21"/>
  <c r="J19" i="19"/>
  <c r="D20" i="19"/>
  <c r="J14" i="7"/>
  <c r="D15" i="7"/>
  <c r="D18" i="22"/>
  <c r="J17" i="22"/>
  <c r="J16" i="6"/>
  <c r="D17" i="6"/>
  <c r="J18" i="15" l="1"/>
  <c r="D19" i="15"/>
  <c r="D19" i="31"/>
  <c r="J18" i="31"/>
  <c r="D17" i="36"/>
  <c r="J17" i="36" s="1"/>
  <c r="J16" i="36"/>
  <c r="D19" i="1"/>
  <c r="J18" i="1"/>
  <c r="D19" i="35"/>
  <c r="J19" i="35" s="1"/>
  <c r="J18" i="35"/>
  <c r="D17" i="32"/>
  <c r="J16" i="32"/>
  <c r="D21" i="19"/>
  <c r="J20" i="19"/>
  <c r="D17" i="30"/>
  <c r="J16" i="30"/>
  <c r="D18" i="6"/>
  <c r="J17" i="6"/>
  <c r="D19" i="22"/>
  <c r="J19" i="22" s="1"/>
  <c r="J18" i="22"/>
  <c r="D18" i="3"/>
  <c r="J17" i="3"/>
  <c r="D20" i="8"/>
  <c r="J19" i="8"/>
  <c r="D16" i="7"/>
  <c r="J15" i="7"/>
  <c r="D18" i="32" l="1"/>
  <c r="J18" i="32" s="1"/>
  <c r="J17" i="32"/>
  <c r="D19" i="6"/>
  <c r="J18" i="6"/>
  <c r="D21" i="8"/>
  <c r="J21" i="8" s="1"/>
  <c r="J20" i="8"/>
  <c r="D19" i="3"/>
  <c r="J18" i="3"/>
  <c r="J19" i="1"/>
  <c r="D20" i="1"/>
  <c r="D18" i="30"/>
  <c r="J18" i="30" s="1"/>
  <c r="J17" i="30"/>
  <c r="J19" i="31"/>
  <c r="D20" i="31"/>
  <c r="D20" i="15"/>
  <c r="J19" i="15"/>
  <c r="D17" i="7"/>
  <c r="J16" i="7"/>
  <c r="J21" i="19"/>
  <c r="D22" i="19"/>
  <c r="J22" i="19" s="1"/>
  <c r="D18" i="7" l="1"/>
  <c r="J18" i="7" s="1"/>
  <c r="J17" i="7"/>
  <c r="J20" i="1"/>
  <c r="D21" i="1"/>
  <c r="J21" i="1" s="1"/>
  <c r="D20" i="3"/>
  <c r="J20" i="3" s="1"/>
  <c r="J19" i="3"/>
  <c r="D21" i="15"/>
  <c r="J20" i="15"/>
  <c r="J19" i="6"/>
  <c r="D20" i="6"/>
  <c r="D21" i="31"/>
  <c r="J20" i="31"/>
  <c r="J21" i="31" l="1"/>
  <c r="D22" i="31"/>
  <c r="J22" i="31" s="1"/>
  <c r="D21" i="6"/>
  <c r="J20" i="6"/>
  <c r="D22" i="15"/>
  <c r="J22" i="15" s="1"/>
  <c r="J21" i="15"/>
  <c r="D22" i="6" l="1"/>
  <c r="J21" i="6"/>
  <c r="J22" i="6" l="1"/>
  <c r="D23" i="6"/>
  <c r="D24" i="6" l="1"/>
  <c r="J23" i="6"/>
  <c r="J24" i="6" l="1"/>
  <c r="D25" i="6"/>
  <c r="J25" i="6" s="1"/>
</calcChain>
</file>

<file path=xl/sharedStrings.xml><?xml version="1.0" encoding="utf-8"?>
<sst xmlns="http://schemas.openxmlformats.org/spreadsheetml/2006/main" count="2786" uniqueCount="502">
  <si>
    <t xml:space="preserve">                                   SHREE   SHUBH   TRAVEL                               (HDFC)</t>
  </si>
  <si>
    <t>ONLINE STATEMENT REPORT-1 AUG  2026</t>
  </si>
  <si>
    <t>HDFC RECEIVED DETAILS</t>
  </si>
  <si>
    <t>SN</t>
  </si>
  <si>
    <t xml:space="preserve">CR. </t>
  </si>
  <si>
    <t>NET AMT</t>
  </si>
  <si>
    <t>DATE/TIME</t>
  </si>
  <si>
    <t>VIA</t>
  </si>
  <si>
    <t>TYPE</t>
  </si>
  <si>
    <t xml:space="preserve">TRANS. ID </t>
  </si>
  <si>
    <t>P.FEE</t>
  </si>
  <si>
    <t>STATUS</t>
  </si>
  <si>
    <t>SATTEL DATE</t>
  </si>
  <si>
    <t>COMMENT</t>
  </si>
  <si>
    <t>CARDLESS DEPOSIT</t>
  </si>
  <si>
    <t>NEFT</t>
  </si>
  <si>
    <t>DONE</t>
  </si>
  <si>
    <t>CASH DEPOSIT</t>
  </si>
  <si>
    <t>SHREE SHUBH TRAVEL</t>
  </si>
  <si>
    <t>SELF TR</t>
  </si>
  <si>
    <t>TOTAL</t>
  </si>
  <si>
    <t>PAYZAPP RECEIVED TRANSACTION DETAILS</t>
  </si>
  <si>
    <t>PARVEJ ASGAR</t>
  </si>
  <si>
    <t>UPI</t>
  </si>
  <si>
    <t xml:space="preserve">DONE </t>
  </si>
  <si>
    <t xml:space="preserve">AKB </t>
  </si>
  <si>
    <t>RAJESH SINGH KUSHWAHA</t>
  </si>
  <si>
    <t>RAM NIWASH RAM</t>
  </si>
  <si>
    <t>YTSK 1604</t>
  </si>
  <si>
    <t>PANKAJ KUMAR RAI</t>
  </si>
  <si>
    <t xml:space="preserve">SIVAM KUMAR VERMA </t>
  </si>
  <si>
    <t>HOTEL DELHI PAYMENT</t>
  </si>
  <si>
    <t xml:space="preserve">KISHAN </t>
  </si>
  <si>
    <t>SUSMA BHARTI</t>
  </si>
  <si>
    <t>AKB REC 31/8</t>
  </si>
  <si>
    <t>AAJADI ALI</t>
  </si>
  <si>
    <t>SARTHAK PANDEY</t>
  </si>
  <si>
    <t>MAHAJABIN BANO</t>
  </si>
  <si>
    <t>ARVIND KUMAR</t>
  </si>
  <si>
    <t xml:space="preserve">ONLINE PAYMENT TRANSACTION DETAILS </t>
  </si>
  <si>
    <t>DR.</t>
  </si>
  <si>
    <t>DATE</t>
  </si>
  <si>
    <t xml:space="preserve">TRANS ID </t>
  </si>
  <si>
    <t>P. FEES</t>
  </si>
  <si>
    <t>SATTEL .DATE</t>
  </si>
  <si>
    <t>COMMENTS</t>
  </si>
  <si>
    <t>INDIAN RAILWAY</t>
  </si>
  <si>
    <t>BILL DESK PAYMENT</t>
  </si>
  <si>
    <t>ZAIN AUTO</t>
  </si>
  <si>
    <t>ETIOS OIL GKP</t>
  </si>
  <si>
    <t>SBI CARDS</t>
  </si>
  <si>
    <t>SBI CREDIT CARD 5050</t>
  </si>
  <si>
    <t xml:space="preserve">TOTAL </t>
  </si>
  <si>
    <t>AKBAR HO</t>
  </si>
  <si>
    <t>YTSK-</t>
  </si>
  <si>
    <t xml:space="preserve"> </t>
  </si>
  <si>
    <t>HOTEL</t>
  </si>
  <si>
    <t>VERIFY</t>
  </si>
  <si>
    <t>ONLINE STATEMENT REPORT-02 AUG  2026</t>
  </si>
  <si>
    <t>JOGENDRA YADAV</t>
  </si>
  <si>
    <t>PRIYANJALI</t>
  </si>
  <si>
    <t>IRCTC RAIL ONLINE</t>
  </si>
  <si>
    <t>GOLU TICKET</t>
  </si>
  <si>
    <t>OTHER</t>
  </si>
  <si>
    <t>SHREE   SHUBH   TRAVEL HDFC</t>
  </si>
  <si>
    <t>ONLINE STATEMENT REPORT-03 AUG  2026</t>
  </si>
  <si>
    <t xml:space="preserve">SELF TR </t>
  </si>
  <si>
    <t xml:space="preserve">AZAZUR RAHMAN </t>
  </si>
  <si>
    <t>SIVAM KUMAR VERMA</t>
  </si>
  <si>
    <t>TABREJ ANSARI</t>
  </si>
  <si>
    <t xml:space="preserve">AKB  </t>
  </si>
  <si>
    <t>RAJESH KUMAR RAWAT</t>
  </si>
  <si>
    <t>PRITI KUMARI RAI</t>
  </si>
  <si>
    <t>AKB</t>
  </si>
  <si>
    <t>SONU KUMAR</t>
  </si>
  <si>
    <t>SANTOSH RAJBHAR</t>
  </si>
  <si>
    <t>AKB FLIGHT</t>
  </si>
  <si>
    <t xml:space="preserve">SANTOSH  </t>
  </si>
  <si>
    <t>MMT FLIGHT</t>
  </si>
  <si>
    <t>ASIF KHAN</t>
  </si>
  <si>
    <t>SELF- CHQ PAID</t>
  </si>
  <si>
    <t>SANJAY</t>
  </si>
  <si>
    <t>MMT</t>
  </si>
  <si>
    <t>ONLINE STATEMENT REPORT-04 AUG  2026</t>
  </si>
  <si>
    <t>UPI SETTLEMENT</t>
  </si>
  <si>
    <t>PAYZAPP</t>
  </si>
  <si>
    <t>VIDHAN</t>
  </si>
  <si>
    <t>AD YTSK 1604 5/8</t>
  </si>
  <si>
    <t>PRIYANKA YADAV</t>
  </si>
  <si>
    <t>REC AKB 3/8</t>
  </si>
  <si>
    <t>ANAND KUMAR</t>
  </si>
  <si>
    <t>AZAINAB FATIMA</t>
  </si>
  <si>
    <t>VINOD KUMAR PIPPAL</t>
  </si>
  <si>
    <t>CASH DEPOSIT CHARGES</t>
  </si>
  <si>
    <t>CASH DEPOSIT CHARGE</t>
  </si>
  <si>
    <t>ONLINE STATEMENT REPORT-05 AUG  2026</t>
  </si>
  <si>
    <t>REC S MATHUR</t>
  </si>
  <si>
    <t>RAJEEVA KUMAR SINGH</t>
  </si>
  <si>
    <t xml:space="preserve">REC AGM SIR 27,30/7 </t>
  </si>
  <si>
    <t>SANTOSH KUSHWAHA</t>
  </si>
  <si>
    <t>RAJENDRA SINGH</t>
  </si>
  <si>
    <t>IRFAN AHMED</t>
  </si>
  <si>
    <t>SUSMA BHARATI</t>
  </si>
  <si>
    <t>REC AKB 4/8</t>
  </si>
  <si>
    <t>PANKAJ KUMAR</t>
  </si>
  <si>
    <t>RAVIWO AIR TICKET</t>
  </si>
  <si>
    <t>COCKPIT PAYMENT</t>
  </si>
  <si>
    <t>SETTLEMENT CHARGE</t>
  </si>
  <si>
    <t>ONLINE STATEMENT REPORT-06 AUG  2026</t>
  </si>
  <si>
    <t>SETTLEMENT</t>
  </si>
  <si>
    <t>CARD PAYMENT SETTLEMENT</t>
  </si>
  <si>
    <t xml:space="preserve">MITHILESH </t>
  </si>
  <si>
    <t>REC YTSK1604   31/7</t>
  </si>
  <si>
    <t>SIYARAM YADAV</t>
  </si>
  <si>
    <t>GAMCA MEDICAL OMAN</t>
  </si>
  <si>
    <t>YOGESH</t>
  </si>
  <si>
    <t>MD HAMID KHAN</t>
  </si>
  <si>
    <t>DHANANJAY GAUTAM</t>
  </si>
  <si>
    <t>SANJAY SRIVASTAVA</t>
  </si>
  <si>
    <t>DHANANJAY SINGH</t>
  </si>
  <si>
    <t>SIVANGI YADAV</t>
  </si>
  <si>
    <t>ALAMDAR RAZA</t>
  </si>
  <si>
    <t>DHARMENDRA KUMAR</t>
  </si>
  <si>
    <t>MD AZIM</t>
  </si>
  <si>
    <t>SUJIT KUMAR RAI</t>
  </si>
  <si>
    <t>HEMANT KUMAR TIWARI</t>
  </si>
  <si>
    <t>AHMAD MOBASSHIR</t>
  </si>
  <si>
    <t>REETA SINGH</t>
  </si>
  <si>
    <t>AKB REC 5/8</t>
  </si>
  <si>
    <t>SBI ELITE</t>
  </si>
  <si>
    <t>GAMCA MEDICAL</t>
  </si>
  <si>
    <t>ONLINE STATEMENT REPORT-07 AUG  2026</t>
  </si>
  <si>
    <t>RAJAN GIRI</t>
  </si>
  <si>
    <t>RUKSAR</t>
  </si>
  <si>
    <t>SANTOSH KUMAR</t>
  </si>
  <si>
    <t>REC SB SINGH 23/7</t>
  </si>
  <si>
    <t xml:space="preserve">REC SB SINGH </t>
  </si>
  <si>
    <t>RAMAN KUMAR</t>
  </si>
  <si>
    <t>MOHD RASHID</t>
  </si>
  <si>
    <t>ABHISHEK RAI</t>
  </si>
  <si>
    <t>SURYAKANT</t>
  </si>
  <si>
    <t>MS INTER DECORE</t>
  </si>
  <si>
    <t>OFFICE FURNITURE</t>
  </si>
  <si>
    <t>ABDUL</t>
  </si>
  <si>
    <t>ETIOS OIL</t>
  </si>
  <si>
    <t>REC BAL</t>
  </si>
  <si>
    <t>ONLINE STATEMENT REPORT-08 AUG  2026</t>
  </si>
  <si>
    <t>ADARSH RANJAN SINGH</t>
  </si>
  <si>
    <t>????</t>
  </si>
  <si>
    <t>MD RASHID</t>
  </si>
  <si>
    <t>ASHUTOSH SHEKHAR</t>
  </si>
  <si>
    <t>VIJAY MOHANALAL</t>
  </si>
  <si>
    <t>REC YTSK 1604 7/8</t>
  </si>
  <si>
    <t>SURENDRA PAL SINGH</t>
  </si>
  <si>
    <t>MAHFOOZ ALAM</t>
  </si>
  <si>
    <t>KANHAIYA LAL</t>
  </si>
  <si>
    <t>RAJESH KUMAR</t>
  </si>
  <si>
    <t>SHIKHA CHAURASIA</t>
  </si>
  <si>
    <t>?????</t>
  </si>
  <si>
    <t>NAYAN FILLING</t>
  </si>
  <si>
    <t>HONDA CITY OIL</t>
  </si>
  <si>
    <t>ONLINE STATEMENT REPORT-09 AUG  2026</t>
  </si>
  <si>
    <t>MOHAMMAD SARFARAZ</t>
  </si>
  <si>
    <t>CURRENCY</t>
  </si>
  <si>
    <t>SHANI DEOL</t>
  </si>
  <si>
    <t>SANJAY SRIVASTAV</t>
  </si>
  <si>
    <t>ONLINE STATEMENT REPORT-10 AUG  2026</t>
  </si>
  <si>
    <t>VIMLA SINGH</t>
  </si>
  <si>
    <t>ETIOS</t>
  </si>
  <si>
    <t>RAMESH KUMAR</t>
  </si>
  <si>
    <t>ASHWANI KUMAR</t>
  </si>
  <si>
    <t>PRAVEEN</t>
  </si>
  <si>
    <t>ARVIND RAI</t>
  </si>
  <si>
    <t>IMRAN AHAMAD</t>
  </si>
  <si>
    <t>TQ TICKET</t>
  </si>
  <si>
    <t>AKBAR ONLINE</t>
  </si>
  <si>
    <t>AKBAR</t>
  </si>
  <si>
    <t>EDC RENTAL</t>
  </si>
  <si>
    <t>SOUND BOX SWIPE</t>
  </si>
  <si>
    <t>SAUND BOX RENTAL</t>
  </si>
  <si>
    <t>SOUND BOX PAYMENT</t>
  </si>
  <si>
    <t>VH</t>
  </si>
  <si>
    <t>ONLINE STATEMENT REPORT-11 AUG  2026</t>
  </si>
  <si>
    <t>GOPAL MODANVAL</t>
  </si>
  <si>
    <t>DILLIP KUMAR GUPTA</t>
  </si>
  <si>
    <t>SHIVAM KEDIA</t>
  </si>
  <si>
    <t>SUMIT SHARMA</t>
  </si>
  <si>
    <t>RUDRANSH GARG</t>
  </si>
  <si>
    <t>ABHAY KUMAR GUPTA</t>
  </si>
  <si>
    <t>ONLINE STATEMENT REPORT-12 AUG  2026</t>
  </si>
  <si>
    <t>PAWAN KUMAR</t>
  </si>
  <si>
    <t>ETIOS 12/8</t>
  </si>
  <si>
    <t>BHANU PRATAP SINGH</t>
  </si>
  <si>
    <t>UDAY SINGH YADAV</t>
  </si>
  <si>
    <t>AB ELECTRONICS</t>
  </si>
  <si>
    <t>MRITUNJAY RAI</t>
  </si>
  <si>
    <t>KANCHAN GUPTA</t>
  </si>
  <si>
    <t>JATIN KUMAR</t>
  </si>
  <si>
    <t xml:space="preserve">MD SHAHID </t>
  </si>
  <si>
    <t>COCKPIT</t>
  </si>
  <si>
    <t>ABDUL ALIM</t>
  </si>
  <si>
    <t>OIL VNS</t>
  </si>
  <si>
    <t>UBIN0544159</t>
  </si>
  <si>
    <t>A/C TR 4038</t>
  </si>
  <si>
    <t>ONLINE STATEMENT REPORT-13 AUG  2026</t>
  </si>
  <si>
    <t>SATYAM VERMA</t>
  </si>
  <si>
    <t>AD TICKET 14/8</t>
  </si>
  <si>
    <t>MD AMAN</t>
  </si>
  <si>
    <t>EURO NET SERVICE</t>
  </si>
  <si>
    <t>ALIM SALARY RECHARGE</t>
  </si>
  <si>
    <t>AD</t>
  </si>
  <si>
    <t>ONLINE STATEMENT REPORT-14 AUG  2026</t>
  </si>
  <si>
    <t>ARIF SHAH</t>
  </si>
  <si>
    <t>RAJU YADAV</t>
  </si>
  <si>
    <t>SANTOSH KUMAR ANIRUDH</t>
  </si>
  <si>
    <t>PRADUMAN YADAV</t>
  </si>
  <si>
    <t>ARPIT SINGH</t>
  </si>
  <si>
    <t>MD ARMAN KHAN</t>
  </si>
  <si>
    <t>IMRAN AHMAD</t>
  </si>
  <si>
    <t>AKBI AD</t>
  </si>
  <si>
    <t>OIL ETIOS VNS</t>
  </si>
  <si>
    <t>RAJAT KUMAR</t>
  </si>
  <si>
    <t xml:space="preserve">YTSK REFUND </t>
  </si>
  <si>
    <t>ONLINE STATEMENT REPORT-15 AUG  2026</t>
  </si>
  <si>
    <t xml:space="preserve">CASH DEPOSIT </t>
  </si>
  <si>
    <t>RVSL EDC RENTAL</t>
  </si>
  <si>
    <t xml:space="preserve">REC SOUND BOX </t>
  </si>
  <si>
    <t>SATISH KUMAR</t>
  </si>
  <si>
    <t>SATYENDRA S KUSHWAHA</t>
  </si>
  <si>
    <t>AJAY</t>
  </si>
  <si>
    <t>AJAY KUMAR GUPTA</t>
  </si>
  <si>
    <t>REC RASHID 13/8</t>
  </si>
  <si>
    <t>SHALINI PANDEY</t>
  </si>
  <si>
    <t>ETIOS 15/8</t>
  </si>
  <si>
    <t>MOHAMMAD IMRAN</t>
  </si>
  <si>
    <t>SHEETALA TRADERS</t>
  </si>
  <si>
    <t>YTSK 1604+FLIGHT 14/8</t>
  </si>
  <si>
    <t>ASHISH CHAUHAN</t>
  </si>
  <si>
    <t>AD AKB FLIGHT</t>
  </si>
  <si>
    <t>SERVICE CHARGES JUL</t>
  </si>
  <si>
    <t>BOX CHARGE SWIPE</t>
  </si>
  <si>
    <t>AKBAR ONLINE BOOKING</t>
  </si>
  <si>
    <t>REC</t>
  </si>
  <si>
    <t>ONLINE STATEMENT REPORT-16 AUG  2026</t>
  </si>
  <si>
    <t>ABHAY KUMAR MAURYA</t>
  </si>
  <si>
    <t>RAJAN YADAV</t>
  </si>
  <si>
    <t xml:space="preserve">YTSK 1604 </t>
  </si>
  <si>
    <t>AZAZUR RAHMAN</t>
  </si>
  <si>
    <t>REC AKB 9/8</t>
  </si>
  <si>
    <t>ONLINE STATEMENT REPORT-17 AUG  2026</t>
  </si>
  <si>
    <t>SHREE BALA JI STATIONERS</t>
  </si>
  <si>
    <t>FAIZ AHMAD</t>
  </si>
  <si>
    <t>MUKHTAR ALAM</t>
  </si>
  <si>
    <t xml:space="preserve">ABDUL ALEEM </t>
  </si>
  <si>
    <t xml:space="preserve">OIL INNOVA LKO UBI </t>
  </si>
  <si>
    <t>ONLINE STATEMENT REPORT-18 AUG  2026</t>
  </si>
  <si>
    <t xml:space="preserve">ANIKET PATEL </t>
  </si>
  <si>
    <t>NATIONAL HIGHWAYS</t>
  </si>
  <si>
    <t>ANNUAL PASS TR 2322</t>
  </si>
  <si>
    <t>DEEPAK K JAISAWAL</t>
  </si>
  <si>
    <t xml:space="preserve">HOME EXP </t>
  </si>
  <si>
    <t>CHANDAN SINGH YADAV</t>
  </si>
  <si>
    <t>ABDUL ALEEM</t>
  </si>
  <si>
    <t>AD ALIM</t>
  </si>
  <si>
    <t>ONLINE STATEMENT REPORT-19 AUG  2026</t>
  </si>
  <si>
    <t>AIRA EURO AUTOMATION</t>
  </si>
  <si>
    <t>VISA UMRAH</t>
  </si>
  <si>
    <t>RAJESH KUMAR YADAV</t>
  </si>
  <si>
    <t>COCKPIT FLIGHT</t>
  </si>
  <si>
    <t>OM SAI ENTERPRISES</t>
  </si>
  <si>
    <t xml:space="preserve">AKB + FLIGHT </t>
  </si>
  <si>
    <t xml:space="preserve">SADANAND SHARMA </t>
  </si>
  <si>
    <t>ARASHAD</t>
  </si>
  <si>
    <t>SHABANA BEGAM</t>
  </si>
  <si>
    <t>RAM PRAVESH CHAUHAN</t>
  </si>
  <si>
    <t>AKB + COCKPIT FLIGHT</t>
  </si>
  <si>
    <t xml:space="preserve">MOHD AZAM </t>
  </si>
  <si>
    <t>RAVI KUMAR GUPTA</t>
  </si>
  <si>
    <t xml:space="preserve">AD TQ TICKET </t>
  </si>
  <si>
    <t>ANISH</t>
  </si>
  <si>
    <t>SHIV SHANKAR</t>
  </si>
  <si>
    <t>AMARNATH</t>
  </si>
  <si>
    <t>ATUL KUMAR GUPTA</t>
  </si>
  <si>
    <t>RAVI KANT TIWARI</t>
  </si>
  <si>
    <t xml:space="preserve">CASH TR ANUJ BHAIYA </t>
  </si>
  <si>
    <t xml:space="preserve">SBI CARD </t>
  </si>
  <si>
    <t>CREDIT CARD 5050</t>
  </si>
  <si>
    <t xml:space="preserve">AD TICKET </t>
  </si>
  <si>
    <t>ONLINE STATEMENT REPORT-20 AUG  2026</t>
  </si>
  <si>
    <t xml:space="preserve">CARDLESS DEPOSIT </t>
  </si>
  <si>
    <t xml:space="preserve">HDFC CASH DEPOSIT </t>
  </si>
  <si>
    <t>ATUL KUMAR AMRESH</t>
  </si>
  <si>
    <t>AD AKB 21/8</t>
  </si>
  <si>
    <t>PRIYANKA</t>
  </si>
  <si>
    <t>LALLAN PRASAD</t>
  </si>
  <si>
    <t>AJEET KUMAR PRAJAPATI</t>
  </si>
  <si>
    <t>RAJESH KUMAR SHARMA</t>
  </si>
  <si>
    <t>AKBAR TRAVELS</t>
  </si>
  <si>
    <t xml:space="preserve">AKB UMRAH LKO </t>
  </si>
  <si>
    <t xml:space="preserve">MR RAVI KUMAR GUPTA </t>
  </si>
  <si>
    <t>AD YTSK REFUND</t>
  </si>
  <si>
    <t>ONLINE STATEMENT REPORT-21 AUG  2026</t>
  </si>
  <si>
    <t>NAUSAD AHAMAD</t>
  </si>
  <si>
    <t>DILSHAD</t>
  </si>
  <si>
    <t>SAVITA GUPTA</t>
  </si>
  <si>
    <t>MOHD AJAZ</t>
  </si>
  <si>
    <t>REC AKB 20/8</t>
  </si>
  <si>
    <t>SAJAL  SRIVASTAVA</t>
  </si>
  <si>
    <t>DEMO</t>
  </si>
  <si>
    <t>ONLINE STATEMENT REPORT-22 AUG  2026</t>
  </si>
  <si>
    <t>CARD SETTLEMENT</t>
  </si>
  <si>
    <t>DEBIT CARD SETTLEMENT</t>
  </si>
  <si>
    <t>ETIOS 25/8</t>
  </si>
  <si>
    <t>P FEE</t>
  </si>
  <si>
    <t>JOGENDAR YADAV</t>
  </si>
  <si>
    <t>SINTU SINGH</t>
  </si>
  <si>
    <t>NAUSAD ALAM</t>
  </si>
  <si>
    <t>VISHAL KASHYAP</t>
  </si>
  <si>
    <t>SAGAR SINGH</t>
  </si>
  <si>
    <t>DEEPAK KUMAR</t>
  </si>
  <si>
    <t>KISHAN DEV</t>
  </si>
  <si>
    <t>GYANPRAKASH RAJU</t>
  </si>
  <si>
    <t>REC AKB 21/8</t>
  </si>
  <si>
    <t>ETIOS OIL VNS</t>
  </si>
  <si>
    <t>VAIBHAV SRIVASTAVA</t>
  </si>
  <si>
    <t>CARD PAYMENT VIBHU</t>
  </si>
  <si>
    <t>ONLINE STATEMENT REPORT-23 AUG  2026</t>
  </si>
  <si>
    <t>VINOD KUMAR</t>
  </si>
  <si>
    <t>BASUDEV SINGH</t>
  </si>
  <si>
    <t>SANTOSH KUMAR PANDEY</t>
  </si>
  <si>
    <t xml:space="preserve">INNOVA 1000 OIL </t>
  </si>
  <si>
    <t>EKART</t>
  </si>
  <si>
    <t xml:space="preserve">OWNER EXP </t>
  </si>
  <si>
    <t>IMRANA RAINI</t>
  </si>
  <si>
    <t>PRASAD KANHA HAVELI</t>
  </si>
  <si>
    <t>VAIBHAV</t>
  </si>
  <si>
    <t xml:space="preserve">VIBHU CARD PAYMENT </t>
  </si>
  <si>
    <t>ONLINE STATEMENT REPORT-24 AUG  2026</t>
  </si>
  <si>
    <t xml:space="preserve">CASH DEPOSIT CURRENCY </t>
  </si>
  <si>
    <t>KAWALJEET GUPTA</t>
  </si>
  <si>
    <t>ABHISHEK KUMAR TIWARI</t>
  </si>
  <si>
    <t>SANA PRAVEEN</t>
  </si>
  <si>
    <t>MANOJ VERMA</t>
  </si>
  <si>
    <t>ABHINAV SINGH</t>
  </si>
  <si>
    <t xml:space="preserve">YTSK 1604 CANCEL REFUND </t>
  </si>
  <si>
    <t xml:space="preserve">COCKPIT PAYMENT </t>
  </si>
  <si>
    <t>ONLINE STATEMENT REPORT-25 AUG  2026</t>
  </si>
  <si>
    <t>PRADEEP KUMAR</t>
  </si>
  <si>
    <t>REC AKB 22/8</t>
  </si>
  <si>
    <t>SANTOSH KUMAR YADAV</t>
  </si>
  <si>
    <t>MOHAMMAD AADIL AHMAD</t>
  </si>
  <si>
    <t>MD ARIF</t>
  </si>
  <si>
    <t>ABHISHEK KUMAR</t>
  </si>
  <si>
    <t>RAKESH KUMAR</t>
  </si>
  <si>
    <t xml:space="preserve">ASHWANI SHARMA </t>
  </si>
  <si>
    <t>P EXP OWNER</t>
  </si>
  <si>
    <t>ABHIMANYU SINGH</t>
  </si>
  <si>
    <t>OWNER EXP</t>
  </si>
  <si>
    <t>ONLINE STATEMENT REPORT-26 AUG  2026</t>
  </si>
  <si>
    <t>VAIBHAV SRIVASTAV</t>
  </si>
  <si>
    <t>MOHD NIYAZ</t>
  </si>
  <si>
    <t>AD AKB FLIGHT 27/8</t>
  </si>
  <si>
    <t>MUKESH SHARMA</t>
  </si>
  <si>
    <t>AJAZ ANSARI</t>
  </si>
  <si>
    <t>SULAIMAN SIDDIQUI</t>
  </si>
  <si>
    <t>REC YTSK 25/8</t>
  </si>
  <si>
    <t xml:space="preserve">ALIM SALARY </t>
  </si>
  <si>
    <t>ONLINE STATEMENT REPORT-27 AUG  2026</t>
  </si>
  <si>
    <t>MD ADIL</t>
  </si>
  <si>
    <t>MANOJ KUMAR</t>
  </si>
  <si>
    <t xml:space="preserve">AKB FLIGHT + CURRENCY + CASH PAY </t>
  </si>
  <si>
    <t>BHANU PRATAP</t>
  </si>
  <si>
    <t>CREDIT CARD PAYMENT</t>
  </si>
  <si>
    <t xml:space="preserve">ETIOS SERVICE </t>
  </si>
  <si>
    <t>ONLINE STATEMENT REPORT-28 AUG  2026</t>
  </si>
  <si>
    <t>ARJUN SINGH KUSHWAHA</t>
  </si>
  <si>
    <t>AD TQ PAYMENT</t>
  </si>
  <si>
    <t>ARUN KUMAR</t>
  </si>
  <si>
    <t>RAM NIVASH RAM</t>
  </si>
  <si>
    <t>RAJNATH YADAV</t>
  </si>
  <si>
    <t>CHANDRAWATIM SINGH</t>
  </si>
  <si>
    <t xml:space="preserve">AJEET </t>
  </si>
  <si>
    <t>JAVED AKHTAR</t>
  </si>
  <si>
    <t>VIPIN YADAV</t>
  </si>
  <si>
    <t>SHAMSHIR KHAN</t>
  </si>
  <si>
    <t xml:space="preserve">CURRENCY CHEST PYMENT </t>
  </si>
  <si>
    <t>DIPAK KUMAR JAISAWAL</t>
  </si>
  <si>
    <t>P EXP HOME</t>
  </si>
  <si>
    <t>MAKE MY TRIP</t>
  </si>
  <si>
    <t xml:space="preserve">DEEPAK OMAN </t>
  </si>
  <si>
    <t>ETIOS SERVICE</t>
  </si>
  <si>
    <t>TQ</t>
  </si>
  <si>
    <t>ONLINE STATEMENT REPORT-29 AUG  2026</t>
  </si>
  <si>
    <t>ETIOS 29/8</t>
  </si>
  <si>
    <t>JAI PRAKASH LAL SRI</t>
  </si>
  <si>
    <t>AD TICKET YTSK 1/9</t>
  </si>
  <si>
    <t>JAIRAM</t>
  </si>
  <si>
    <t>AD TICKET YTSK 30/8</t>
  </si>
  <si>
    <t>AKBI TICKET</t>
  </si>
  <si>
    <t>OIL ETIOS</t>
  </si>
  <si>
    <t>ONLINE STATEMENT REPORT-30 AUG  2026</t>
  </si>
  <si>
    <t>ANKIT MAURYA</t>
  </si>
  <si>
    <t>AKB + YTSK 1604</t>
  </si>
  <si>
    <t xml:space="preserve">MOHAMMAD SAHIL </t>
  </si>
  <si>
    <t>MD NOOR</t>
  </si>
  <si>
    <t>AVADHESH K RAI</t>
  </si>
  <si>
    <t>SIMA DEVI</t>
  </si>
  <si>
    <t>AKB FIGHT</t>
  </si>
  <si>
    <t>ADITYA PATY RAI</t>
  </si>
  <si>
    <t>ANIKET PRATAP SINGH</t>
  </si>
  <si>
    <t>REC YTSK 1604 29/8</t>
  </si>
  <si>
    <t xml:space="preserve">SUSMA </t>
  </si>
  <si>
    <t>PRAVEEN KUMAR SINGH</t>
  </si>
  <si>
    <t>AD TQ REFUND 28/8</t>
  </si>
  <si>
    <t>ETIOS VNS AIRPORT</t>
  </si>
  <si>
    <t>AKB+YTSK</t>
  </si>
  <si>
    <t>ONLINE STATEMENT REPORT-31 AUG  2026</t>
  </si>
  <si>
    <t>RAJKUMAR PRASAD</t>
  </si>
  <si>
    <t>AKB FLIGHT 29/8</t>
  </si>
  <si>
    <t>RITESH VISHWAKARMA</t>
  </si>
  <si>
    <t>SHANKER JEE VERMA</t>
  </si>
  <si>
    <t>MOHIT SRIVASTAVA</t>
  </si>
  <si>
    <t>REC AKB 17/8</t>
  </si>
  <si>
    <t>DEENANATH VIND</t>
  </si>
  <si>
    <t>ASHISH KUMAR VERMA</t>
  </si>
  <si>
    <t>AJIT K SRIVASTAVA</t>
  </si>
  <si>
    <t xml:space="preserve">CASH AJIT BHAIYA </t>
  </si>
  <si>
    <t>REC AKB 30/8</t>
  </si>
  <si>
    <t>AFZAL</t>
  </si>
  <si>
    <t>RAJU JAISWAL</t>
  </si>
  <si>
    <t>MEESHO</t>
  </si>
  <si>
    <t>IB BILL PAY</t>
  </si>
  <si>
    <t>L38R</t>
  </si>
  <si>
    <t xml:space="preserve">HDFC CREDIT CARD PAYMENT </t>
  </si>
  <si>
    <t>AXIS BANK</t>
  </si>
  <si>
    <t xml:space="preserve">RABBANI AXIS CARD </t>
  </si>
  <si>
    <t>TAHZIV AHMAD</t>
  </si>
  <si>
    <t>AD REF 22/1</t>
  </si>
  <si>
    <t>ONLINE STATEMENT REPORT-01 SEP  2026</t>
  </si>
  <si>
    <t>KAJAL MAURYA</t>
  </si>
  <si>
    <t xml:space="preserve">AKB FLIGHT </t>
  </si>
  <si>
    <t xml:space="preserve">RITIK KUMAR GUPTA </t>
  </si>
  <si>
    <t>MS PRATIMA</t>
  </si>
  <si>
    <t>REC AKB 29/8</t>
  </si>
  <si>
    <t>JITENDRA YADAV</t>
  </si>
  <si>
    <t xml:space="preserve">VASHIM AKRAM </t>
  </si>
  <si>
    <t>ASLAM HANDLOOM</t>
  </si>
  <si>
    <t xml:space="preserve">JAI PRAKASH LAL </t>
  </si>
  <si>
    <t>MR RAKESH K SINGH</t>
  </si>
  <si>
    <t xml:space="preserve">INNOVA OIL </t>
  </si>
  <si>
    <t>RAVIVO AIR TICKET</t>
  </si>
  <si>
    <t>GULAM YAZDANI</t>
  </si>
  <si>
    <t xml:space="preserve">LIGHT MISTRI </t>
  </si>
  <si>
    <t>ONLINE STATEMENT REPORT- 02-SET  2026</t>
  </si>
  <si>
    <t>DEEP ARUN</t>
  </si>
  <si>
    <t>REC GOLU 4/8 AD-700</t>
  </si>
  <si>
    <t>ABON HAZARIKA</t>
  </si>
  <si>
    <t>AMIT KUMAR RAI</t>
  </si>
  <si>
    <t>MOHAMMAD SAEED</t>
  </si>
  <si>
    <t>DURGESH KUMAR</t>
  </si>
  <si>
    <t>MR DIPAK SAINI</t>
  </si>
  <si>
    <t>AZIZUDDIN ANSARI</t>
  </si>
  <si>
    <t>GAJENDRA PRASAD GUPTA</t>
  </si>
  <si>
    <t xml:space="preserve">BILL DESK PAYMENT </t>
  </si>
  <si>
    <t>ONLINE STATEMENT REPORT- 3 SEP  2026</t>
  </si>
  <si>
    <t>OMJEE VERMA</t>
  </si>
  <si>
    <t>REC AKB FLIGHT 1/9</t>
  </si>
  <si>
    <t>MIX VEHICLE PAYMENT</t>
  </si>
  <si>
    <t>S</t>
  </si>
  <si>
    <t>MOHAMMAD SALMAN</t>
  </si>
  <si>
    <t>HINA FARHAN</t>
  </si>
  <si>
    <t xml:space="preserve">P EXP SIR </t>
  </si>
  <si>
    <t>ETIOS OIL VNS AIRPORT</t>
  </si>
  <si>
    <t>BHARAT AUTO</t>
  </si>
  <si>
    <t xml:space="preserve">BIKE OIL P EXP </t>
  </si>
  <si>
    <t>ONLINE STATEMENT REPORT-04 SEP  2026</t>
  </si>
  <si>
    <t>VIKASH SINGH</t>
  </si>
  <si>
    <t xml:space="preserve">ABON HAZARIKA </t>
  </si>
  <si>
    <t>MR ANSHU AGRAWAL</t>
  </si>
  <si>
    <t>REC AKB 1/9</t>
  </si>
  <si>
    <t>ASIF ALI</t>
  </si>
  <si>
    <t>AD TICKET YTSK 5/9</t>
  </si>
  <si>
    <t>CHANDRESHVAR</t>
  </si>
  <si>
    <t>CHANDAN RAJBHAR</t>
  </si>
  <si>
    <t>SAMEER RAI</t>
  </si>
  <si>
    <t>MOHD ILIYAS</t>
  </si>
  <si>
    <t xml:space="preserve">CURRENCY REFUND </t>
  </si>
  <si>
    <t>ONLINE STATEMENT REPORT-05 SEP  2026</t>
  </si>
  <si>
    <t>SAURABH KUMAR</t>
  </si>
  <si>
    <t>ANITA TIWARI</t>
  </si>
  <si>
    <t xml:space="preserve">JAIRAM </t>
  </si>
  <si>
    <t xml:space="preserve">AKB+YTSK </t>
  </si>
  <si>
    <t>NAEEM AHMAD</t>
  </si>
  <si>
    <t>BASUDEV S KUSHWAHA</t>
  </si>
  <si>
    <t>DEEPTI SINGH</t>
  </si>
  <si>
    <t xml:space="preserve">PURI PACKAGE </t>
  </si>
  <si>
    <t xml:space="preserve">BANK CHARGE </t>
  </si>
  <si>
    <t xml:space="preserve">GULAM RABBANI </t>
  </si>
  <si>
    <t>IRA BHUBNESHWAR</t>
  </si>
  <si>
    <t>HOTAL ( PURI )</t>
  </si>
  <si>
    <t>OIL HONDA CITY+ INNOVA (PURI PACKAGE)</t>
  </si>
  <si>
    <t>Undefined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</si>
</sst>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_(&quot;$&quot;* #,##0.00_);_(&quot;$&quot;* \(#,##0.00\);_(&quot;$&quot;* &quot;-&quot;??_);_(@_)"/>
    <numFmt numFmtId="166" formatCode="_ * #,##0.0_ ;_ * \-#,##0.0_ ;_ * &quot;-&quot;??_ ;_ @_ "/>
    <numFmt numFmtId="167" formatCode="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DLaM Display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masis MT Pro Black"/>
      <family val="1"/>
    </font>
    <font>
      <b/>
      <sz val="16"/>
      <color theme="1"/>
      <name val="Arial Black"/>
      <family val="2"/>
    </font>
    <font>
      <sz val="11"/>
      <color theme="1"/>
      <name val="ADLaM Display"/>
    </font>
    <font>
      <b/>
      <sz val="10"/>
      <color theme="1"/>
      <name val="ADLaM Display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1"/>
      <name val="Abadi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ExtraBold"/>
      <family val="2"/>
    </font>
    <font>
      <b/>
      <sz val="11"/>
      <color theme="1"/>
      <name val="Amasis MT Pro Medium"/>
      <family val="1"/>
    </font>
    <font>
      <b/>
      <sz val="12"/>
      <color theme="1"/>
      <name val="ADLaM Display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0" fontId="13" fillId="0" borderId="0"/>
  </cellStyleXfs>
  <cellXfs count="74">
    <xf numFmtId="0" fontId="0" fillId="0" borderId="0" xfId="0"/>
    <xf numFmtId="0" fontId="6" fillId="5" borderId="1" xfId="0" applyFont="1" applyFill="1" applyBorder="1" applyAlignment="1">
      <alignment horizontal="center"/>
    </xf>
    <xf numFmtId="164" fontId="6" fillId="5" borderId="1" xfId="1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4" fontId="7" fillId="6" borderId="1" xfId="1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164" fontId="7" fillId="7" borderId="1" xfId="1" applyNumberFormat="1" applyFont="1" applyFill="1" applyBorder="1" applyAlignment="1">
      <alignment horizontal="center"/>
    </xf>
    <xf numFmtId="166" fontId="7" fillId="0" borderId="1" xfId="1" applyNumberFormat="1" applyFont="1" applyBorder="1"/>
    <xf numFmtId="0" fontId="7" fillId="0" borderId="1" xfId="0" applyFont="1" applyBorder="1" applyAlignment="1">
      <alignment horizontal="center"/>
    </xf>
    <xf numFmtId="43" fontId="7" fillId="6" borderId="1" xfId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center" vertical="center"/>
    </xf>
    <xf numFmtId="164" fontId="7" fillId="6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64" fontId="7" fillId="7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0" xfId="1" applyNumberFormat="1" applyFont="1"/>
    <xf numFmtId="0" fontId="7" fillId="12" borderId="1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4" fontId="0" fillId="6" borderId="0" xfId="1" applyNumberFormat="1" applyFont="1" applyFill="1"/>
    <xf numFmtId="0" fontId="7" fillId="14" borderId="1" xfId="0" applyFont="1" applyFill="1" applyBorder="1" applyAlignment="1">
      <alignment horizontal="center"/>
    </xf>
    <xf numFmtId="0" fontId="5" fillId="15" borderId="0" xfId="0" applyFont="1" applyFill="1"/>
    <xf numFmtId="0" fontId="12" fillId="6" borderId="0" xfId="0" applyFont="1" applyFill="1"/>
    <xf numFmtId="0" fontId="7" fillId="6" borderId="0" xfId="0" applyFont="1" applyFill="1"/>
    <xf numFmtId="164" fontId="7" fillId="6" borderId="0" xfId="1" applyNumberFormat="1" applyFont="1" applyFill="1"/>
    <xf numFmtId="0" fontId="6" fillId="6" borderId="0" xfId="0" applyFont="1" applyFill="1"/>
    <xf numFmtId="0" fontId="6" fillId="16" borderId="1" xfId="0" applyFont="1" applyFill="1" applyBorder="1" applyAlignment="1">
      <alignment horizontal="center"/>
    </xf>
    <xf numFmtId="167" fontId="7" fillId="6" borderId="1" xfId="0" applyNumberFormat="1" applyFont="1" applyFill="1" applyBorder="1" applyAlignment="1">
      <alignment horizontal="center"/>
    </xf>
    <xf numFmtId="165" fontId="6" fillId="5" borderId="1" xfId="1" applyNumberFormat="1" applyFont="1" applyFill="1" applyBorder="1" applyAlignment="1">
      <alignment horizontal="center" vertical="center"/>
    </xf>
    <xf numFmtId="167" fontId="7" fillId="6" borderId="1" xfId="0" quotePrefix="1" applyNumberFormat="1" applyFont="1" applyFill="1" applyBorder="1" applyAlignment="1">
      <alignment horizontal="center"/>
    </xf>
    <xf numFmtId="44" fontId="7" fillId="0" borderId="1" xfId="0" applyNumberFormat="1" applyFont="1" applyBorder="1" applyAlignment="1">
      <alignment horizontal="center"/>
    </xf>
    <xf numFmtId="44" fontId="7" fillId="12" borderId="1" xfId="1" applyNumberFormat="1" applyFont="1" applyFill="1" applyBorder="1" applyAlignment="1">
      <alignment horizontal="center"/>
    </xf>
    <xf numFmtId="44" fontId="7" fillId="13" borderId="1" xfId="1" applyNumberFormat="1" applyFont="1" applyFill="1" applyBorder="1" applyAlignment="1">
      <alignment horizontal="center"/>
    </xf>
    <xf numFmtId="44" fontId="7" fillId="14" borderId="1" xfId="1" applyNumberFormat="1" applyFont="1" applyFill="1" applyBorder="1" applyAlignment="1">
      <alignment horizontal="center"/>
    </xf>
    <xf numFmtId="44" fontId="7" fillId="16" borderId="1" xfId="1" applyNumberFormat="1" applyFont="1" applyFill="1" applyBorder="1" applyAlignment="1">
      <alignment horizontal="center"/>
    </xf>
    <xf numFmtId="44" fontId="7" fillId="6" borderId="1" xfId="1" applyNumberFormat="1" applyFont="1" applyFill="1" applyBorder="1" applyAlignment="1">
      <alignment horizontal="center"/>
    </xf>
    <xf numFmtId="44" fontId="7" fillId="7" borderId="1" xfId="1" applyNumberFormat="1" applyFont="1" applyFill="1" applyBorder="1" applyAlignment="1">
      <alignment horizontal="center"/>
    </xf>
    <xf numFmtId="44" fontId="7" fillId="9" borderId="1" xfId="1" applyNumberFormat="1" applyFont="1" applyFill="1" applyBorder="1" applyAlignment="1">
      <alignment horizontal="center"/>
    </xf>
    <xf numFmtId="44" fontId="7" fillId="11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0" fontId="2" fillId="0" borderId="0" xfId="0" applyFont="1" applyAlignment="1">
      <alignment horizontal="center"/>
    </xf>
    <xf numFmtId="0" fontId="5" fillId="6" borderId="0" xfId="0" applyFont="1" applyFill="1"/>
    <xf numFmtId="0" fontId="17" fillId="0" borderId="0" xfId="0" applyFont="1" applyAlignment="1">
      <alignment horizontal="center"/>
    </xf>
    <xf numFmtId="14" fontId="7" fillId="6" borderId="1" xfId="1" applyNumberFormat="1" applyFont="1" applyFill="1" applyBorder="1" applyAlignment="1">
      <alignment horizontal="center"/>
    </xf>
    <xf numFmtId="2" fontId="7" fillId="6" borderId="1" xfId="1" applyNumberFormat="1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44" fontId="7" fillId="4" borderId="1" xfId="1" applyNumberFormat="1" applyFont="1" applyFill="1" applyBorder="1" applyAlignment="1">
      <alignment horizontal="center"/>
    </xf>
    <xf numFmtId="2" fontId="7" fillId="7" borderId="1" xfId="1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5" fillId="3" borderId="1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0" fillId="0" borderId="0" xfId="0"/>
    <xf numFmtId="0" fontId="14" fillId="2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topLeftCell="A17" workbookViewId="0">
      <selection activeCell="C8" sqref="C8"/>
    </sheetView>
  </sheetViews>
  <sheetFormatPr defaultRowHeight="14.4" x14ac:dyDescent="0.3"/>
  <cols>
    <col min="1" max="1" width="4.44140625" bestFit="1" customWidth="1"/>
    <col min="2" max="2" width="24.8867187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9.886718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14</v>
      </c>
      <c r="C5" s="47">
        <v>24500</v>
      </c>
      <c r="D5" s="4">
        <v>46235</v>
      </c>
      <c r="E5" s="5">
        <v>0</v>
      </c>
      <c r="F5" s="3" t="s">
        <v>15</v>
      </c>
      <c r="G5" s="39">
        <v>7002</v>
      </c>
      <c r="H5" s="6">
        <v>0</v>
      </c>
      <c r="I5" s="3" t="s">
        <v>16</v>
      </c>
      <c r="J5" s="4">
        <f>+D5-1</f>
        <v>46234</v>
      </c>
      <c r="K5" s="7" t="s">
        <v>17</v>
      </c>
    </row>
    <row r="6" spans="1:11" ht="15.75" customHeight="1" x14ac:dyDescent="0.3">
      <c r="A6" s="3"/>
      <c r="B6" s="3" t="s">
        <v>18</v>
      </c>
      <c r="C6" s="47">
        <v>26000</v>
      </c>
      <c r="D6" s="4">
        <v>46235</v>
      </c>
      <c r="E6" s="5">
        <v>0</v>
      </c>
      <c r="F6" s="3" t="s">
        <v>15</v>
      </c>
      <c r="G6" s="39">
        <v>791</v>
      </c>
      <c r="H6" s="6">
        <v>0</v>
      </c>
      <c r="I6" s="3" t="s">
        <v>16</v>
      </c>
      <c r="J6" s="4">
        <f>+D6-1</f>
        <v>46234</v>
      </c>
      <c r="K6" s="7" t="s">
        <v>19</v>
      </c>
    </row>
    <row r="7" spans="1:11" ht="18.75" customHeight="1" x14ac:dyDescent="0.35">
      <c r="A7" s="8"/>
      <c r="B7" s="9" t="s">
        <v>20</v>
      </c>
      <c r="C7" s="48">
        <f>SUM(C5:C6)</f>
        <v>50500</v>
      </c>
      <c r="D7" s="3"/>
      <c r="E7" s="11"/>
      <c r="F7" s="8"/>
      <c r="G7" s="12"/>
      <c r="H7" s="10">
        <f>SUM(H5:H5)</f>
        <v>0</v>
      </c>
      <c r="I7" s="8"/>
      <c r="J7" s="8"/>
      <c r="K7" s="8"/>
    </row>
    <row r="9" spans="1:11" ht="24" customHeight="1" x14ac:dyDescent="0.45">
      <c r="A9" s="70" t="s">
        <v>21</v>
      </c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1" ht="15.75" customHeight="1" x14ac:dyDescent="0.3">
      <c r="A10" s="3">
        <v>1</v>
      </c>
      <c r="B10" s="3" t="s">
        <v>22</v>
      </c>
      <c r="C10" s="47">
        <v>1545</v>
      </c>
      <c r="D10" s="4">
        <v>46235</v>
      </c>
      <c r="E10" s="13">
        <v>0</v>
      </c>
      <c r="F10" s="12" t="s">
        <v>23</v>
      </c>
      <c r="G10" s="41">
        <v>7539</v>
      </c>
      <c r="H10" s="14">
        <v>0</v>
      </c>
      <c r="I10" s="3" t="s">
        <v>24</v>
      </c>
      <c r="J10" s="4">
        <f t="shared" ref="J10:J21" si="0">+D10+1</f>
        <v>46236</v>
      </c>
      <c r="K10" s="12" t="s">
        <v>25</v>
      </c>
    </row>
    <row r="11" spans="1:11" ht="15.75" customHeight="1" x14ac:dyDescent="0.3">
      <c r="A11" s="3">
        <v>2</v>
      </c>
      <c r="B11" s="3" t="s">
        <v>22</v>
      </c>
      <c r="C11" s="47">
        <v>2000</v>
      </c>
      <c r="D11" s="4">
        <f t="shared" ref="D11:D21" si="1">+D10</f>
        <v>46235</v>
      </c>
      <c r="E11" s="13">
        <v>0</v>
      </c>
      <c r="F11" s="12" t="s">
        <v>23</v>
      </c>
      <c r="G11" s="41">
        <v>5504</v>
      </c>
      <c r="H11" s="14">
        <v>0</v>
      </c>
      <c r="I11" s="3" t="s">
        <v>16</v>
      </c>
      <c r="J11" s="4">
        <f t="shared" si="0"/>
        <v>46236</v>
      </c>
      <c r="K11" s="12" t="s">
        <v>25</v>
      </c>
    </row>
    <row r="12" spans="1:11" ht="15.75" customHeight="1" x14ac:dyDescent="0.3">
      <c r="A12" s="3">
        <v>3</v>
      </c>
      <c r="B12" s="3" t="s">
        <v>26</v>
      </c>
      <c r="C12" s="47">
        <v>1300</v>
      </c>
      <c r="D12" s="4">
        <f t="shared" si="1"/>
        <v>46235</v>
      </c>
      <c r="E12" s="13">
        <v>0</v>
      </c>
      <c r="F12" s="12" t="s">
        <v>23</v>
      </c>
      <c r="G12" s="41">
        <v>9817</v>
      </c>
      <c r="H12" s="14">
        <v>0</v>
      </c>
      <c r="I12" s="3" t="s">
        <v>16</v>
      </c>
      <c r="J12" s="4">
        <f t="shared" si="0"/>
        <v>46236</v>
      </c>
      <c r="K12" s="12" t="s">
        <v>25</v>
      </c>
    </row>
    <row r="13" spans="1:11" ht="15.75" customHeight="1" x14ac:dyDescent="0.3">
      <c r="A13" s="3">
        <v>4</v>
      </c>
      <c r="B13" s="3" t="s">
        <v>27</v>
      </c>
      <c r="C13" s="47">
        <v>6195</v>
      </c>
      <c r="D13" s="4">
        <f t="shared" si="1"/>
        <v>46235</v>
      </c>
      <c r="E13" s="13">
        <v>0</v>
      </c>
      <c r="F13" s="12" t="s">
        <v>23</v>
      </c>
      <c r="G13" s="41">
        <v>5879</v>
      </c>
      <c r="H13" s="14">
        <v>0</v>
      </c>
      <c r="I13" s="3" t="s">
        <v>16</v>
      </c>
      <c r="J13" s="4">
        <f t="shared" si="0"/>
        <v>46236</v>
      </c>
      <c r="K13" s="12" t="s">
        <v>28</v>
      </c>
    </row>
    <row r="14" spans="1:11" ht="15.75" customHeight="1" x14ac:dyDescent="0.3">
      <c r="A14" s="3">
        <v>5</v>
      </c>
      <c r="B14" s="3" t="s">
        <v>29</v>
      </c>
      <c r="C14" s="47">
        <v>1340</v>
      </c>
      <c r="D14" s="4">
        <f t="shared" si="1"/>
        <v>46235</v>
      </c>
      <c r="E14" s="13">
        <v>0</v>
      </c>
      <c r="F14" s="12" t="s">
        <v>23</v>
      </c>
      <c r="G14" s="41">
        <v>1090</v>
      </c>
      <c r="H14" s="14">
        <v>0</v>
      </c>
      <c r="I14" s="3" t="s">
        <v>16</v>
      </c>
      <c r="J14" s="4">
        <f t="shared" si="0"/>
        <v>46236</v>
      </c>
      <c r="K14" s="12" t="s">
        <v>28</v>
      </c>
    </row>
    <row r="15" spans="1:11" ht="15.75" customHeight="1" x14ac:dyDescent="0.3">
      <c r="A15" s="3">
        <v>6</v>
      </c>
      <c r="B15" s="3" t="s">
        <v>30</v>
      </c>
      <c r="C15" s="47">
        <v>17200</v>
      </c>
      <c r="D15" s="4">
        <f t="shared" si="1"/>
        <v>46235</v>
      </c>
      <c r="E15" s="13">
        <v>0</v>
      </c>
      <c r="F15" s="12" t="s">
        <v>23</v>
      </c>
      <c r="G15" s="41">
        <v>5718</v>
      </c>
      <c r="H15" s="14">
        <v>0</v>
      </c>
      <c r="I15" s="3" t="s">
        <v>16</v>
      </c>
      <c r="J15" s="4">
        <f t="shared" si="0"/>
        <v>46236</v>
      </c>
      <c r="K15" s="12" t="s">
        <v>31</v>
      </c>
    </row>
    <row r="16" spans="1:11" ht="15.75" customHeight="1" x14ac:dyDescent="0.3">
      <c r="A16" s="3">
        <v>7</v>
      </c>
      <c r="B16" s="3" t="s">
        <v>32</v>
      </c>
      <c r="C16" s="47">
        <v>505</v>
      </c>
      <c r="D16" s="4">
        <f t="shared" si="1"/>
        <v>46235</v>
      </c>
      <c r="E16" s="13">
        <v>0</v>
      </c>
      <c r="F16" s="12" t="s">
        <v>23</v>
      </c>
      <c r="G16" s="41">
        <v>7334</v>
      </c>
      <c r="H16" s="14">
        <v>0</v>
      </c>
      <c r="I16" s="3" t="s">
        <v>16</v>
      </c>
      <c r="J16" s="4">
        <f t="shared" si="0"/>
        <v>46236</v>
      </c>
      <c r="K16" s="12" t="s">
        <v>28</v>
      </c>
    </row>
    <row r="17" spans="1:11" ht="15.75" customHeight="1" x14ac:dyDescent="0.3">
      <c r="A17" s="3">
        <v>8</v>
      </c>
      <c r="B17" s="3" t="s">
        <v>33</v>
      </c>
      <c r="C17" s="47">
        <v>110</v>
      </c>
      <c r="D17" s="4">
        <f t="shared" si="1"/>
        <v>46235</v>
      </c>
      <c r="E17" s="13">
        <v>0</v>
      </c>
      <c r="F17" s="12" t="s">
        <v>23</v>
      </c>
      <c r="G17" s="41">
        <v>5980</v>
      </c>
      <c r="H17" s="14">
        <v>0</v>
      </c>
      <c r="I17" s="3" t="s">
        <v>16</v>
      </c>
      <c r="J17" s="4">
        <f t="shared" si="0"/>
        <v>46236</v>
      </c>
      <c r="K17" s="12" t="s">
        <v>34</v>
      </c>
    </row>
    <row r="18" spans="1:11" ht="15.75" customHeight="1" x14ac:dyDescent="0.3">
      <c r="A18" s="3">
        <v>9</v>
      </c>
      <c r="B18" s="3" t="s">
        <v>35</v>
      </c>
      <c r="C18" s="47">
        <v>2500</v>
      </c>
      <c r="D18" s="4">
        <f t="shared" si="1"/>
        <v>46235</v>
      </c>
      <c r="E18" s="13">
        <v>0</v>
      </c>
      <c r="F18" s="12" t="s">
        <v>23</v>
      </c>
      <c r="G18" s="41">
        <v>3801</v>
      </c>
      <c r="H18" s="14">
        <v>0</v>
      </c>
      <c r="I18" s="3" t="s">
        <v>16</v>
      </c>
      <c r="J18" s="4">
        <f t="shared" si="0"/>
        <v>46236</v>
      </c>
      <c r="K18" s="12" t="s">
        <v>28</v>
      </c>
    </row>
    <row r="19" spans="1:11" ht="15.75" customHeight="1" x14ac:dyDescent="0.3">
      <c r="A19" s="3">
        <v>10</v>
      </c>
      <c r="B19" s="3" t="s">
        <v>36</v>
      </c>
      <c r="C19" s="47">
        <v>500</v>
      </c>
      <c r="D19" s="4">
        <f t="shared" si="1"/>
        <v>46235</v>
      </c>
      <c r="E19" s="13">
        <v>0</v>
      </c>
      <c r="F19" s="12" t="s">
        <v>23</v>
      </c>
      <c r="G19" s="41">
        <v>5383</v>
      </c>
      <c r="H19" s="14">
        <v>0</v>
      </c>
      <c r="I19" s="3" t="s">
        <v>16</v>
      </c>
      <c r="J19" s="4">
        <f t="shared" si="0"/>
        <v>46236</v>
      </c>
      <c r="K19" s="12" t="s">
        <v>28</v>
      </c>
    </row>
    <row r="20" spans="1:11" ht="15.75" customHeight="1" x14ac:dyDescent="0.3">
      <c r="A20" s="3">
        <v>11</v>
      </c>
      <c r="B20" s="3" t="s">
        <v>37</v>
      </c>
      <c r="C20" s="47">
        <v>1200</v>
      </c>
      <c r="D20" s="4">
        <f t="shared" si="1"/>
        <v>46235</v>
      </c>
      <c r="E20" s="13">
        <v>0</v>
      </c>
      <c r="F20" s="12" t="s">
        <v>23</v>
      </c>
      <c r="G20" s="41">
        <v>8695</v>
      </c>
      <c r="H20" s="14">
        <v>0</v>
      </c>
      <c r="I20" s="3" t="s">
        <v>16</v>
      </c>
      <c r="J20" s="4">
        <f t="shared" si="0"/>
        <v>46236</v>
      </c>
      <c r="K20" s="12" t="s">
        <v>28</v>
      </c>
    </row>
    <row r="21" spans="1:11" ht="15.75" customHeight="1" x14ac:dyDescent="0.3">
      <c r="A21" s="3">
        <v>12</v>
      </c>
      <c r="B21" s="3" t="s">
        <v>38</v>
      </c>
      <c r="C21" s="47">
        <v>1925</v>
      </c>
      <c r="D21" s="4">
        <f t="shared" si="1"/>
        <v>46235</v>
      </c>
      <c r="E21" s="13">
        <v>0</v>
      </c>
      <c r="F21" s="12" t="s">
        <v>23</v>
      </c>
      <c r="G21" s="41">
        <v>7659</v>
      </c>
      <c r="H21" s="14">
        <v>0</v>
      </c>
      <c r="I21" s="3" t="s">
        <v>16</v>
      </c>
      <c r="J21" s="4">
        <f t="shared" si="0"/>
        <v>46236</v>
      </c>
      <c r="K21" s="12" t="s">
        <v>28</v>
      </c>
    </row>
    <row r="22" spans="1:11" ht="18.75" customHeight="1" x14ac:dyDescent="0.35">
      <c r="A22" s="3"/>
      <c r="B22" s="15" t="s">
        <v>20</v>
      </c>
      <c r="C22" s="49">
        <f>SUM(C10:C21)</f>
        <v>36320</v>
      </c>
      <c r="D22" s="3"/>
      <c r="E22" s="3"/>
      <c r="F22" s="12"/>
      <c r="G22" s="12"/>
      <c r="H22" s="10"/>
      <c r="I22" s="3"/>
      <c r="J22" s="3"/>
      <c r="K22" s="3"/>
    </row>
    <row r="23" spans="1:11" ht="21" customHeight="1" x14ac:dyDescent="0.4">
      <c r="A23" s="69" t="s">
        <v>39</v>
      </c>
      <c r="B23" s="63"/>
      <c r="C23" s="63"/>
      <c r="D23" s="63"/>
      <c r="E23" s="63"/>
      <c r="F23" s="63"/>
      <c r="G23" s="63"/>
      <c r="H23" s="63"/>
      <c r="I23" s="63"/>
      <c r="J23" s="63"/>
      <c r="K23" s="64"/>
    </row>
    <row r="24" spans="1:11" ht="18.75" customHeight="1" x14ac:dyDescent="0.35">
      <c r="A24" s="16" t="s">
        <v>3</v>
      </c>
      <c r="B24" s="16" t="s">
        <v>40</v>
      </c>
      <c r="C24" s="40" t="s">
        <v>5</v>
      </c>
      <c r="D24" s="1" t="s">
        <v>41</v>
      </c>
      <c r="E24" s="16" t="s">
        <v>7</v>
      </c>
      <c r="F24" s="16" t="s">
        <v>8</v>
      </c>
      <c r="G24" s="16" t="s">
        <v>42</v>
      </c>
      <c r="H24" s="17" t="s">
        <v>43</v>
      </c>
      <c r="I24" s="16" t="s">
        <v>11</v>
      </c>
      <c r="J24" s="16" t="s">
        <v>44</v>
      </c>
      <c r="K24" s="18" t="s">
        <v>45</v>
      </c>
    </row>
    <row r="25" spans="1:11" ht="15.75" customHeight="1" x14ac:dyDescent="0.3">
      <c r="A25" s="7">
        <v>1</v>
      </c>
      <c r="B25" s="7" t="s">
        <v>46</v>
      </c>
      <c r="C25" s="42">
        <v>21490</v>
      </c>
      <c r="D25" s="4">
        <v>46235</v>
      </c>
      <c r="E25" s="7"/>
      <c r="F25" s="7"/>
      <c r="G25" s="19">
        <v>791</v>
      </c>
      <c r="H25" s="20"/>
      <c r="I25" s="21"/>
      <c r="J25" s="4">
        <v>46235</v>
      </c>
      <c r="K25" s="12" t="s">
        <v>28</v>
      </c>
    </row>
    <row r="26" spans="1:11" ht="15.75" customHeight="1" x14ac:dyDescent="0.3">
      <c r="A26" s="7">
        <v>2</v>
      </c>
      <c r="B26" s="7" t="s">
        <v>47</v>
      </c>
      <c r="C26" s="42">
        <v>27886</v>
      </c>
      <c r="D26" s="4">
        <v>46235</v>
      </c>
      <c r="E26" s="7"/>
      <c r="F26" s="7"/>
      <c r="G26" s="19">
        <v>61</v>
      </c>
      <c r="H26" s="20"/>
      <c r="I26" s="21"/>
      <c r="J26" s="4">
        <v>46235</v>
      </c>
      <c r="K26" s="12" t="s">
        <v>28</v>
      </c>
    </row>
    <row r="27" spans="1:11" ht="15.75" customHeight="1" x14ac:dyDescent="0.3">
      <c r="A27" s="7">
        <v>3</v>
      </c>
      <c r="B27" s="7" t="s">
        <v>48</v>
      </c>
      <c r="C27" s="42">
        <v>4176</v>
      </c>
      <c r="D27" s="4">
        <v>46235</v>
      </c>
      <c r="E27" s="7"/>
      <c r="F27" s="7"/>
      <c r="G27" s="19">
        <v>6679</v>
      </c>
      <c r="H27" s="20"/>
      <c r="I27" s="21"/>
      <c r="J27" s="4">
        <v>46235</v>
      </c>
      <c r="K27" s="12" t="s">
        <v>49</v>
      </c>
    </row>
    <row r="28" spans="1:11" ht="15.75" customHeight="1" x14ac:dyDescent="0.3">
      <c r="A28" s="7">
        <v>4</v>
      </c>
      <c r="B28" s="7" t="s">
        <v>50</v>
      </c>
      <c r="C28" s="42">
        <v>100000</v>
      </c>
      <c r="D28" s="4">
        <v>46235</v>
      </c>
      <c r="E28" s="7"/>
      <c r="F28" s="7"/>
      <c r="G28" s="19">
        <v>126</v>
      </c>
      <c r="H28" s="20"/>
      <c r="I28" s="21"/>
      <c r="J28" s="4">
        <v>46235</v>
      </c>
      <c r="K28" s="12" t="s">
        <v>51</v>
      </c>
    </row>
    <row r="29" spans="1:11" ht="18.75" customHeight="1" x14ac:dyDescent="0.3">
      <c r="A29" s="7"/>
      <c r="B29" s="22" t="s">
        <v>52</v>
      </c>
      <c r="C29" s="50">
        <f>SUM(C25:C28)</f>
        <v>153552</v>
      </c>
      <c r="D29" s="3"/>
      <c r="E29" s="7"/>
      <c r="F29" s="7"/>
      <c r="G29" s="7"/>
      <c r="H29" s="23">
        <v>0</v>
      </c>
      <c r="I29" s="21"/>
      <c r="J29" s="3"/>
      <c r="K29" s="24"/>
    </row>
    <row r="30" spans="1:11" x14ac:dyDescent="0.3">
      <c r="C30" s="25"/>
      <c r="H30" s="25"/>
    </row>
    <row r="31" spans="1:11" ht="16.5" customHeight="1" x14ac:dyDescent="0.35">
      <c r="B31" s="26" t="s">
        <v>53</v>
      </c>
      <c r="C31" s="43">
        <f>SUM(C10,C11,C12,C17)</f>
        <v>4955</v>
      </c>
      <c r="E31" s="27"/>
      <c r="F31" s="27"/>
      <c r="G31" s="66"/>
      <c r="H31" s="67"/>
    </row>
    <row r="32" spans="1:11" ht="16.5" customHeight="1" x14ac:dyDescent="0.35">
      <c r="B32" s="28" t="s">
        <v>54</v>
      </c>
      <c r="C32" s="44">
        <f>SUM(C21,C20,C19,C18,C16,C14,C13)</f>
        <v>14165</v>
      </c>
      <c r="E32" s="29"/>
      <c r="F32" s="29"/>
      <c r="G32" s="30" t="s">
        <v>55</v>
      </c>
      <c r="H32" s="31"/>
    </row>
    <row r="33" spans="2:10" ht="24" customHeight="1" x14ac:dyDescent="0.45">
      <c r="B33" s="32" t="s">
        <v>56</v>
      </c>
      <c r="C33" s="45">
        <f>SUM(C15)</f>
        <v>17200</v>
      </c>
      <c r="E33" s="33" t="s">
        <v>57</v>
      </c>
      <c r="F33" s="34"/>
      <c r="G33" s="35"/>
      <c r="H33" s="36"/>
      <c r="I33" s="35"/>
      <c r="J33" s="37"/>
    </row>
    <row r="34" spans="2:10" ht="18.75" customHeight="1" x14ac:dyDescent="0.35">
      <c r="B34" s="38" t="s">
        <v>20</v>
      </c>
      <c r="C34" s="46">
        <f>SUM(C31:C33)</f>
        <v>36320</v>
      </c>
      <c r="G34" s="30"/>
      <c r="H34" s="31"/>
      <c r="I34" s="30"/>
      <c r="J34" s="30"/>
    </row>
  </sheetData>
  <mergeCells count="6">
    <mergeCell ref="A3:K3"/>
    <mergeCell ref="A2:K2"/>
    <mergeCell ref="G31:H31"/>
    <mergeCell ref="A1:K1"/>
    <mergeCell ref="A23:K23"/>
    <mergeCell ref="A9:K9"/>
  </mergeCells>
  <pageMargins left="0" right="0" top="0.39370078740157483" bottom="0" header="0" footer="0"/>
  <pageSetup scale="8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2"/>
  <sheetViews>
    <sheetView workbookViewId="0">
      <selection activeCell="A9" sqref="A9:K9"/>
    </sheetView>
  </sheetViews>
  <sheetFormatPr defaultRowHeight="14.4" x14ac:dyDescent="0.3"/>
  <cols>
    <col min="1" max="1" width="4.44140625" bestFit="1" customWidth="1"/>
    <col min="2" max="2" width="20.1093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9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58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14</v>
      </c>
      <c r="C5" s="47">
        <v>32100</v>
      </c>
      <c r="D5" s="4">
        <v>46236</v>
      </c>
      <c r="E5" s="5">
        <v>0</v>
      </c>
      <c r="F5" s="3" t="s">
        <v>15</v>
      </c>
      <c r="G5" s="39">
        <v>7100</v>
      </c>
      <c r="H5" s="6">
        <v>0</v>
      </c>
      <c r="I5" s="3" t="s">
        <v>16</v>
      </c>
      <c r="J5" s="4">
        <f>+D5-1</f>
        <v>46235</v>
      </c>
      <c r="K5" s="7" t="s">
        <v>17</v>
      </c>
    </row>
    <row r="6" spans="1:11" ht="15.75" customHeight="1" x14ac:dyDescent="0.3">
      <c r="A6" s="3">
        <v>2</v>
      </c>
      <c r="B6" s="3" t="s">
        <v>59</v>
      </c>
      <c r="C6" s="47">
        <v>1350</v>
      </c>
      <c r="D6" s="4">
        <v>46236</v>
      </c>
      <c r="E6" s="5">
        <v>0</v>
      </c>
      <c r="F6" s="3" t="s">
        <v>15</v>
      </c>
      <c r="G6" s="39">
        <v>7172</v>
      </c>
      <c r="H6" s="6">
        <v>0</v>
      </c>
      <c r="I6" s="3" t="s">
        <v>16</v>
      </c>
      <c r="J6" s="4">
        <f>+D6-1</f>
        <v>46235</v>
      </c>
      <c r="K6" s="7" t="s">
        <v>25</v>
      </c>
    </row>
    <row r="7" spans="1:11" ht="18.75" customHeight="1" x14ac:dyDescent="0.35">
      <c r="A7" s="8"/>
      <c r="B7" s="9" t="s">
        <v>20</v>
      </c>
      <c r="C7" s="48">
        <f>SUM(C5:C6)</f>
        <v>33450</v>
      </c>
      <c r="D7" s="3"/>
      <c r="E7" s="11"/>
      <c r="F7" s="8"/>
      <c r="G7" s="12"/>
      <c r="H7" s="10">
        <f>SUM(H5:H5)</f>
        <v>0</v>
      </c>
      <c r="I7" s="8"/>
      <c r="J7" s="8"/>
      <c r="K7" s="8"/>
    </row>
    <row r="9" spans="1:11" ht="24" customHeight="1" x14ac:dyDescent="0.45">
      <c r="A9" s="70" t="s">
        <v>21</v>
      </c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1" ht="15.75" customHeight="1" x14ac:dyDescent="0.3">
      <c r="A10" s="3">
        <v>1</v>
      </c>
      <c r="B10" s="3" t="s">
        <v>60</v>
      </c>
      <c r="C10" s="47">
        <v>440</v>
      </c>
      <c r="D10" s="4">
        <v>46236</v>
      </c>
      <c r="E10" s="13">
        <v>0</v>
      </c>
      <c r="F10" s="12" t="s">
        <v>23</v>
      </c>
      <c r="G10" s="41">
        <v>3726</v>
      </c>
      <c r="H10" s="14">
        <v>0</v>
      </c>
      <c r="I10" s="3" t="s">
        <v>24</v>
      </c>
      <c r="J10" s="4">
        <f>+D10+1</f>
        <v>46237</v>
      </c>
      <c r="K10" s="12" t="s">
        <v>28</v>
      </c>
    </row>
    <row r="11" spans="1:11" ht="15.75" customHeight="1" x14ac:dyDescent="0.3">
      <c r="A11" s="3">
        <v>2</v>
      </c>
      <c r="B11" s="3" t="s">
        <v>60</v>
      </c>
      <c r="C11" s="47">
        <v>2000</v>
      </c>
      <c r="D11" s="4">
        <f>+D10</f>
        <v>46236</v>
      </c>
      <c r="E11" s="13">
        <v>0</v>
      </c>
      <c r="F11" s="12" t="s">
        <v>23</v>
      </c>
      <c r="G11" s="41">
        <v>2509</v>
      </c>
      <c r="H11" s="14">
        <v>0</v>
      </c>
      <c r="I11" s="3" t="s">
        <v>16</v>
      </c>
      <c r="J11" s="4">
        <f>+D11+1</f>
        <v>46237</v>
      </c>
      <c r="K11" s="12" t="s">
        <v>28</v>
      </c>
    </row>
    <row r="12" spans="1:11" ht="18.75" customHeight="1" x14ac:dyDescent="0.35">
      <c r="A12" s="3"/>
      <c r="B12" s="15" t="s">
        <v>20</v>
      </c>
      <c r="C12" s="49">
        <f>SUM(C10:C11)</f>
        <v>2440</v>
      </c>
      <c r="D12" s="3"/>
      <c r="E12" s="3"/>
      <c r="F12" s="12"/>
      <c r="G12" s="12"/>
      <c r="H12" s="10"/>
      <c r="I12" s="3"/>
      <c r="J12" s="3"/>
      <c r="K12" s="3"/>
    </row>
    <row r="13" spans="1:11" ht="21" customHeight="1" x14ac:dyDescent="0.4">
      <c r="A13" s="69" t="s">
        <v>39</v>
      </c>
      <c r="B13" s="63"/>
      <c r="C13" s="63"/>
      <c r="D13" s="63"/>
      <c r="E13" s="63"/>
      <c r="F13" s="63"/>
      <c r="G13" s="63"/>
      <c r="H13" s="63"/>
      <c r="I13" s="63"/>
      <c r="J13" s="63"/>
      <c r="K13" s="64"/>
    </row>
    <row r="14" spans="1:11" ht="18.75" customHeight="1" x14ac:dyDescent="0.35">
      <c r="A14" s="16" t="s">
        <v>3</v>
      </c>
      <c r="B14" s="16" t="s">
        <v>40</v>
      </c>
      <c r="C14" s="40" t="s">
        <v>5</v>
      </c>
      <c r="D14" s="1" t="s">
        <v>41</v>
      </c>
      <c r="E14" s="16" t="s">
        <v>7</v>
      </c>
      <c r="F14" s="16" t="s">
        <v>8</v>
      </c>
      <c r="G14" s="16" t="s">
        <v>42</v>
      </c>
      <c r="H14" s="17" t="s">
        <v>43</v>
      </c>
      <c r="I14" s="16" t="s">
        <v>11</v>
      </c>
      <c r="J14" s="16" t="s">
        <v>44</v>
      </c>
      <c r="K14" s="18" t="s">
        <v>45</v>
      </c>
    </row>
    <row r="15" spans="1:11" ht="15.75" customHeight="1" x14ac:dyDescent="0.3">
      <c r="A15" s="7">
        <v>1</v>
      </c>
      <c r="B15" s="7" t="s">
        <v>46</v>
      </c>
      <c r="C15" s="42">
        <v>19755</v>
      </c>
      <c r="D15" s="4">
        <v>46236</v>
      </c>
      <c r="E15" s="7"/>
      <c r="F15" s="7"/>
      <c r="G15" s="19">
        <v>2191</v>
      </c>
      <c r="H15" s="20"/>
      <c r="I15" s="21"/>
      <c r="J15" s="4">
        <v>46236</v>
      </c>
      <c r="K15" s="12" t="s">
        <v>28</v>
      </c>
    </row>
    <row r="16" spans="1:11" ht="15.75" customHeight="1" x14ac:dyDescent="0.3">
      <c r="A16" s="7">
        <v>2</v>
      </c>
      <c r="B16" s="7" t="s">
        <v>61</v>
      </c>
      <c r="C16" s="42">
        <v>8185</v>
      </c>
      <c r="D16" s="4">
        <v>46236</v>
      </c>
      <c r="E16" s="7"/>
      <c r="F16" s="7"/>
      <c r="G16" s="19">
        <v>9002</v>
      </c>
      <c r="H16" s="20"/>
      <c r="I16" s="21"/>
      <c r="J16" s="4">
        <v>46236</v>
      </c>
      <c r="K16" s="12" t="s">
        <v>62</v>
      </c>
    </row>
    <row r="17" spans="1:11" ht="18.75" customHeight="1" x14ac:dyDescent="0.3">
      <c r="A17" s="7"/>
      <c r="B17" s="22" t="s">
        <v>52</v>
      </c>
      <c r="C17" s="50">
        <f>SUM(C15:C16)</f>
        <v>27940</v>
      </c>
      <c r="D17" s="3"/>
      <c r="E17" s="7"/>
      <c r="F17" s="7"/>
      <c r="G17" s="7"/>
      <c r="H17" s="23">
        <v>0</v>
      </c>
      <c r="I17" s="21"/>
      <c r="J17" s="3"/>
      <c r="K17" s="24"/>
    </row>
    <row r="18" spans="1:11" x14ac:dyDescent="0.3">
      <c r="C18" s="25"/>
      <c r="H18" s="25"/>
    </row>
    <row r="19" spans="1:11" ht="16.5" customHeight="1" x14ac:dyDescent="0.35">
      <c r="B19" s="26" t="s">
        <v>53</v>
      </c>
      <c r="C19" s="43"/>
      <c r="E19" s="27"/>
      <c r="F19" s="27"/>
      <c r="G19" s="66"/>
      <c r="H19" s="67"/>
    </row>
    <row r="20" spans="1:11" ht="16.5" customHeight="1" x14ac:dyDescent="0.35">
      <c r="B20" s="28" t="s">
        <v>54</v>
      </c>
      <c r="C20" s="44">
        <f>SUM(C10,C11)</f>
        <v>2440</v>
      </c>
      <c r="E20" s="29"/>
      <c r="F20" s="29"/>
      <c r="G20" s="30" t="s">
        <v>55</v>
      </c>
      <c r="H20" s="31"/>
    </row>
    <row r="21" spans="1:11" ht="24" customHeight="1" x14ac:dyDescent="0.45">
      <c r="B21" s="32" t="s">
        <v>63</v>
      </c>
      <c r="C21" s="45"/>
      <c r="E21" s="33" t="s">
        <v>57</v>
      </c>
      <c r="F21" s="34"/>
      <c r="G21" s="35"/>
      <c r="H21" s="36"/>
      <c r="I21" s="35"/>
      <c r="J21" s="37"/>
    </row>
    <row r="22" spans="1:11" ht="18.75" customHeight="1" x14ac:dyDescent="0.35">
      <c r="B22" s="38" t="s">
        <v>20</v>
      </c>
      <c r="C22" s="46">
        <f>SUM(C19:C21)</f>
        <v>2440</v>
      </c>
      <c r="G22" s="30"/>
      <c r="H22" s="31"/>
      <c r="I22" s="30"/>
      <c r="J22" s="30"/>
    </row>
  </sheetData>
  <mergeCells count="6">
    <mergeCell ref="A3:K3"/>
    <mergeCell ref="G19:H19"/>
    <mergeCell ref="A2:K2"/>
    <mergeCell ref="A13:K13"/>
    <mergeCell ref="A1:K1"/>
    <mergeCell ref="A9:K9"/>
  </mergeCells>
  <pageMargins left="0.59055118110236215" right="0.15748031496062989" top="0.47244094488188981" bottom="0.23622047244094491" header="0.31496062992125978" footer="0.31496062992125978"/>
  <pageSetup scale="8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1"/>
  <sheetViews>
    <sheetView topLeftCell="A8" workbookViewId="0">
      <selection activeCell="A22" sqref="A22:K22"/>
    </sheetView>
  </sheetViews>
  <sheetFormatPr defaultRowHeight="14.4" x14ac:dyDescent="0.3"/>
  <cols>
    <col min="1" max="1" width="4.44140625" bestFit="1" customWidth="1"/>
    <col min="2" max="2" width="27.554687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6640625" customWidth="1"/>
    <col min="13" max="13" width="13.109375" bestFit="1" customWidth="1"/>
  </cols>
  <sheetData>
    <row r="1" spans="1:13" ht="48.75" customHeight="1" x14ac:dyDescent="0.3">
      <c r="A1" s="73" t="s">
        <v>64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3" ht="28.5" customHeight="1" x14ac:dyDescent="0.55000000000000004">
      <c r="A2" s="72" t="s">
        <v>65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3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3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75" customHeight="1" x14ac:dyDescent="0.3">
      <c r="A5" s="3">
        <v>1</v>
      </c>
      <c r="B5" s="3" t="s">
        <v>18</v>
      </c>
      <c r="C5" s="47">
        <v>500000</v>
      </c>
      <c r="D5" s="4">
        <v>46237</v>
      </c>
      <c r="E5" s="5">
        <v>0</v>
      </c>
      <c r="F5" s="3" t="s">
        <v>15</v>
      </c>
      <c r="G5" s="39">
        <v>301</v>
      </c>
      <c r="H5" s="6">
        <v>0</v>
      </c>
      <c r="I5" s="3" t="s">
        <v>16</v>
      </c>
      <c r="J5" s="4">
        <f>+D5-1</f>
        <v>46236</v>
      </c>
      <c r="K5" s="7" t="s">
        <v>66</v>
      </c>
    </row>
    <row r="6" spans="1:13" ht="15.75" customHeight="1" x14ac:dyDescent="0.3">
      <c r="A6" s="3">
        <v>2</v>
      </c>
      <c r="B6" s="3" t="s">
        <v>14</v>
      </c>
      <c r="C6" s="47">
        <v>52700</v>
      </c>
      <c r="D6" s="4">
        <v>46237</v>
      </c>
      <c r="E6" s="5">
        <v>0</v>
      </c>
      <c r="F6" s="3" t="s">
        <v>15</v>
      </c>
      <c r="G6" s="39">
        <v>7214</v>
      </c>
      <c r="H6" s="6">
        <v>0</v>
      </c>
      <c r="I6" s="3" t="s">
        <v>16</v>
      </c>
      <c r="J6" s="4">
        <f>+D6-1</f>
        <v>46236</v>
      </c>
      <c r="K6" s="7" t="s">
        <v>17</v>
      </c>
      <c r="M6" s="51"/>
    </row>
    <row r="7" spans="1:13" ht="18.75" customHeight="1" x14ac:dyDescent="0.35">
      <c r="A7" s="8"/>
      <c r="B7" s="9" t="s">
        <v>20</v>
      </c>
      <c r="C7" s="48">
        <f>SUM(C5:C6)</f>
        <v>552700</v>
      </c>
      <c r="D7" s="3"/>
      <c r="E7" s="11"/>
      <c r="F7" s="8"/>
      <c r="G7" s="12"/>
      <c r="H7" s="10">
        <f>SUM(H5:H5)</f>
        <v>0</v>
      </c>
      <c r="I7" s="8"/>
      <c r="J7" s="8"/>
      <c r="K7" s="8"/>
    </row>
    <row r="9" spans="1:13" ht="24" customHeight="1" x14ac:dyDescent="0.45">
      <c r="A9" s="70" t="s">
        <v>21</v>
      </c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3" ht="15.75" customHeight="1" x14ac:dyDescent="0.3">
      <c r="A10" s="3">
        <v>1</v>
      </c>
      <c r="B10" s="3" t="s">
        <v>67</v>
      </c>
      <c r="C10" s="47">
        <v>3270</v>
      </c>
      <c r="D10" s="4">
        <v>46237</v>
      </c>
      <c r="E10" s="13">
        <v>0</v>
      </c>
      <c r="F10" s="12" t="s">
        <v>23</v>
      </c>
      <c r="G10" s="41">
        <v>1429</v>
      </c>
      <c r="H10" s="14">
        <v>0</v>
      </c>
      <c r="I10" s="3" t="s">
        <v>24</v>
      </c>
      <c r="J10" s="4">
        <f t="shared" ref="J10:J20" si="0">+D10+1</f>
        <v>46238</v>
      </c>
      <c r="K10" s="12" t="s">
        <v>28</v>
      </c>
    </row>
    <row r="11" spans="1:13" ht="15.75" customHeight="1" x14ac:dyDescent="0.3">
      <c r="A11" s="3">
        <v>2</v>
      </c>
      <c r="B11" s="3" t="s">
        <v>68</v>
      </c>
      <c r="C11" s="47">
        <v>4350</v>
      </c>
      <c r="D11" s="4">
        <f t="shared" ref="D11:D20" si="1">+D10</f>
        <v>46237</v>
      </c>
      <c r="E11" s="13">
        <v>0</v>
      </c>
      <c r="F11" s="12" t="s">
        <v>23</v>
      </c>
      <c r="G11" s="41">
        <v>7549</v>
      </c>
      <c r="H11" s="14">
        <v>0</v>
      </c>
      <c r="I11" s="3" t="s">
        <v>16</v>
      </c>
      <c r="J11" s="4">
        <f t="shared" si="0"/>
        <v>46238</v>
      </c>
      <c r="K11" s="12" t="s">
        <v>25</v>
      </c>
    </row>
    <row r="12" spans="1:13" ht="15.75" customHeight="1" x14ac:dyDescent="0.3">
      <c r="A12" s="3">
        <v>3</v>
      </c>
      <c r="B12" s="3" t="s">
        <v>69</v>
      </c>
      <c r="C12" s="47">
        <v>1300</v>
      </c>
      <c r="D12" s="4">
        <f t="shared" si="1"/>
        <v>46237</v>
      </c>
      <c r="E12" s="13">
        <v>0</v>
      </c>
      <c r="F12" s="12" t="s">
        <v>23</v>
      </c>
      <c r="G12" s="41">
        <v>5598</v>
      </c>
      <c r="H12" s="14">
        <v>0</v>
      </c>
      <c r="I12" s="3" t="s">
        <v>16</v>
      </c>
      <c r="J12" s="4">
        <f t="shared" si="0"/>
        <v>46238</v>
      </c>
      <c r="K12" s="12" t="s">
        <v>70</v>
      </c>
    </row>
    <row r="13" spans="1:13" ht="15.75" customHeight="1" x14ac:dyDescent="0.3">
      <c r="A13" s="3">
        <v>4</v>
      </c>
      <c r="B13" s="3" t="s">
        <v>71</v>
      </c>
      <c r="C13" s="47">
        <v>200</v>
      </c>
      <c r="D13" s="4">
        <f t="shared" si="1"/>
        <v>46237</v>
      </c>
      <c r="E13" s="13">
        <v>0</v>
      </c>
      <c r="F13" s="12" t="s">
        <v>23</v>
      </c>
      <c r="G13" s="41">
        <v>1922</v>
      </c>
      <c r="H13" s="14">
        <v>0</v>
      </c>
      <c r="I13" s="3" t="s">
        <v>16</v>
      </c>
      <c r="J13" s="4">
        <f t="shared" si="0"/>
        <v>46238</v>
      </c>
      <c r="K13" s="12" t="s">
        <v>28</v>
      </c>
    </row>
    <row r="14" spans="1:13" ht="15.75" customHeight="1" x14ac:dyDescent="0.3">
      <c r="A14" s="3">
        <v>5</v>
      </c>
      <c r="B14" s="3" t="s">
        <v>72</v>
      </c>
      <c r="C14" s="47">
        <v>2200</v>
      </c>
      <c r="D14" s="4">
        <f t="shared" si="1"/>
        <v>46237</v>
      </c>
      <c r="E14" s="13">
        <v>0</v>
      </c>
      <c r="F14" s="12" t="s">
        <v>23</v>
      </c>
      <c r="G14" s="52">
        <v>7483</v>
      </c>
      <c r="H14" s="14">
        <v>0</v>
      </c>
      <c r="I14" s="3" t="s">
        <v>16</v>
      </c>
      <c r="J14" s="4">
        <f t="shared" si="0"/>
        <v>46238</v>
      </c>
      <c r="K14" s="12" t="s">
        <v>25</v>
      </c>
    </row>
    <row r="15" spans="1:13" ht="15.75" customHeight="1" x14ac:dyDescent="0.3">
      <c r="A15" s="3">
        <v>6</v>
      </c>
      <c r="B15" s="3" t="s">
        <v>72</v>
      </c>
      <c r="C15" s="47">
        <v>1</v>
      </c>
      <c r="D15" s="4">
        <f t="shared" si="1"/>
        <v>46237</v>
      </c>
      <c r="E15" s="13">
        <v>0</v>
      </c>
      <c r="F15" s="12" t="s">
        <v>23</v>
      </c>
      <c r="G15" s="41">
        <v>1635</v>
      </c>
      <c r="H15" s="14">
        <v>0</v>
      </c>
      <c r="I15" s="3" t="s">
        <v>16</v>
      </c>
      <c r="J15" s="4">
        <f t="shared" si="0"/>
        <v>46238</v>
      </c>
      <c r="K15" s="12" t="s">
        <v>73</v>
      </c>
    </row>
    <row r="16" spans="1:13" ht="15.75" customHeight="1" x14ac:dyDescent="0.3">
      <c r="A16" s="3">
        <v>7</v>
      </c>
      <c r="B16" s="3" t="s">
        <v>74</v>
      </c>
      <c r="C16" s="47">
        <v>1030</v>
      </c>
      <c r="D16" s="4">
        <f t="shared" si="1"/>
        <v>46237</v>
      </c>
      <c r="E16" s="13">
        <v>0</v>
      </c>
      <c r="F16" s="12" t="s">
        <v>23</v>
      </c>
      <c r="G16" s="41">
        <v>5809</v>
      </c>
      <c r="H16" s="14">
        <v>0</v>
      </c>
      <c r="I16" s="3" t="s">
        <v>16</v>
      </c>
      <c r="J16" s="4">
        <f t="shared" si="0"/>
        <v>46238</v>
      </c>
      <c r="K16" s="12" t="s">
        <v>28</v>
      </c>
    </row>
    <row r="17" spans="1:11" ht="15.75" customHeight="1" x14ac:dyDescent="0.3">
      <c r="A17" s="3">
        <v>8</v>
      </c>
      <c r="B17" s="3" t="s">
        <v>75</v>
      </c>
      <c r="C17" s="47">
        <v>505</v>
      </c>
      <c r="D17" s="4">
        <f t="shared" si="1"/>
        <v>46237</v>
      </c>
      <c r="E17" s="13">
        <v>0</v>
      </c>
      <c r="F17" s="12" t="s">
        <v>23</v>
      </c>
      <c r="G17" s="41">
        <v>1775</v>
      </c>
      <c r="H17" s="14">
        <v>0</v>
      </c>
      <c r="I17" s="3" t="s">
        <v>16</v>
      </c>
      <c r="J17" s="4">
        <f t="shared" si="0"/>
        <v>46238</v>
      </c>
      <c r="K17" s="12" t="s">
        <v>28</v>
      </c>
    </row>
    <row r="18" spans="1:11" ht="15.75" customHeight="1" x14ac:dyDescent="0.3">
      <c r="A18" s="3">
        <v>9</v>
      </c>
      <c r="B18" s="3" t="s">
        <v>75</v>
      </c>
      <c r="C18" s="47">
        <v>14063</v>
      </c>
      <c r="D18" s="4">
        <f t="shared" si="1"/>
        <v>46237</v>
      </c>
      <c r="E18" s="13">
        <v>0</v>
      </c>
      <c r="F18" s="12" t="s">
        <v>23</v>
      </c>
      <c r="G18" s="41">
        <v>8509</v>
      </c>
      <c r="H18" s="14">
        <v>0</v>
      </c>
      <c r="I18" s="3" t="s">
        <v>16</v>
      </c>
      <c r="J18" s="4">
        <f t="shared" si="0"/>
        <v>46238</v>
      </c>
      <c r="K18" s="12" t="s">
        <v>76</v>
      </c>
    </row>
    <row r="19" spans="1:11" ht="15.75" customHeight="1" x14ac:dyDescent="0.3">
      <c r="A19" s="3">
        <v>10</v>
      </c>
      <c r="B19" s="3" t="s">
        <v>77</v>
      </c>
      <c r="C19" s="47">
        <v>23200</v>
      </c>
      <c r="D19" s="4">
        <f t="shared" si="1"/>
        <v>46237</v>
      </c>
      <c r="E19" s="13">
        <v>0</v>
      </c>
      <c r="F19" s="12" t="s">
        <v>23</v>
      </c>
      <c r="G19" s="41">
        <v>5313</v>
      </c>
      <c r="H19" s="14">
        <v>0</v>
      </c>
      <c r="I19" s="3" t="s">
        <v>16</v>
      </c>
      <c r="J19" s="4">
        <f t="shared" si="0"/>
        <v>46238</v>
      </c>
      <c r="K19" s="12" t="s">
        <v>78</v>
      </c>
    </row>
    <row r="20" spans="1:11" ht="15.75" customHeight="1" x14ac:dyDescent="0.3">
      <c r="A20" s="3">
        <v>11</v>
      </c>
      <c r="B20" s="3" t="s">
        <v>79</v>
      </c>
      <c r="C20" s="47">
        <v>820</v>
      </c>
      <c r="D20" s="4">
        <f t="shared" si="1"/>
        <v>46237</v>
      </c>
      <c r="E20" s="13">
        <v>0</v>
      </c>
      <c r="F20" s="12" t="s">
        <v>23</v>
      </c>
      <c r="G20" s="41">
        <v>35</v>
      </c>
      <c r="H20" s="14">
        <v>0</v>
      </c>
      <c r="I20" s="3" t="s">
        <v>16</v>
      </c>
      <c r="J20" s="4">
        <f t="shared" si="0"/>
        <v>46238</v>
      </c>
      <c r="K20" s="12" t="s">
        <v>28</v>
      </c>
    </row>
    <row r="21" spans="1:11" ht="18.75" customHeight="1" x14ac:dyDescent="0.35">
      <c r="A21" s="3"/>
      <c r="B21" s="15" t="s">
        <v>20</v>
      </c>
      <c r="C21" s="49">
        <f>SUM(C10:C20)</f>
        <v>50939</v>
      </c>
      <c r="D21" s="3"/>
      <c r="E21" s="3"/>
      <c r="F21" s="12"/>
      <c r="G21" s="12"/>
      <c r="H21" s="10"/>
      <c r="I21" s="3"/>
      <c r="J21" s="3"/>
      <c r="K21" s="3"/>
    </row>
    <row r="22" spans="1:11" ht="24.75" customHeight="1" x14ac:dyDescent="0.6">
      <c r="A22" s="71" t="s">
        <v>39</v>
      </c>
      <c r="B22" s="63"/>
      <c r="C22" s="63"/>
      <c r="D22" s="63"/>
      <c r="E22" s="63"/>
      <c r="F22" s="63"/>
      <c r="G22" s="63"/>
      <c r="H22" s="63"/>
      <c r="I22" s="63"/>
      <c r="J22" s="63"/>
      <c r="K22" s="64"/>
    </row>
    <row r="23" spans="1:11" ht="18.75" customHeight="1" x14ac:dyDescent="0.35">
      <c r="A23" s="16" t="s">
        <v>3</v>
      </c>
      <c r="B23" s="16" t="s">
        <v>40</v>
      </c>
      <c r="C23" s="40" t="s">
        <v>5</v>
      </c>
      <c r="D23" s="1" t="s">
        <v>41</v>
      </c>
      <c r="E23" s="16" t="s">
        <v>7</v>
      </c>
      <c r="F23" s="16" t="s">
        <v>8</v>
      </c>
      <c r="G23" s="16" t="s">
        <v>42</v>
      </c>
      <c r="H23" s="17" t="s">
        <v>43</v>
      </c>
      <c r="I23" s="16" t="s">
        <v>11</v>
      </c>
      <c r="J23" s="16" t="s">
        <v>44</v>
      </c>
      <c r="K23" s="18" t="s">
        <v>45</v>
      </c>
    </row>
    <row r="24" spans="1:11" ht="15.75" customHeight="1" x14ac:dyDescent="0.3">
      <c r="A24" s="7">
        <v>1</v>
      </c>
      <c r="B24" s="7" t="s">
        <v>80</v>
      </c>
      <c r="C24" s="42">
        <v>500000</v>
      </c>
      <c r="D24" s="4">
        <v>46237</v>
      </c>
      <c r="E24" s="7"/>
      <c r="F24" s="7"/>
      <c r="G24" s="19">
        <v>28</v>
      </c>
      <c r="H24" s="20"/>
      <c r="I24" s="21"/>
      <c r="J24" s="4">
        <v>46237</v>
      </c>
      <c r="K24" s="12" t="s">
        <v>81</v>
      </c>
    </row>
    <row r="25" spans="1:11" ht="15" customHeight="1" x14ac:dyDescent="0.3">
      <c r="A25" s="7">
        <v>2</v>
      </c>
      <c r="B25" s="7" t="s">
        <v>47</v>
      </c>
      <c r="C25" s="42">
        <v>34846</v>
      </c>
      <c r="D25" s="4">
        <v>46237</v>
      </c>
      <c r="E25" s="7"/>
      <c r="F25" s="7"/>
      <c r="G25" s="19">
        <v>156</v>
      </c>
      <c r="H25" s="20"/>
      <c r="I25" s="21"/>
      <c r="J25" s="4">
        <v>46237</v>
      </c>
      <c r="K25" s="12" t="s">
        <v>28</v>
      </c>
    </row>
    <row r="26" spans="1:11" ht="18.75" customHeight="1" x14ac:dyDescent="0.3">
      <c r="A26" s="7"/>
      <c r="B26" s="22" t="s">
        <v>52</v>
      </c>
      <c r="C26" s="50">
        <f>SUM(C24:C25)</f>
        <v>534846</v>
      </c>
      <c r="D26" s="3"/>
      <c r="E26" s="7"/>
      <c r="F26" s="7"/>
      <c r="G26" s="7"/>
      <c r="H26" s="23">
        <v>0</v>
      </c>
      <c r="I26" s="21"/>
      <c r="J26" s="3"/>
      <c r="K26" s="24"/>
    </row>
    <row r="27" spans="1:11" x14ac:dyDescent="0.3">
      <c r="C27" s="25"/>
      <c r="H27" s="25"/>
    </row>
    <row r="28" spans="1:11" ht="16.5" customHeight="1" x14ac:dyDescent="0.35">
      <c r="B28" s="26" t="s">
        <v>53</v>
      </c>
      <c r="C28" s="43">
        <f>SUM(C11,C12,C14,C15,C18)</f>
        <v>21914</v>
      </c>
      <c r="E28" s="27"/>
      <c r="F28" s="27"/>
      <c r="G28" s="66"/>
      <c r="H28" s="67"/>
    </row>
    <row r="29" spans="1:11" ht="16.5" customHeight="1" x14ac:dyDescent="0.35">
      <c r="B29" s="28" t="s">
        <v>54</v>
      </c>
      <c r="C29" s="44">
        <f>SUM(C20,C17,C16,C13,C10)</f>
        <v>5825</v>
      </c>
      <c r="E29" s="29"/>
      <c r="F29" s="29"/>
      <c r="G29" s="30" t="s">
        <v>55</v>
      </c>
      <c r="H29" s="31"/>
    </row>
    <row r="30" spans="1:11" ht="24" customHeight="1" x14ac:dyDescent="0.45">
      <c r="B30" s="32" t="s">
        <v>82</v>
      </c>
      <c r="C30" s="45">
        <f>SUM(C19)</f>
        <v>23200</v>
      </c>
      <c r="E30" s="33" t="s">
        <v>57</v>
      </c>
      <c r="F30" s="34"/>
      <c r="G30" s="35"/>
      <c r="H30" s="36"/>
      <c r="I30" s="35"/>
      <c r="J30" s="37"/>
    </row>
    <row r="31" spans="1:11" ht="18.75" customHeight="1" x14ac:dyDescent="0.35">
      <c r="B31" s="38" t="s">
        <v>20</v>
      </c>
      <c r="C31" s="46">
        <f>SUM(C28:C30)</f>
        <v>50939</v>
      </c>
      <c r="G31" s="30"/>
      <c r="H31" s="31"/>
      <c r="I31" s="30"/>
      <c r="J31" s="30"/>
    </row>
  </sheetData>
  <mergeCells count="6">
    <mergeCell ref="A22:K22"/>
    <mergeCell ref="A3:K3"/>
    <mergeCell ref="A2:K2"/>
    <mergeCell ref="G28:H28"/>
    <mergeCell ref="A1:K1"/>
    <mergeCell ref="A9:K9"/>
  </mergeCells>
  <pageMargins left="0" right="0" top="0" bottom="0" header="0" footer="0"/>
  <pageSetup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6"/>
  <sheetViews>
    <sheetView topLeftCell="A10" workbookViewId="0">
      <selection activeCell="R20" sqref="R20"/>
    </sheetView>
  </sheetViews>
  <sheetFormatPr defaultRowHeight="14.4" x14ac:dyDescent="0.3"/>
  <cols>
    <col min="1" max="1" width="4.44140625" bestFit="1" customWidth="1"/>
    <col min="2" max="2" width="25.332031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2.33203125" customWidth="1"/>
  </cols>
  <sheetData>
    <row r="1" spans="1:11" ht="48.75" customHeight="1" x14ac:dyDescent="0.3">
      <c r="A1" s="73" t="s">
        <v>64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8.5" customHeight="1" x14ac:dyDescent="0.55000000000000004">
      <c r="A2" s="72" t="s">
        <v>83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46238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46237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86</v>
      </c>
      <c r="C9" s="47">
        <v>1800</v>
      </c>
      <c r="D9" s="4">
        <v>46238</v>
      </c>
      <c r="E9" s="13">
        <v>0</v>
      </c>
      <c r="F9" s="12" t="s">
        <v>23</v>
      </c>
      <c r="G9" s="41">
        <v>4644</v>
      </c>
      <c r="H9" s="14">
        <v>0</v>
      </c>
      <c r="I9" s="3" t="s">
        <v>24</v>
      </c>
      <c r="J9" s="4">
        <f t="shared" ref="J9:J14" si="0">+D9+1</f>
        <v>46239</v>
      </c>
      <c r="K9" s="12" t="s">
        <v>87</v>
      </c>
    </row>
    <row r="10" spans="1:11" ht="15.75" customHeight="1" x14ac:dyDescent="0.3">
      <c r="A10" s="3">
        <v>2</v>
      </c>
      <c r="B10" s="3" t="s">
        <v>88</v>
      </c>
      <c r="C10" s="47">
        <v>1350</v>
      </c>
      <c r="D10" s="4">
        <f>+D9</f>
        <v>46238</v>
      </c>
      <c r="E10" s="13">
        <v>0</v>
      </c>
      <c r="F10" s="12" t="s">
        <v>23</v>
      </c>
      <c r="G10" s="41">
        <v>677</v>
      </c>
      <c r="H10" s="14">
        <v>0</v>
      </c>
      <c r="I10" s="3" t="s">
        <v>16</v>
      </c>
      <c r="J10" s="4">
        <f t="shared" si="0"/>
        <v>46239</v>
      </c>
      <c r="K10" s="12" t="s">
        <v>89</v>
      </c>
    </row>
    <row r="11" spans="1:11" ht="15.75" customHeight="1" x14ac:dyDescent="0.3">
      <c r="A11" s="3">
        <v>3</v>
      </c>
      <c r="B11" s="3" t="s">
        <v>88</v>
      </c>
      <c r="C11" s="47">
        <v>5</v>
      </c>
      <c r="D11" s="4">
        <f>+D10</f>
        <v>46238</v>
      </c>
      <c r="E11" s="13">
        <v>0</v>
      </c>
      <c r="F11" s="12" t="s">
        <v>23</v>
      </c>
      <c r="G11" s="41">
        <v>8997</v>
      </c>
      <c r="H11" s="14">
        <v>0</v>
      </c>
      <c r="I11" s="3" t="s">
        <v>16</v>
      </c>
      <c r="J11" s="4">
        <f t="shared" si="0"/>
        <v>46239</v>
      </c>
      <c r="K11" s="12" t="s">
        <v>89</v>
      </c>
    </row>
    <row r="12" spans="1:11" ht="15.75" customHeight="1" x14ac:dyDescent="0.3">
      <c r="A12" s="3">
        <v>4</v>
      </c>
      <c r="B12" s="3" t="s">
        <v>90</v>
      </c>
      <c r="C12" s="47">
        <v>940</v>
      </c>
      <c r="D12" s="4">
        <f>+D11</f>
        <v>46238</v>
      </c>
      <c r="E12" s="13">
        <v>0</v>
      </c>
      <c r="F12" s="12" t="s">
        <v>23</v>
      </c>
      <c r="G12" s="41">
        <v>3280</v>
      </c>
      <c r="H12" s="14">
        <v>0</v>
      </c>
      <c r="I12" s="3" t="s">
        <v>16</v>
      </c>
      <c r="J12" s="4">
        <f t="shared" si="0"/>
        <v>46239</v>
      </c>
      <c r="K12" s="12" t="s">
        <v>28</v>
      </c>
    </row>
    <row r="13" spans="1:11" ht="15.75" customHeight="1" x14ac:dyDescent="0.3">
      <c r="A13" s="3">
        <v>5</v>
      </c>
      <c r="B13" s="3" t="s">
        <v>91</v>
      </c>
      <c r="C13" s="47">
        <v>2900</v>
      </c>
      <c r="D13" s="4">
        <f>+D12</f>
        <v>46238</v>
      </c>
      <c r="E13" s="13">
        <v>0</v>
      </c>
      <c r="F13" s="12" t="s">
        <v>23</v>
      </c>
      <c r="G13" s="41">
        <v>1143</v>
      </c>
      <c r="H13" s="14">
        <v>0</v>
      </c>
      <c r="I13" s="3" t="s">
        <v>16</v>
      </c>
      <c r="J13" s="4">
        <f t="shared" si="0"/>
        <v>46239</v>
      </c>
      <c r="K13" s="12" t="s">
        <v>28</v>
      </c>
    </row>
    <row r="14" spans="1:11" ht="15.75" customHeight="1" x14ac:dyDescent="0.3">
      <c r="A14" s="3">
        <v>6</v>
      </c>
      <c r="B14" s="3" t="s">
        <v>92</v>
      </c>
      <c r="C14" s="47">
        <v>1280</v>
      </c>
      <c r="D14" s="4">
        <f>+D13</f>
        <v>46238</v>
      </c>
      <c r="E14" s="13">
        <v>0</v>
      </c>
      <c r="F14" s="12" t="s">
        <v>23</v>
      </c>
      <c r="G14" s="41">
        <v>7445</v>
      </c>
      <c r="H14" s="14">
        <v>0</v>
      </c>
      <c r="I14" s="3" t="s">
        <v>16</v>
      </c>
      <c r="J14" s="4">
        <f t="shared" si="0"/>
        <v>46239</v>
      </c>
      <c r="K14" s="12" t="s">
        <v>73</v>
      </c>
    </row>
    <row r="15" spans="1:11" ht="18.75" customHeight="1" x14ac:dyDescent="0.35">
      <c r="A15" s="3"/>
      <c r="B15" s="15" t="s">
        <v>20</v>
      </c>
      <c r="C15" s="49">
        <f>SUM(C9:C14)</f>
        <v>8275</v>
      </c>
      <c r="D15" s="3"/>
      <c r="E15" s="3"/>
      <c r="F15" s="12"/>
      <c r="G15" s="12"/>
      <c r="H15" s="10"/>
      <c r="I15" s="3"/>
      <c r="J15" s="3"/>
      <c r="K15" s="3"/>
    </row>
    <row r="16" spans="1:11" ht="24.75" customHeight="1" x14ac:dyDescent="0.6">
      <c r="A16" s="71" t="s">
        <v>39</v>
      </c>
      <c r="B16" s="63"/>
      <c r="C16" s="63"/>
      <c r="D16" s="63"/>
      <c r="E16" s="63"/>
      <c r="F16" s="63"/>
      <c r="G16" s="63"/>
      <c r="H16" s="63"/>
      <c r="I16" s="63"/>
      <c r="J16" s="63"/>
      <c r="K16" s="64"/>
    </row>
    <row r="17" spans="1:11" ht="18.75" customHeight="1" x14ac:dyDescent="0.35">
      <c r="A17" s="16" t="s">
        <v>3</v>
      </c>
      <c r="B17" s="16" t="s">
        <v>40</v>
      </c>
      <c r="C17" s="40" t="s">
        <v>5</v>
      </c>
      <c r="D17" s="1" t="s">
        <v>41</v>
      </c>
      <c r="E17" s="16" t="s">
        <v>7</v>
      </c>
      <c r="F17" s="16" t="s">
        <v>8</v>
      </c>
      <c r="G17" s="16" t="s">
        <v>42</v>
      </c>
      <c r="H17" s="17" t="s">
        <v>43</v>
      </c>
      <c r="I17" s="16" t="s">
        <v>11</v>
      </c>
      <c r="J17" s="16" t="s">
        <v>44</v>
      </c>
      <c r="K17" s="18" t="s">
        <v>45</v>
      </c>
    </row>
    <row r="18" spans="1:11" ht="15.75" customHeight="1" x14ac:dyDescent="0.3">
      <c r="A18" s="7">
        <v>1</v>
      </c>
      <c r="B18" s="7" t="s">
        <v>46</v>
      </c>
      <c r="C18" s="42">
        <v>22720</v>
      </c>
      <c r="D18" s="4">
        <v>46238</v>
      </c>
      <c r="E18" s="7"/>
      <c r="F18" s="7"/>
      <c r="G18" s="19">
        <v>9894</v>
      </c>
      <c r="H18" s="20"/>
      <c r="I18" s="21"/>
      <c r="J18" s="4">
        <v>46238</v>
      </c>
      <c r="K18" s="12" t="s">
        <v>28</v>
      </c>
    </row>
    <row r="19" spans="1:11" ht="15.75" customHeight="1" x14ac:dyDescent="0.3">
      <c r="A19" s="7">
        <v>2</v>
      </c>
      <c r="B19" s="7" t="s">
        <v>93</v>
      </c>
      <c r="C19" s="42">
        <v>6453.47</v>
      </c>
      <c r="D19" s="4">
        <v>46238</v>
      </c>
      <c r="E19" s="7"/>
      <c r="F19" s="7"/>
      <c r="G19" s="19">
        <v>6427</v>
      </c>
      <c r="H19" s="20"/>
      <c r="I19" s="21"/>
      <c r="J19" s="4">
        <v>46238</v>
      </c>
      <c r="K19" s="12" t="s">
        <v>94</v>
      </c>
    </row>
    <row r="20" spans="1:11" ht="15.75" customHeight="1" x14ac:dyDescent="0.3">
      <c r="A20" s="7">
        <v>3</v>
      </c>
      <c r="B20" s="7" t="s">
        <v>46</v>
      </c>
      <c r="C20" s="42">
        <v>25080</v>
      </c>
      <c r="D20" s="4">
        <v>46238</v>
      </c>
      <c r="E20" s="7"/>
      <c r="F20" s="7"/>
      <c r="G20" s="19">
        <v>4028</v>
      </c>
      <c r="H20" s="20"/>
      <c r="I20" s="21"/>
      <c r="J20" s="4">
        <v>46238</v>
      </c>
      <c r="K20" s="12" t="s">
        <v>28</v>
      </c>
    </row>
    <row r="21" spans="1:11" ht="18.75" customHeight="1" x14ac:dyDescent="0.3">
      <c r="A21" s="7"/>
      <c r="B21" s="22" t="s">
        <v>52</v>
      </c>
      <c r="C21" s="50">
        <f>SUM(C18:C20)</f>
        <v>54253.47</v>
      </c>
      <c r="D21" s="3"/>
      <c r="E21" s="7"/>
      <c r="F21" s="7"/>
      <c r="G21" s="7"/>
      <c r="H21" s="23">
        <v>0</v>
      </c>
      <c r="I21" s="21"/>
      <c r="J21" s="3"/>
      <c r="K21" s="24"/>
    </row>
    <row r="22" spans="1:11" x14ac:dyDescent="0.3">
      <c r="C22" s="25"/>
      <c r="H22" s="25"/>
    </row>
    <row r="23" spans="1:11" ht="16.5" customHeight="1" x14ac:dyDescent="0.35">
      <c r="B23" s="26" t="s">
        <v>53</v>
      </c>
      <c r="C23" s="43">
        <f>SUM(C10,C11,C14)</f>
        <v>2635</v>
      </c>
      <c r="E23" s="27"/>
      <c r="F23" s="27"/>
      <c r="G23" s="66"/>
      <c r="H23" s="67"/>
    </row>
    <row r="24" spans="1:11" ht="16.5" customHeight="1" x14ac:dyDescent="0.35">
      <c r="B24" s="28" t="s">
        <v>54</v>
      </c>
      <c r="C24" s="44">
        <f>SUM(C12,C13,C9)</f>
        <v>5640</v>
      </c>
      <c r="E24" s="29"/>
      <c r="F24" s="29"/>
      <c r="G24" s="30" t="s">
        <v>55</v>
      </c>
      <c r="H24" s="31"/>
    </row>
    <row r="25" spans="1:11" ht="24" customHeight="1" x14ac:dyDescent="0.45">
      <c r="B25" s="32" t="s">
        <v>63</v>
      </c>
      <c r="C25" s="45"/>
      <c r="E25" s="33" t="s">
        <v>57</v>
      </c>
      <c r="F25" s="34"/>
      <c r="G25" s="35"/>
      <c r="H25" s="36"/>
      <c r="I25" s="35"/>
      <c r="J25" s="37"/>
    </row>
    <row r="26" spans="1:11" ht="18.75" customHeight="1" x14ac:dyDescent="0.35">
      <c r="B26" s="38" t="s">
        <v>20</v>
      </c>
      <c r="C26" s="46">
        <f>SUM(C23:C25)</f>
        <v>8275</v>
      </c>
      <c r="G26" s="30"/>
      <c r="H26" s="31"/>
      <c r="I26" s="30"/>
      <c r="J26" s="30"/>
    </row>
  </sheetData>
  <mergeCells count="6">
    <mergeCell ref="A3:K3"/>
    <mergeCell ref="A2:K2"/>
    <mergeCell ref="A16:K16"/>
    <mergeCell ref="G23:H23"/>
    <mergeCell ref="A1:K1"/>
    <mergeCell ref="A8:K8"/>
  </mergeCells>
  <pageMargins left="0" right="0" top="0" bottom="0" header="0" footer="0"/>
  <pageSetup scale="8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activeCell="E18" sqref="E18"/>
    </sheetView>
  </sheetViews>
  <sheetFormatPr defaultRowHeight="14.4" x14ac:dyDescent="0.3"/>
  <cols>
    <col min="1" max="1" width="4.44140625" bestFit="1" customWidth="1"/>
    <col min="2" max="2" width="23.5546875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.33203125" customWidth="1"/>
    <col min="13" max="13" width="13.109375" bestFit="1" customWidth="1"/>
  </cols>
  <sheetData>
    <row r="1" spans="1:13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3" ht="21" customHeight="1" x14ac:dyDescent="0.4">
      <c r="A2" s="65" t="s">
        <v>95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3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3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3" ht="15.75" customHeight="1" x14ac:dyDescent="0.3">
      <c r="A5" s="3">
        <v>1</v>
      </c>
      <c r="B5" s="3" t="s">
        <v>14</v>
      </c>
      <c r="C5" s="47">
        <v>73500</v>
      </c>
      <c r="D5" s="4">
        <v>46239</v>
      </c>
      <c r="E5" s="5">
        <v>0</v>
      </c>
      <c r="F5" s="3" t="s">
        <v>15</v>
      </c>
      <c r="G5" s="39">
        <v>2948</v>
      </c>
      <c r="H5" s="6">
        <v>0</v>
      </c>
      <c r="I5" s="3" t="s">
        <v>16</v>
      </c>
      <c r="J5" s="4">
        <f>+D5-1</f>
        <v>46238</v>
      </c>
      <c r="K5" s="7" t="s">
        <v>96</v>
      </c>
    </row>
    <row r="6" spans="1:13" ht="15.75" customHeight="1" x14ac:dyDescent="0.3">
      <c r="A6" s="3">
        <v>2</v>
      </c>
      <c r="B6" s="3" t="s">
        <v>14</v>
      </c>
      <c r="C6" s="47">
        <v>1000</v>
      </c>
      <c r="D6" s="4">
        <v>46239</v>
      </c>
      <c r="E6" s="5">
        <v>0</v>
      </c>
      <c r="F6" s="3" t="s">
        <v>15</v>
      </c>
      <c r="G6" s="39">
        <v>2951</v>
      </c>
      <c r="H6" s="6">
        <v>0</v>
      </c>
      <c r="I6" s="3" t="s">
        <v>16</v>
      </c>
      <c r="J6" s="4">
        <f>+D6-1</f>
        <v>46238</v>
      </c>
      <c r="K6" s="7" t="s">
        <v>96</v>
      </c>
    </row>
    <row r="7" spans="1:13" ht="15.75" customHeight="1" x14ac:dyDescent="0.3">
      <c r="A7" s="3">
        <v>3</v>
      </c>
      <c r="B7" s="3" t="s">
        <v>14</v>
      </c>
      <c r="C7" s="47">
        <v>500</v>
      </c>
      <c r="D7" s="4">
        <v>46239</v>
      </c>
      <c r="E7" s="5">
        <v>0</v>
      </c>
      <c r="F7" s="3" t="s">
        <v>15</v>
      </c>
      <c r="G7" s="39">
        <v>2954</v>
      </c>
      <c r="H7" s="6">
        <v>0</v>
      </c>
      <c r="I7" s="3" t="s">
        <v>16</v>
      </c>
      <c r="J7" s="4">
        <f>+D7-1</f>
        <v>46238</v>
      </c>
      <c r="K7" s="7" t="s">
        <v>96</v>
      </c>
    </row>
    <row r="8" spans="1:13" ht="15.75" customHeight="1" x14ac:dyDescent="0.3">
      <c r="A8" s="3">
        <v>4</v>
      </c>
      <c r="B8" s="3" t="s">
        <v>14</v>
      </c>
      <c r="C8" s="47">
        <v>89500</v>
      </c>
      <c r="D8" s="4">
        <v>46239</v>
      </c>
      <c r="E8" s="5">
        <v>0</v>
      </c>
      <c r="F8" s="3" t="s">
        <v>15</v>
      </c>
      <c r="G8" s="39">
        <v>7388</v>
      </c>
      <c r="H8" s="6">
        <v>0</v>
      </c>
      <c r="I8" s="3" t="s">
        <v>16</v>
      </c>
      <c r="J8" s="4">
        <f>+D8-1</f>
        <v>46238</v>
      </c>
      <c r="K8" s="7" t="s">
        <v>17</v>
      </c>
    </row>
    <row r="9" spans="1:13" ht="15.75" customHeight="1" x14ac:dyDescent="0.3">
      <c r="A9" s="3"/>
      <c r="B9" s="3" t="s">
        <v>14</v>
      </c>
      <c r="C9" s="47">
        <v>4000</v>
      </c>
      <c r="D9" s="4">
        <v>46239</v>
      </c>
      <c r="E9" s="5">
        <v>0</v>
      </c>
      <c r="F9" s="3" t="s">
        <v>15</v>
      </c>
      <c r="G9" s="39">
        <v>7391</v>
      </c>
      <c r="H9" s="6">
        <v>0</v>
      </c>
      <c r="I9" s="3" t="s">
        <v>16</v>
      </c>
      <c r="J9" s="4">
        <f>+D9-1</f>
        <v>46238</v>
      </c>
      <c r="K9" s="7" t="s">
        <v>17</v>
      </c>
    </row>
    <row r="10" spans="1:13" ht="18.75" customHeight="1" x14ac:dyDescent="0.35">
      <c r="A10" s="8"/>
      <c r="B10" s="9" t="s">
        <v>20</v>
      </c>
      <c r="C10" s="48">
        <f>SUM(C5:C9)</f>
        <v>168500</v>
      </c>
      <c r="D10" s="3"/>
      <c r="E10" s="11"/>
      <c r="F10" s="3"/>
      <c r="G10" s="12"/>
      <c r="H10" s="10">
        <f>SUM(H5:H5)</f>
        <v>0</v>
      </c>
      <c r="I10" s="8"/>
      <c r="J10" s="8"/>
      <c r="K10" s="8"/>
      <c r="M10" s="51"/>
    </row>
    <row r="11" spans="1:13" x14ac:dyDescent="0.3">
      <c r="M11" s="51"/>
    </row>
    <row r="12" spans="1:13" ht="24" customHeight="1" x14ac:dyDescent="0.45">
      <c r="A12" s="70" t="s">
        <v>21</v>
      </c>
      <c r="B12" s="63"/>
      <c r="C12" s="63"/>
      <c r="D12" s="63"/>
      <c r="E12" s="63"/>
      <c r="F12" s="63"/>
      <c r="G12" s="63"/>
      <c r="H12" s="63"/>
      <c r="I12" s="63"/>
      <c r="J12" s="63"/>
      <c r="K12" s="64"/>
    </row>
    <row r="13" spans="1:13" ht="15.75" customHeight="1" x14ac:dyDescent="0.3">
      <c r="A13" s="3">
        <v>1</v>
      </c>
      <c r="B13" s="3" t="s">
        <v>97</v>
      </c>
      <c r="C13" s="47">
        <v>19013</v>
      </c>
      <c r="D13" s="4">
        <v>46239</v>
      </c>
      <c r="E13" s="13">
        <v>0</v>
      </c>
      <c r="F13" s="12" t="s">
        <v>23</v>
      </c>
      <c r="G13" s="41">
        <v>2598</v>
      </c>
      <c r="H13" s="14">
        <v>0</v>
      </c>
      <c r="I13" s="3" t="s">
        <v>24</v>
      </c>
      <c r="J13" s="4">
        <f t="shared" ref="J13:J19" si="0">+D13+1</f>
        <v>46240</v>
      </c>
      <c r="K13" s="12" t="s">
        <v>98</v>
      </c>
    </row>
    <row r="14" spans="1:13" ht="15.75" customHeight="1" x14ac:dyDescent="0.3">
      <c r="A14" s="3">
        <v>2</v>
      </c>
      <c r="B14" s="3" t="s">
        <v>99</v>
      </c>
      <c r="C14" s="47">
        <v>1150</v>
      </c>
      <c r="D14" s="4">
        <f t="shared" ref="D14:D19" si="1">+D13</f>
        <v>46239</v>
      </c>
      <c r="E14" s="13">
        <v>0</v>
      </c>
      <c r="F14" s="12" t="s">
        <v>23</v>
      </c>
      <c r="G14" s="41">
        <v>6947</v>
      </c>
      <c r="H14" s="14">
        <v>0</v>
      </c>
      <c r="I14" s="3" t="s">
        <v>16</v>
      </c>
      <c r="J14" s="4">
        <f t="shared" si="0"/>
        <v>46240</v>
      </c>
      <c r="K14" s="12" t="s">
        <v>73</v>
      </c>
    </row>
    <row r="15" spans="1:13" ht="15.75" customHeight="1" x14ac:dyDescent="0.3">
      <c r="A15" s="3">
        <v>3</v>
      </c>
      <c r="B15" s="3" t="s">
        <v>99</v>
      </c>
      <c r="C15" s="47">
        <v>2000</v>
      </c>
      <c r="D15" s="4">
        <f t="shared" si="1"/>
        <v>46239</v>
      </c>
      <c r="E15" s="13">
        <v>0</v>
      </c>
      <c r="F15" s="12" t="s">
        <v>23</v>
      </c>
      <c r="G15" s="41">
        <v>7470</v>
      </c>
      <c r="H15" s="14">
        <v>0</v>
      </c>
      <c r="I15" s="3" t="s">
        <v>16</v>
      </c>
      <c r="J15" s="4">
        <f t="shared" si="0"/>
        <v>46240</v>
      </c>
      <c r="K15" s="12" t="s">
        <v>73</v>
      </c>
    </row>
    <row r="16" spans="1:13" ht="15.75" customHeight="1" x14ac:dyDescent="0.3">
      <c r="A16" s="3">
        <v>4</v>
      </c>
      <c r="B16" s="3" t="s">
        <v>100</v>
      </c>
      <c r="C16" s="47"/>
      <c r="D16" s="4">
        <f t="shared" si="1"/>
        <v>46239</v>
      </c>
      <c r="E16" s="13">
        <v>0</v>
      </c>
      <c r="F16" s="12" t="s">
        <v>23</v>
      </c>
      <c r="G16" s="41">
        <v>79</v>
      </c>
      <c r="H16" s="14">
        <v>0</v>
      </c>
      <c r="I16" s="3" t="s">
        <v>16</v>
      </c>
      <c r="J16" s="4">
        <f t="shared" si="0"/>
        <v>46240</v>
      </c>
      <c r="K16" s="12" t="s">
        <v>78</v>
      </c>
    </row>
    <row r="17" spans="1:11" ht="15.75" customHeight="1" x14ac:dyDescent="0.3">
      <c r="A17" s="3">
        <v>5</v>
      </c>
      <c r="B17" s="3" t="s">
        <v>101</v>
      </c>
      <c r="C17" s="47">
        <v>550</v>
      </c>
      <c r="D17" s="4">
        <f t="shared" si="1"/>
        <v>46239</v>
      </c>
      <c r="E17" s="13">
        <v>0</v>
      </c>
      <c r="F17" s="12" t="s">
        <v>23</v>
      </c>
      <c r="G17" s="41">
        <v>4392</v>
      </c>
      <c r="H17" s="14">
        <v>0</v>
      </c>
      <c r="I17" s="3" t="s">
        <v>16</v>
      </c>
      <c r="J17" s="4">
        <f t="shared" si="0"/>
        <v>46240</v>
      </c>
      <c r="K17" s="12" t="s">
        <v>73</v>
      </c>
    </row>
    <row r="18" spans="1:11" ht="15.75" customHeight="1" x14ac:dyDescent="0.3">
      <c r="A18" s="3">
        <v>6</v>
      </c>
      <c r="B18" s="3" t="s">
        <v>102</v>
      </c>
      <c r="C18" s="47">
        <v>920</v>
      </c>
      <c r="D18" s="4">
        <f t="shared" si="1"/>
        <v>46239</v>
      </c>
      <c r="E18" s="13">
        <v>0</v>
      </c>
      <c r="F18" s="12" t="s">
        <v>23</v>
      </c>
      <c r="G18" s="41">
        <v>4723</v>
      </c>
      <c r="H18" s="14">
        <v>0</v>
      </c>
      <c r="I18" s="3" t="s">
        <v>16</v>
      </c>
      <c r="J18" s="4">
        <f t="shared" si="0"/>
        <v>46240</v>
      </c>
      <c r="K18" s="12" t="s">
        <v>103</v>
      </c>
    </row>
    <row r="19" spans="1:11" ht="15.75" customHeight="1" x14ac:dyDescent="0.3">
      <c r="A19" s="3">
        <v>7</v>
      </c>
      <c r="B19" s="3" t="s">
        <v>104</v>
      </c>
      <c r="C19" s="47">
        <v>1395</v>
      </c>
      <c r="D19" s="4">
        <f t="shared" si="1"/>
        <v>46239</v>
      </c>
      <c r="E19" s="13">
        <v>0</v>
      </c>
      <c r="F19" s="12" t="s">
        <v>23</v>
      </c>
      <c r="G19" s="41">
        <v>6378</v>
      </c>
      <c r="H19" s="14">
        <v>0</v>
      </c>
      <c r="I19" s="3" t="s">
        <v>16</v>
      </c>
      <c r="J19" s="4">
        <f t="shared" si="0"/>
        <v>46240</v>
      </c>
      <c r="K19" s="12" t="s">
        <v>28</v>
      </c>
    </row>
    <row r="20" spans="1:11" ht="18.75" customHeight="1" x14ac:dyDescent="0.35">
      <c r="A20" s="3"/>
      <c r="B20" s="15" t="s">
        <v>20</v>
      </c>
      <c r="C20" s="49">
        <f>SUM(C13:C19)</f>
        <v>25028</v>
      </c>
      <c r="D20" s="3"/>
      <c r="E20" s="3"/>
      <c r="F20" s="12"/>
      <c r="G20" s="12"/>
      <c r="H20" s="10"/>
      <c r="I20" s="3"/>
      <c r="J20" s="3"/>
      <c r="K20" s="3"/>
    </row>
    <row r="21" spans="1:11" ht="21" customHeight="1" x14ac:dyDescent="0.4">
      <c r="A21" s="69" t="s">
        <v>39</v>
      </c>
      <c r="B21" s="63"/>
      <c r="C21" s="63"/>
      <c r="D21" s="63"/>
      <c r="E21" s="63"/>
      <c r="F21" s="63"/>
      <c r="G21" s="63"/>
      <c r="H21" s="63"/>
      <c r="I21" s="63"/>
      <c r="J21" s="63"/>
      <c r="K21" s="64"/>
    </row>
    <row r="22" spans="1:11" ht="18.75" customHeight="1" x14ac:dyDescent="0.35">
      <c r="A22" s="16" t="s">
        <v>3</v>
      </c>
      <c r="B22" s="16" t="s">
        <v>40</v>
      </c>
      <c r="C22" s="40" t="s">
        <v>5</v>
      </c>
      <c r="D22" s="1" t="s">
        <v>41</v>
      </c>
      <c r="E22" s="16" t="s">
        <v>7</v>
      </c>
      <c r="F22" s="16" t="s">
        <v>8</v>
      </c>
      <c r="G22" s="16" t="s">
        <v>42</v>
      </c>
      <c r="H22" s="17" t="s">
        <v>43</v>
      </c>
      <c r="I22" s="16" t="s">
        <v>11</v>
      </c>
      <c r="J22" s="16" t="s">
        <v>44</v>
      </c>
      <c r="K22" s="18" t="s">
        <v>45</v>
      </c>
    </row>
    <row r="23" spans="1:11" ht="15.75" customHeight="1" x14ac:dyDescent="0.3">
      <c r="A23" s="7">
        <v>1</v>
      </c>
      <c r="B23" s="7" t="s">
        <v>105</v>
      </c>
      <c r="C23" s="42">
        <v>200000</v>
      </c>
      <c r="D23" s="4">
        <v>46239</v>
      </c>
      <c r="E23" s="7"/>
      <c r="F23" s="7"/>
      <c r="G23" s="19">
        <v>6458</v>
      </c>
      <c r="H23" s="20"/>
      <c r="I23" s="21"/>
      <c r="J23" s="4">
        <v>46239</v>
      </c>
      <c r="K23" s="12" t="s">
        <v>106</v>
      </c>
    </row>
    <row r="24" spans="1:11" ht="15.75" customHeight="1" x14ac:dyDescent="0.3">
      <c r="A24" s="7">
        <v>2</v>
      </c>
      <c r="B24" s="7" t="s">
        <v>107</v>
      </c>
      <c r="C24" s="42">
        <v>4.72</v>
      </c>
      <c r="D24" s="4">
        <v>46239</v>
      </c>
      <c r="E24" s="7"/>
      <c r="F24" s="7"/>
      <c r="G24" s="19">
        <v>0</v>
      </c>
      <c r="H24" s="20"/>
      <c r="I24" s="21"/>
      <c r="J24" s="4">
        <v>46239</v>
      </c>
      <c r="K24" s="12" t="s">
        <v>107</v>
      </c>
    </row>
    <row r="25" spans="1:11" ht="18.75" customHeight="1" x14ac:dyDescent="0.3">
      <c r="A25" s="7"/>
      <c r="B25" s="22" t="s">
        <v>52</v>
      </c>
      <c r="C25" s="50">
        <f>SUM(C23:C24)</f>
        <v>200004.72</v>
      </c>
      <c r="D25" s="3"/>
      <c r="E25" s="7"/>
      <c r="F25" s="7"/>
      <c r="G25" s="7"/>
      <c r="H25" s="23">
        <v>0</v>
      </c>
      <c r="I25" s="21"/>
      <c r="J25" s="3"/>
      <c r="K25" s="24"/>
    </row>
    <row r="26" spans="1:11" x14ac:dyDescent="0.3">
      <c r="C26" s="25"/>
      <c r="H26" s="25"/>
    </row>
    <row r="27" spans="1:11" ht="16.5" customHeight="1" x14ac:dyDescent="0.35">
      <c r="B27" s="26" t="s">
        <v>53</v>
      </c>
      <c r="C27" s="43">
        <f>SUM(C14,C15,C17,C18,C13)</f>
        <v>23633</v>
      </c>
      <c r="E27" s="27"/>
      <c r="F27" s="27"/>
      <c r="G27" s="66"/>
      <c r="H27" s="67"/>
    </row>
    <row r="28" spans="1:11" ht="16.5" customHeight="1" x14ac:dyDescent="0.35">
      <c r="B28" s="28" t="s">
        <v>54</v>
      </c>
      <c r="C28" s="44">
        <f>SUM(C19)</f>
        <v>1395</v>
      </c>
      <c r="E28" s="29"/>
      <c r="F28" s="29"/>
      <c r="G28" s="30" t="s">
        <v>55</v>
      </c>
      <c r="H28" s="31"/>
    </row>
    <row r="29" spans="1:11" ht="24" customHeight="1" x14ac:dyDescent="0.45">
      <c r="B29" s="32" t="s">
        <v>82</v>
      </c>
      <c r="C29" s="45">
        <f>SUM(C16)</f>
        <v>0</v>
      </c>
      <c r="E29" s="33" t="s">
        <v>57</v>
      </c>
      <c r="F29" s="34"/>
      <c r="G29" s="35"/>
      <c r="H29" s="36"/>
      <c r="I29" s="35"/>
      <c r="J29" s="37"/>
    </row>
    <row r="30" spans="1:11" ht="18.75" customHeight="1" x14ac:dyDescent="0.35">
      <c r="B30" s="38" t="s">
        <v>20</v>
      </c>
      <c r="C30" s="46">
        <f>SUM(C27:C29)</f>
        <v>25028</v>
      </c>
      <c r="G30" s="30"/>
      <c r="H30" s="31"/>
      <c r="I30" s="30"/>
      <c r="J30" s="30"/>
    </row>
  </sheetData>
  <mergeCells count="6">
    <mergeCell ref="A1:K1"/>
    <mergeCell ref="A12:K12"/>
    <mergeCell ref="A3:K3"/>
    <mergeCell ref="A21:K21"/>
    <mergeCell ref="G27:H27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6"/>
  <sheetViews>
    <sheetView workbookViewId="0">
      <selection activeCell="K5" sqref="K5"/>
    </sheetView>
  </sheetViews>
  <sheetFormatPr defaultRowHeight="14.4" x14ac:dyDescent="0.3"/>
  <cols>
    <col min="1" max="1" width="4.44140625" bestFit="1" customWidth="1"/>
    <col min="2" max="2" width="22.55468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441406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108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109</v>
      </c>
      <c r="C5" s="47">
        <v>11126.66</v>
      </c>
      <c r="D5" s="4">
        <v>46240</v>
      </c>
      <c r="E5" s="5">
        <v>0</v>
      </c>
      <c r="F5" s="3" t="s">
        <v>15</v>
      </c>
      <c r="G5" s="39">
        <v>0</v>
      </c>
      <c r="H5" s="6">
        <v>0</v>
      </c>
      <c r="I5" s="3" t="s">
        <v>16</v>
      </c>
      <c r="J5" s="4">
        <f>+D5-1</f>
        <v>46239</v>
      </c>
      <c r="K5" s="7" t="s">
        <v>110</v>
      </c>
    </row>
    <row r="6" spans="1:11" ht="18.75" customHeight="1" x14ac:dyDescent="0.35">
      <c r="A6" s="8"/>
      <c r="B6" s="9" t="s">
        <v>20</v>
      </c>
      <c r="C6" s="48">
        <f>SUM(C5:C5)</f>
        <v>11126.66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111</v>
      </c>
      <c r="C9" s="47">
        <v>1000</v>
      </c>
      <c r="D9" s="4">
        <v>46240</v>
      </c>
      <c r="E9" s="13">
        <v>0</v>
      </c>
      <c r="F9" s="12" t="s">
        <v>23</v>
      </c>
      <c r="G9" s="41">
        <v>1116</v>
      </c>
      <c r="H9" s="14">
        <v>0</v>
      </c>
      <c r="I9" s="3" t="s">
        <v>24</v>
      </c>
      <c r="J9" s="4">
        <f t="shared" ref="J9:J25" si="0">+D9+1</f>
        <v>46241</v>
      </c>
      <c r="K9" s="12" t="s">
        <v>112</v>
      </c>
    </row>
    <row r="10" spans="1:11" ht="15.75" customHeight="1" x14ac:dyDescent="0.3">
      <c r="A10" s="3">
        <v>2</v>
      </c>
      <c r="B10" s="3" t="s">
        <v>113</v>
      </c>
      <c r="C10" s="47">
        <v>1100</v>
      </c>
      <c r="D10" s="4">
        <f t="shared" ref="D10:D25" si="1">+D9</f>
        <v>46240</v>
      </c>
      <c r="E10" s="13">
        <v>0</v>
      </c>
      <c r="F10" s="12" t="s">
        <v>23</v>
      </c>
      <c r="G10" s="41">
        <v>3725</v>
      </c>
      <c r="H10" s="14">
        <v>0</v>
      </c>
      <c r="I10" s="3" t="s">
        <v>16</v>
      </c>
      <c r="J10" s="4">
        <f t="shared" si="0"/>
        <v>46241</v>
      </c>
      <c r="K10" s="12" t="s">
        <v>114</v>
      </c>
    </row>
    <row r="11" spans="1:11" ht="15.75" customHeight="1" x14ac:dyDescent="0.3">
      <c r="A11" s="3">
        <v>3</v>
      </c>
      <c r="B11" s="3" t="s">
        <v>113</v>
      </c>
      <c r="C11" s="47">
        <v>150</v>
      </c>
      <c r="D11" s="4">
        <f t="shared" si="1"/>
        <v>46240</v>
      </c>
      <c r="E11" s="13">
        <v>0</v>
      </c>
      <c r="F11" s="12" t="s">
        <v>23</v>
      </c>
      <c r="G11" s="41">
        <v>6726</v>
      </c>
      <c r="H11" s="14">
        <v>0</v>
      </c>
      <c r="I11" s="3" t="s">
        <v>16</v>
      </c>
      <c r="J11" s="4">
        <f t="shared" si="0"/>
        <v>46241</v>
      </c>
      <c r="K11" s="12" t="s">
        <v>114</v>
      </c>
    </row>
    <row r="12" spans="1:11" ht="15.75" customHeight="1" x14ac:dyDescent="0.3">
      <c r="A12" s="3">
        <v>4</v>
      </c>
      <c r="B12" s="3" t="s">
        <v>115</v>
      </c>
      <c r="C12" s="47">
        <v>3000</v>
      </c>
      <c r="D12" s="4">
        <f t="shared" si="1"/>
        <v>46240</v>
      </c>
      <c r="E12" s="13">
        <v>0</v>
      </c>
      <c r="F12" s="12" t="s">
        <v>23</v>
      </c>
      <c r="G12" s="41">
        <v>4946</v>
      </c>
      <c r="H12" s="14">
        <v>0</v>
      </c>
      <c r="I12" s="3" t="s">
        <v>16</v>
      </c>
      <c r="J12" s="4">
        <f t="shared" si="0"/>
        <v>46241</v>
      </c>
      <c r="K12" s="12" t="s">
        <v>28</v>
      </c>
    </row>
    <row r="13" spans="1:11" ht="15.75" customHeight="1" x14ac:dyDescent="0.3">
      <c r="A13" s="3">
        <v>5</v>
      </c>
      <c r="B13" s="3" t="s">
        <v>116</v>
      </c>
      <c r="C13" s="47">
        <v>30600</v>
      </c>
      <c r="D13" s="4">
        <f t="shared" si="1"/>
        <v>46240</v>
      </c>
      <c r="E13" s="13">
        <v>0</v>
      </c>
      <c r="F13" s="12" t="s">
        <v>23</v>
      </c>
      <c r="G13" s="41">
        <v>168</v>
      </c>
      <c r="H13" s="14">
        <v>0</v>
      </c>
      <c r="I13" s="3" t="s">
        <v>16</v>
      </c>
      <c r="J13" s="4">
        <f t="shared" si="0"/>
        <v>46241</v>
      </c>
      <c r="K13" s="12" t="s">
        <v>76</v>
      </c>
    </row>
    <row r="14" spans="1:11" ht="15.75" customHeight="1" x14ac:dyDescent="0.3">
      <c r="A14" s="3">
        <v>6</v>
      </c>
      <c r="B14" s="3" t="s">
        <v>117</v>
      </c>
      <c r="C14" s="47">
        <v>505</v>
      </c>
      <c r="D14" s="4">
        <f t="shared" si="1"/>
        <v>46240</v>
      </c>
      <c r="E14" s="13">
        <v>0</v>
      </c>
      <c r="F14" s="12" t="s">
        <v>23</v>
      </c>
      <c r="G14" s="41">
        <v>2597</v>
      </c>
      <c r="H14" s="14">
        <v>0</v>
      </c>
      <c r="I14" s="3" t="s">
        <v>16</v>
      </c>
      <c r="J14" s="4">
        <f t="shared" si="0"/>
        <v>46241</v>
      </c>
      <c r="K14" s="12" t="s">
        <v>28</v>
      </c>
    </row>
    <row r="15" spans="1:11" ht="15.75" customHeight="1" x14ac:dyDescent="0.3">
      <c r="A15" s="3">
        <v>7</v>
      </c>
      <c r="B15" s="3" t="s">
        <v>118</v>
      </c>
      <c r="C15" s="47">
        <v>2000</v>
      </c>
      <c r="D15" s="4">
        <f t="shared" si="1"/>
        <v>46240</v>
      </c>
      <c r="E15" s="13">
        <v>0</v>
      </c>
      <c r="F15" s="12" t="s">
        <v>23</v>
      </c>
      <c r="G15" s="41">
        <v>6239</v>
      </c>
      <c r="H15" s="14">
        <v>0</v>
      </c>
      <c r="I15" s="3" t="s">
        <v>16</v>
      </c>
      <c r="J15" s="4">
        <f t="shared" si="0"/>
        <v>46241</v>
      </c>
      <c r="K15" s="12" t="s">
        <v>73</v>
      </c>
    </row>
    <row r="16" spans="1:11" ht="15.75" customHeight="1" x14ac:dyDescent="0.3">
      <c r="A16" s="3">
        <v>8</v>
      </c>
      <c r="B16" s="3" t="s">
        <v>119</v>
      </c>
      <c r="C16" s="47">
        <v>105</v>
      </c>
      <c r="D16" s="4">
        <f t="shared" si="1"/>
        <v>46240</v>
      </c>
      <c r="E16" s="13">
        <v>0</v>
      </c>
      <c r="F16" s="12" t="s">
        <v>23</v>
      </c>
      <c r="G16" s="41">
        <v>9772</v>
      </c>
      <c r="H16" s="14">
        <v>0</v>
      </c>
      <c r="I16" s="3" t="s">
        <v>16</v>
      </c>
      <c r="J16" s="4">
        <f t="shared" si="0"/>
        <v>46241</v>
      </c>
      <c r="K16" s="12" t="s">
        <v>28</v>
      </c>
    </row>
    <row r="17" spans="1:11" ht="15.75" customHeight="1" x14ac:dyDescent="0.3">
      <c r="A17" s="3">
        <v>9</v>
      </c>
      <c r="B17" s="3" t="s">
        <v>120</v>
      </c>
      <c r="C17" s="47">
        <v>6425</v>
      </c>
      <c r="D17" s="4">
        <f t="shared" si="1"/>
        <v>46240</v>
      </c>
      <c r="E17" s="13">
        <v>0</v>
      </c>
      <c r="F17" s="12" t="s">
        <v>23</v>
      </c>
      <c r="G17" s="41">
        <v>6781</v>
      </c>
      <c r="H17" s="14">
        <v>0</v>
      </c>
      <c r="I17" s="3" t="s">
        <v>16</v>
      </c>
      <c r="J17" s="4">
        <f t="shared" si="0"/>
        <v>46241</v>
      </c>
      <c r="K17" s="12" t="s">
        <v>28</v>
      </c>
    </row>
    <row r="18" spans="1:11" ht="15.75" customHeight="1" x14ac:dyDescent="0.3">
      <c r="A18" s="3">
        <v>10</v>
      </c>
      <c r="B18" s="3" t="s">
        <v>121</v>
      </c>
      <c r="C18" s="47">
        <v>1450</v>
      </c>
      <c r="D18" s="4">
        <f t="shared" si="1"/>
        <v>46240</v>
      </c>
      <c r="E18" s="13">
        <v>0</v>
      </c>
      <c r="F18" s="12" t="s">
        <v>23</v>
      </c>
      <c r="G18" s="41">
        <v>5066</v>
      </c>
      <c r="H18" s="14">
        <v>0</v>
      </c>
      <c r="I18" s="3" t="s">
        <v>16</v>
      </c>
      <c r="J18" s="4">
        <f t="shared" si="0"/>
        <v>46241</v>
      </c>
      <c r="K18" s="12" t="s">
        <v>28</v>
      </c>
    </row>
    <row r="19" spans="1:11" ht="15.75" customHeight="1" x14ac:dyDescent="0.3">
      <c r="A19" s="3">
        <v>11</v>
      </c>
      <c r="B19" s="3" t="s">
        <v>122</v>
      </c>
      <c r="C19" s="47">
        <v>455</v>
      </c>
      <c r="D19" s="4">
        <f t="shared" si="1"/>
        <v>46240</v>
      </c>
      <c r="E19" s="13">
        <v>0</v>
      </c>
      <c r="F19" s="12" t="s">
        <v>23</v>
      </c>
      <c r="G19" s="41">
        <v>2275</v>
      </c>
      <c r="H19" s="14">
        <v>0</v>
      </c>
      <c r="I19" s="3" t="s">
        <v>16</v>
      </c>
      <c r="J19" s="4">
        <f t="shared" si="0"/>
        <v>46241</v>
      </c>
      <c r="K19" s="12" t="s">
        <v>28</v>
      </c>
    </row>
    <row r="20" spans="1:11" ht="15.75" customHeight="1" x14ac:dyDescent="0.3">
      <c r="A20" s="3">
        <v>12</v>
      </c>
      <c r="B20" s="3" t="s">
        <v>123</v>
      </c>
      <c r="C20" s="47">
        <v>630</v>
      </c>
      <c r="D20" s="4">
        <f t="shared" si="1"/>
        <v>46240</v>
      </c>
      <c r="E20" s="13">
        <v>0</v>
      </c>
      <c r="F20" s="12" t="s">
        <v>23</v>
      </c>
      <c r="G20" s="41">
        <v>9861</v>
      </c>
      <c r="H20" s="14">
        <v>0</v>
      </c>
      <c r="I20" s="3" t="s">
        <v>16</v>
      </c>
      <c r="J20" s="4">
        <f t="shared" si="0"/>
        <v>46241</v>
      </c>
      <c r="K20" s="12" t="s">
        <v>28</v>
      </c>
    </row>
    <row r="21" spans="1:11" ht="15.75" customHeight="1" x14ac:dyDescent="0.3">
      <c r="A21" s="3">
        <v>13</v>
      </c>
      <c r="B21" s="3" t="s">
        <v>124</v>
      </c>
      <c r="C21" s="47">
        <v>1280</v>
      </c>
      <c r="D21" s="4">
        <f t="shared" si="1"/>
        <v>46240</v>
      </c>
      <c r="E21" s="13">
        <v>0</v>
      </c>
      <c r="F21" s="12" t="s">
        <v>23</v>
      </c>
      <c r="G21" s="41">
        <v>4012</v>
      </c>
      <c r="H21" s="14">
        <v>0</v>
      </c>
      <c r="I21" s="3" t="s">
        <v>16</v>
      </c>
      <c r="J21" s="4">
        <f t="shared" si="0"/>
        <v>46241</v>
      </c>
      <c r="K21" s="12" t="s">
        <v>73</v>
      </c>
    </row>
    <row r="22" spans="1:11" ht="15.75" customHeight="1" x14ac:dyDescent="0.3">
      <c r="A22" s="3">
        <v>14</v>
      </c>
      <c r="B22" s="3" t="s">
        <v>125</v>
      </c>
      <c r="C22" s="47">
        <v>6275</v>
      </c>
      <c r="D22" s="4">
        <f t="shared" si="1"/>
        <v>46240</v>
      </c>
      <c r="E22" s="13">
        <v>0</v>
      </c>
      <c r="F22" s="12" t="s">
        <v>23</v>
      </c>
      <c r="G22" s="41">
        <v>575</v>
      </c>
      <c r="H22" s="14">
        <v>0</v>
      </c>
      <c r="I22" s="3" t="s">
        <v>16</v>
      </c>
      <c r="J22" s="4">
        <f t="shared" si="0"/>
        <v>46241</v>
      </c>
      <c r="K22" s="12" t="s">
        <v>28</v>
      </c>
    </row>
    <row r="23" spans="1:11" ht="15.75" customHeight="1" x14ac:dyDescent="0.3">
      <c r="A23" s="3">
        <v>15</v>
      </c>
      <c r="B23" s="3" t="s">
        <v>126</v>
      </c>
      <c r="C23" s="47">
        <v>23900</v>
      </c>
      <c r="D23" s="4">
        <f t="shared" si="1"/>
        <v>46240</v>
      </c>
      <c r="E23" s="13">
        <v>0</v>
      </c>
      <c r="F23" s="12" t="s">
        <v>23</v>
      </c>
      <c r="G23" s="41">
        <v>7752</v>
      </c>
      <c r="H23" s="14">
        <v>0</v>
      </c>
      <c r="I23" s="3" t="s">
        <v>16</v>
      </c>
      <c r="J23" s="4">
        <f t="shared" si="0"/>
        <v>46241</v>
      </c>
      <c r="K23" s="12" t="s">
        <v>76</v>
      </c>
    </row>
    <row r="24" spans="1:11" ht="15.75" customHeight="1" x14ac:dyDescent="0.3">
      <c r="A24" s="3">
        <v>16</v>
      </c>
      <c r="B24" s="3" t="s">
        <v>127</v>
      </c>
      <c r="C24" s="47">
        <v>640</v>
      </c>
      <c r="D24" s="4">
        <f t="shared" si="1"/>
        <v>46240</v>
      </c>
      <c r="E24" s="13">
        <v>0</v>
      </c>
      <c r="F24" s="12" t="s">
        <v>23</v>
      </c>
      <c r="G24" s="41">
        <v>8879</v>
      </c>
      <c r="H24" s="14">
        <v>0</v>
      </c>
      <c r="I24" s="3" t="s">
        <v>16</v>
      </c>
      <c r="J24" s="4">
        <f t="shared" si="0"/>
        <v>46241</v>
      </c>
      <c r="K24" s="12" t="s">
        <v>28</v>
      </c>
    </row>
    <row r="25" spans="1:11" ht="15.75" customHeight="1" x14ac:dyDescent="0.3">
      <c r="A25" s="3">
        <v>17</v>
      </c>
      <c r="B25" s="3" t="s">
        <v>101</v>
      </c>
      <c r="C25" s="47">
        <v>570</v>
      </c>
      <c r="D25" s="4">
        <f t="shared" si="1"/>
        <v>46240</v>
      </c>
      <c r="E25" s="13">
        <v>0</v>
      </c>
      <c r="F25" s="12" t="s">
        <v>23</v>
      </c>
      <c r="G25" s="41">
        <v>5464</v>
      </c>
      <c r="H25" s="14">
        <v>0</v>
      </c>
      <c r="I25" s="3" t="s">
        <v>16</v>
      </c>
      <c r="J25" s="4">
        <f t="shared" si="0"/>
        <v>46241</v>
      </c>
      <c r="K25" s="12" t="s">
        <v>128</v>
      </c>
    </row>
    <row r="26" spans="1:11" ht="18.75" customHeight="1" x14ac:dyDescent="0.35">
      <c r="A26" s="3"/>
      <c r="B26" s="15" t="s">
        <v>20</v>
      </c>
      <c r="C26" s="49">
        <f>SUM(C9:C25)</f>
        <v>80085</v>
      </c>
      <c r="D26" s="3"/>
      <c r="E26" s="3"/>
      <c r="F26" s="12"/>
      <c r="G26" s="12"/>
      <c r="H26" s="10"/>
      <c r="I26" s="3"/>
      <c r="J26" s="3"/>
      <c r="K26" s="3"/>
    </row>
    <row r="27" spans="1:11" ht="21" customHeight="1" x14ac:dyDescent="0.4">
      <c r="A27" s="69" t="s">
        <v>39</v>
      </c>
      <c r="B27" s="63"/>
      <c r="C27" s="63"/>
      <c r="D27" s="63"/>
      <c r="E27" s="63"/>
      <c r="F27" s="63"/>
      <c r="G27" s="63"/>
      <c r="H27" s="63"/>
      <c r="I27" s="63"/>
      <c r="J27" s="63"/>
      <c r="K27" s="64"/>
    </row>
    <row r="28" spans="1:11" ht="18.75" customHeight="1" x14ac:dyDescent="0.35">
      <c r="A28" s="16" t="s">
        <v>3</v>
      </c>
      <c r="B28" s="16" t="s">
        <v>40</v>
      </c>
      <c r="C28" s="40" t="s">
        <v>5</v>
      </c>
      <c r="D28" s="1" t="s">
        <v>41</v>
      </c>
      <c r="E28" s="16" t="s">
        <v>7</v>
      </c>
      <c r="F28" s="16" t="s">
        <v>8</v>
      </c>
      <c r="G28" s="16" t="s">
        <v>42</v>
      </c>
      <c r="H28" s="17" t="s">
        <v>43</v>
      </c>
      <c r="I28" s="16" t="s">
        <v>11</v>
      </c>
      <c r="J28" s="16" t="s">
        <v>44</v>
      </c>
      <c r="K28" s="18" t="s">
        <v>45</v>
      </c>
    </row>
    <row r="29" spans="1:11" ht="15.75" customHeight="1" x14ac:dyDescent="0.3">
      <c r="A29" s="7">
        <v>1</v>
      </c>
      <c r="B29" s="7" t="s">
        <v>46</v>
      </c>
      <c r="C29" s="42">
        <v>38230</v>
      </c>
      <c r="D29" s="4">
        <v>46240</v>
      </c>
      <c r="E29" s="7"/>
      <c r="F29" s="7"/>
      <c r="G29" s="19">
        <v>399</v>
      </c>
      <c r="H29" s="20"/>
      <c r="I29" s="21"/>
      <c r="J29" s="4">
        <v>46240</v>
      </c>
      <c r="K29" s="12" t="s">
        <v>28</v>
      </c>
    </row>
    <row r="30" spans="1:11" ht="15.75" customHeight="1" x14ac:dyDescent="0.3">
      <c r="A30" s="7">
        <v>2</v>
      </c>
      <c r="B30" s="7" t="s">
        <v>129</v>
      </c>
      <c r="C30" s="42">
        <v>100000</v>
      </c>
      <c r="D30" s="4">
        <v>46240</v>
      </c>
      <c r="E30" s="7"/>
      <c r="F30" s="7"/>
      <c r="G30" s="19">
        <v>4072</v>
      </c>
      <c r="H30" s="20"/>
      <c r="I30" s="21"/>
      <c r="J30" s="4">
        <v>46240</v>
      </c>
      <c r="K30" s="12" t="s">
        <v>51</v>
      </c>
    </row>
    <row r="31" spans="1:11" ht="18.75" customHeight="1" x14ac:dyDescent="0.3">
      <c r="A31" s="7"/>
      <c r="B31" s="22" t="s">
        <v>52</v>
      </c>
      <c r="C31" s="50">
        <f>SUM(C29:C30)</f>
        <v>138230</v>
      </c>
      <c r="D31" s="3"/>
      <c r="E31" s="7"/>
      <c r="F31" s="7"/>
      <c r="G31" s="7"/>
      <c r="H31" s="23">
        <v>0</v>
      </c>
      <c r="I31" s="21"/>
      <c r="J31" s="3"/>
      <c r="K31" s="24"/>
    </row>
    <row r="32" spans="1:11" x14ac:dyDescent="0.3">
      <c r="C32" s="25"/>
      <c r="H32" s="25"/>
    </row>
    <row r="33" spans="2:10" ht="16.5" customHeight="1" x14ac:dyDescent="0.35">
      <c r="B33" s="26" t="s">
        <v>53</v>
      </c>
      <c r="C33" s="43">
        <f>SUM(C21,C23,C25,C15,C13)</f>
        <v>58350</v>
      </c>
      <c r="E33" s="27"/>
      <c r="F33" s="27"/>
      <c r="G33" s="66"/>
      <c r="H33" s="67"/>
    </row>
    <row r="34" spans="2:10" ht="16.5" customHeight="1" x14ac:dyDescent="0.35">
      <c r="B34" s="28" t="s">
        <v>54</v>
      </c>
      <c r="C34" s="44">
        <f>SUM(C24,C22,C20,C19,C18,C17,C16,C14,C12,C9)</f>
        <v>20485</v>
      </c>
      <c r="E34" s="29"/>
      <c r="F34" s="29"/>
      <c r="G34" s="30" t="s">
        <v>55</v>
      </c>
      <c r="H34" s="31"/>
    </row>
    <row r="35" spans="2:10" ht="24" customHeight="1" x14ac:dyDescent="0.45">
      <c r="B35" s="32" t="s">
        <v>130</v>
      </c>
      <c r="C35" s="45">
        <f>SUM(C11,C10)</f>
        <v>1250</v>
      </c>
      <c r="E35" s="33" t="s">
        <v>57</v>
      </c>
      <c r="F35" s="34"/>
      <c r="G35" s="35"/>
      <c r="H35" s="36"/>
      <c r="I35" s="35"/>
      <c r="J35" s="37"/>
    </row>
    <row r="36" spans="2:10" ht="18.75" customHeight="1" x14ac:dyDescent="0.35">
      <c r="B36" s="38" t="s">
        <v>20</v>
      </c>
      <c r="C36" s="46">
        <f>SUM(C33:C35)</f>
        <v>80085</v>
      </c>
      <c r="G36" s="30"/>
      <c r="H36" s="31"/>
      <c r="I36" s="30"/>
      <c r="J36" s="30"/>
    </row>
  </sheetData>
  <mergeCells count="6">
    <mergeCell ref="A3:K3"/>
    <mergeCell ref="G33:H33"/>
    <mergeCell ref="A2:K2"/>
    <mergeCell ref="A1:K1"/>
    <mergeCell ref="A27:K27"/>
    <mergeCell ref="A8:K8"/>
  </mergeCells>
  <pageMargins left="0" right="0" top="0" bottom="0" header="0" footer="0"/>
  <pageSetup scale="8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1"/>
  <sheetViews>
    <sheetView topLeftCell="A19" workbookViewId="0">
      <selection sqref="A1:K31"/>
    </sheetView>
  </sheetViews>
  <sheetFormatPr defaultRowHeight="14.4" x14ac:dyDescent="0.3"/>
  <cols>
    <col min="1" max="1" width="4.44140625" bestFit="1" customWidth="1"/>
    <col min="2" max="2" width="18.5546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55468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131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46241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46240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132</v>
      </c>
      <c r="C9" s="47">
        <v>1000</v>
      </c>
      <c r="D9" s="4">
        <v>46241</v>
      </c>
      <c r="E9" s="13">
        <v>0</v>
      </c>
      <c r="F9" s="12" t="s">
        <v>23</v>
      </c>
      <c r="G9" s="41">
        <v>9894</v>
      </c>
      <c r="H9" s="14">
        <v>0</v>
      </c>
      <c r="I9" s="3" t="s">
        <v>24</v>
      </c>
      <c r="J9" s="4">
        <f t="shared" ref="J9:J18" si="0">+D9+1</f>
        <v>46242</v>
      </c>
      <c r="K9" s="12" t="s">
        <v>112</v>
      </c>
    </row>
    <row r="10" spans="1:11" ht="15.75" customHeight="1" x14ac:dyDescent="0.3">
      <c r="A10" s="3">
        <v>2</v>
      </c>
      <c r="B10" s="3" t="s">
        <v>133</v>
      </c>
      <c r="C10" s="47">
        <v>1755</v>
      </c>
      <c r="D10" s="4">
        <f t="shared" ref="D10:D18" si="1">+D9</f>
        <v>46241</v>
      </c>
      <c r="E10" s="13">
        <v>0</v>
      </c>
      <c r="F10" s="12" t="s">
        <v>23</v>
      </c>
      <c r="G10" s="41">
        <v>9498</v>
      </c>
      <c r="H10" s="14">
        <v>0</v>
      </c>
      <c r="I10" s="3" t="s">
        <v>16</v>
      </c>
      <c r="J10" s="4">
        <f t="shared" si="0"/>
        <v>46242</v>
      </c>
      <c r="K10" s="12" t="s">
        <v>28</v>
      </c>
    </row>
    <row r="11" spans="1:11" ht="15.75" customHeight="1" x14ac:dyDescent="0.3">
      <c r="A11" s="3">
        <v>3</v>
      </c>
      <c r="B11" s="3" t="s">
        <v>134</v>
      </c>
      <c r="C11" s="47">
        <v>43500</v>
      </c>
      <c r="D11" s="4">
        <f t="shared" si="1"/>
        <v>46241</v>
      </c>
      <c r="E11" s="13">
        <v>0</v>
      </c>
      <c r="F11" s="12" t="s">
        <v>23</v>
      </c>
      <c r="G11" s="41">
        <v>3445</v>
      </c>
      <c r="H11" s="14">
        <v>0</v>
      </c>
      <c r="I11" s="3" t="s">
        <v>16</v>
      </c>
      <c r="J11" s="4">
        <f t="shared" si="0"/>
        <v>46242</v>
      </c>
      <c r="K11" s="12" t="s">
        <v>135</v>
      </c>
    </row>
    <row r="12" spans="1:11" ht="15.75" customHeight="1" x14ac:dyDescent="0.3">
      <c r="A12" s="3">
        <v>4</v>
      </c>
      <c r="B12" s="3" t="s">
        <v>134</v>
      </c>
      <c r="C12" s="47">
        <v>2000</v>
      </c>
      <c r="D12" s="4">
        <f t="shared" si="1"/>
        <v>46241</v>
      </c>
      <c r="E12" s="13">
        <v>0</v>
      </c>
      <c r="F12" s="12" t="s">
        <v>23</v>
      </c>
      <c r="G12" s="41">
        <v>9606</v>
      </c>
      <c r="H12" s="14">
        <v>0</v>
      </c>
      <c r="I12" s="3" t="s">
        <v>16</v>
      </c>
      <c r="J12" s="4">
        <f t="shared" si="0"/>
        <v>46242</v>
      </c>
      <c r="K12" s="12" t="s">
        <v>136</v>
      </c>
    </row>
    <row r="13" spans="1:11" ht="15.75" customHeight="1" x14ac:dyDescent="0.3">
      <c r="A13" s="3">
        <v>5</v>
      </c>
      <c r="B13" s="3" t="s">
        <v>137</v>
      </c>
      <c r="C13" s="47">
        <v>680</v>
      </c>
      <c r="D13" s="4">
        <f t="shared" si="1"/>
        <v>46241</v>
      </c>
      <c r="E13" s="13">
        <v>0</v>
      </c>
      <c r="F13" s="12" t="s">
        <v>23</v>
      </c>
      <c r="G13" s="41">
        <v>6236</v>
      </c>
      <c r="H13" s="14">
        <v>0</v>
      </c>
      <c r="I13" s="3" t="s">
        <v>16</v>
      </c>
      <c r="J13" s="4">
        <f t="shared" si="0"/>
        <v>46242</v>
      </c>
      <c r="K13" s="12" t="s">
        <v>28</v>
      </c>
    </row>
    <row r="14" spans="1:11" ht="15.75" customHeight="1" x14ac:dyDescent="0.3">
      <c r="A14" s="3">
        <v>6</v>
      </c>
      <c r="B14" s="3" t="s">
        <v>137</v>
      </c>
      <c r="C14" s="47">
        <v>2000</v>
      </c>
      <c r="D14" s="4">
        <f t="shared" si="1"/>
        <v>46241</v>
      </c>
      <c r="E14" s="13">
        <v>0</v>
      </c>
      <c r="F14" s="12" t="s">
        <v>23</v>
      </c>
      <c r="G14" s="41">
        <v>5825</v>
      </c>
      <c r="H14" s="14">
        <v>0</v>
      </c>
      <c r="I14" s="3" t="s">
        <v>16</v>
      </c>
      <c r="J14" s="4">
        <f t="shared" si="0"/>
        <v>46242</v>
      </c>
      <c r="K14" s="12" t="s">
        <v>28</v>
      </c>
    </row>
    <row r="15" spans="1:11" ht="15.75" customHeight="1" x14ac:dyDescent="0.3">
      <c r="A15" s="3">
        <v>7</v>
      </c>
      <c r="B15" s="3" t="s">
        <v>138</v>
      </c>
      <c r="C15" s="47">
        <v>10697</v>
      </c>
      <c r="D15" s="4">
        <f t="shared" si="1"/>
        <v>46241</v>
      </c>
      <c r="E15" s="13">
        <v>0</v>
      </c>
      <c r="F15" s="12" t="s">
        <v>23</v>
      </c>
      <c r="G15" s="41">
        <v>9755</v>
      </c>
      <c r="H15" s="14">
        <v>0</v>
      </c>
      <c r="I15" s="3" t="s">
        <v>16</v>
      </c>
      <c r="J15" s="4">
        <f t="shared" si="0"/>
        <v>46242</v>
      </c>
      <c r="K15" s="12" t="s">
        <v>76</v>
      </c>
    </row>
    <row r="16" spans="1:11" ht="15.75" customHeight="1" x14ac:dyDescent="0.3">
      <c r="A16" s="3">
        <v>8</v>
      </c>
      <c r="B16" s="3" t="s">
        <v>139</v>
      </c>
      <c r="C16" s="47">
        <v>4475</v>
      </c>
      <c r="D16" s="4">
        <f t="shared" si="1"/>
        <v>46241</v>
      </c>
      <c r="E16" s="13">
        <v>0</v>
      </c>
      <c r="F16" s="12" t="s">
        <v>23</v>
      </c>
      <c r="G16" s="41">
        <v>6794</v>
      </c>
      <c r="H16" s="14">
        <v>0</v>
      </c>
      <c r="I16" s="3" t="s">
        <v>16</v>
      </c>
      <c r="J16" s="4">
        <f t="shared" si="0"/>
        <v>46242</v>
      </c>
      <c r="K16" s="12" t="s">
        <v>28</v>
      </c>
    </row>
    <row r="17" spans="1:11" ht="15.75" customHeight="1" x14ac:dyDescent="0.3">
      <c r="A17" s="3">
        <v>9</v>
      </c>
      <c r="B17" s="3" t="s">
        <v>138</v>
      </c>
      <c r="C17" s="47">
        <v>22292</v>
      </c>
      <c r="D17" s="4">
        <f t="shared" si="1"/>
        <v>46241</v>
      </c>
      <c r="E17" s="13">
        <v>0</v>
      </c>
      <c r="F17" s="12" t="s">
        <v>23</v>
      </c>
      <c r="G17" s="41">
        <v>8267</v>
      </c>
      <c r="H17" s="14">
        <v>0</v>
      </c>
      <c r="I17" s="3" t="s">
        <v>16</v>
      </c>
      <c r="J17" s="4">
        <f t="shared" si="0"/>
        <v>46242</v>
      </c>
      <c r="K17" s="12" t="s">
        <v>76</v>
      </c>
    </row>
    <row r="18" spans="1:11" ht="15.75" customHeight="1" x14ac:dyDescent="0.3">
      <c r="A18" s="3">
        <v>10</v>
      </c>
      <c r="B18" s="3" t="s">
        <v>140</v>
      </c>
      <c r="C18" s="47">
        <v>810</v>
      </c>
      <c r="D18" s="4">
        <f t="shared" si="1"/>
        <v>46241</v>
      </c>
      <c r="E18" s="13">
        <v>0</v>
      </c>
      <c r="F18" s="12" t="s">
        <v>23</v>
      </c>
      <c r="G18" s="41">
        <v>5282</v>
      </c>
      <c r="H18" s="14">
        <v>0</v>
      </c>
      <c r="I18" s="3" t="s">
        <v>16</v>
      </c>
      <c r="J18" s="4">
        <f t="shared" si="0"/>
        <v>46242</v>
      </c>
      <c r="K18" s="12" t="s">
        <v>28</v>
      </c>
    </row>
    <row r="19" spans="1:11" ht="18.75" customHeight="1" x14ac:dyDescent="0.35">
      <c r="A19" s="3"/>
      <c r="B19" s="15" t="s">
        <v>20</v>
      </c>
      <c r="C19" s="49">
        <f>SUM(C9:C18)</f>
        <v>89209</v>
      </c>
      <c r="D19" s="3"/>
      <c r="E19" s="3"/>
      <c r="F19" s="12"/>
      <c r="G19" s="12"/>
      <c r="H19" s="10"/>
      <c r="I19" s="3"/>
      <c r="J19" s="3"/>
      <c r="K19" s="3"/>
    </row>
    <row r="20" spans="1:11" ht="24.75" customHeight="1" x14ac:dyDescent="0.6">
      <c r="A20" s="71" t="s">
        <v>39</v>
      </c>
      <c r="B20" s="63"/>
      <c r="C20" s="63"/>
      <c r="D20" s="63"/>
      <c r="E20" s="63"/>
      <c r="F20" s="63"/>
      <c r="G20" s="63"/>
      <c r="H20" s="63"/>
      <c r="I20" s="63"/>
      <c r="J20" s="63"/>
      <c r="K20" s="64"/>
    </row>
    <row r="21" spans="1:11" ht="18.75" customHeight="1" x14ac:dyDescent="0.35">
      <c r="A21" s="16" t="s">
        <v>3</v>
      </c>
      <c r="B21" s="16" t="s">
        <v>40</v>
      </c>
      <c r="C21" s="40" t="s">
        <v>5</v>
      </c>
      <c r="D21" s="1" t="s">
        <v>41</v>
      </c>
      <c r="E21" s="16" t="s">
        <v>7</v>
      </c>
      <c r="F21" s="16" t="s">
        <v>8</v>
      </c>
      <c r="G21" s="16" t="s">
        <v>42</v>
      </c>
      <c r="H21" s="17" t="s">
        <v>43</v>
      </c>
      <c r="I21" s="16" t="s">
        <v>11</v>
      </c>
      <c r="J21" s="16" t="s">
        <v>44</v>
      </c>
      <c r="K21" s="18" t="s">
        <v>45</v>
      </c>
    </row>
    <row r="22" spans="1:11" ht="15.75" customHeight="1" x14ac:dyDescent="0.3">
      <c r="A22" s="7">
        <v>1</v>
      </c>
      <c r="B22" s="7" t="s">
        <v>46</v>
      </c>
      <c r="C22" s="42">
        <v>7435</v>
      </c>
      <c r="D22" s="4">
        <v>46241</v>
      </c>
      <c r="E22" s="7"/>
      <c r="F22" s="7"/>
      <c r="G22" s="19">
        <v>6208</v>
      </c>
      <c r="H22" s="20"/>
      <c r="I22" s="21"/>
      <c r="J22" s="4">
        <v>46241</v>
      </c>
      <c r="K22" s="12" t="s">
        <v>28</v>
      </c>
    </row>
    <row r="23" spans="1:11" ht="15.75" customHeight="1" x14ac:dyDescent="0.3">
      <c r="A23" s="7">
        <v>2</v>
      </c>
      <c r="B23" s="7" t="s">
        <v>141</v>
      </c>
      <c r="C23" s="42">
        <v>18500</v>
      </c>
      <c r="D23" s="4">
        <v>46241</v>
      </c>
      <c r="E23" s="7"/>
      <c r="F23" s="7"/>
      <c r="G23" s="19">
        <v>4161</v>
      </c>
      <c r="H23" s="20"/>
      <c r="I23" s="21"/>
      <c r="J23" s="4">
        <v>46241</v>
      </c>
      <c r="K23" s="12" t="s">
        <v>142</v>
      </c>
    </row>
    <row r="24" spans="1:11" ht="15.75" customHeight="1" x14ac:dyDescent="0.3">
      <c r="A24" s="7">
        <v>3</v>
      </c>
      <c r="B24" s="7" t="s">
        <v>46</v>
      </c>
      <c r="C24" s="42">
        <v>51725</v>
      </c>
      <c r="D24" s="4">
        <v>46241</v>
      </c>
      <c r="E24" s="7"/>
      <c r="F24" s="7"/>
      <c r="G24" s="19">
        <v>2573</v>
      </c>
      <c r="H24" s="20"/>
      <c r="I24" s="21"/>
      <c r="J24" s="4">
        <v>46241</v>
      </c>
      <c r="K24" s="12" t="s">
        <v>28</v>
      </c>
    </row>
    <row r="25" spans="1:11" ht="15.75" customHeight="1" x14ac:dyDescent="0.3">
      <c r="A25" s="7">
        <v>4</v>
      </c>
      <c r="B25" s="7" t="s">
        <v>143</v>
      </c>
      <c r="C25" s="42">
        <v>700</v>
      </c>
      <c r="D25" s="4">
        <v>46241</v>
      </c>
      <c r="E25" s="7"/>
      <c r="F25" s="7"/>
      <c r="G25" s="19">
        <v>6649</v>
      </c>
      <c r="H25" s="20"/>
      <c r="I25" s="21"/>
      <c r="J25" s="4">
        <v>46241</v>
      </c>
      <c r="K25" s="12" t="s">
        <v>144</v>
      </c>
    </row>
    <row r="26" spans="1:11" ht="18.75" customHeight="1" x14ac:dyDescent="0.3">
      <c r="A26" s="7"/>
      <c r="B26" s="22" t="s">
        <v>52</v>
      </c>
      <c r="C26" s="50">
        <f>SUM(C22:C25)</f>
        <v>78360</v>
      </c>
      <c r="D26" s="3"/>
      <c r="E26" s="7"/>
      <c r="F26" s="7"/>
      <c r="G26" s="7"/>
      <c r="H26" s="23">
        <v>0</v>
      </c>
      <c r="I26" s="21"/>
      <c r="J26" s="3"/>
      <c r="K26" s="24"/>
    </row>
    <row r="27" spans="1:11" x14ac:dyDescent="0.3">
      <c r="C27" s="25"/>
      <c r="H27" s="25"/>
    </row>
    <row r="28" spans="1:11" ht="16.5" customHeight="1" x14ac:dyDescent="0.35">
      <c r="B28" s="26" t="s">
        <v>53</v>
      </c>
      <c r="C28" s="43">
        <f>SUM(C15,C17)</f>
        <v>32989</v>
      </c>
      <c r="E28" s="27"/>
      <c r="F28" s="27"/>
      <c r="G28" s="66"/>
      <c r="H28" s="67"/>
    </row>
    <row r="29" spans="1:11" ht="16.5" customHeight="1" x14ac:dyDescent="0.35">
      <c r="B29" s="28" t="s">
        <v>54</v>
      </c>
      <c r="C29" s="44">
        <f>SUM(C18,C16,C14,C13,C10,C9)</f>
        <v>10720</v>
      </c>
      <c r="E29" s="29"/>
      <c r="F29" s="29"/>
      <c r="G29" s="30" t="s">
        <v>55</v>
      </c>
      <c r="H29" s="31"/>
    </row>
    <row r="30" spans="1:11" ht="24" customHeight="1" x14ac:dyDescent="0.45">
      <c r="B30" s="32" t="s">
        <v>145</v>
      </c>
      <c r="C30" s="45">
        <f>SUM(C11,C12)</f>
        <v>45500</v>
      </c>
      <c r="E30" s="33" t="s">
        <v>57</v>
      </c>
      <c r="F30" s="34"/>
      <c r="G30" s="35"/>
      <c r="H30" s="36"/>
      <c r="I30" s="35"/>
      <c r="J30" s="37"/>
    </row>
    <row r="31" spans="1:11" ht="18.75" customHeight="1" x14ac:dyDescent="0.35">
      <c r="B31" s="38" t="s">
        <v>20</v>
      </c>
      <c r="C31" s="46">
        <f>SUM(C28:C30)</f>
        <v>89209</v>
      </c>
      <c r="G31" s="30"/>
      <c r="H31" s="31"/>
      <c r="I31" s="30"/>
      <c r="J31" s="30"/>
    </row>
  </sheetData>
  <mergeCells count="6">
    <mergeCell ref="A20:K20"/>
    <mergeCell ref="A3:K3"/>
    <mergeCell ref="A2:K2"/>
    <mergeCell ref="G28:H28"/>
    <mergeCell ref="A1:K1"/>
    <mergeCell ref="A8:K8"/>
  </mergeCells>
  <pageMargins left="0" right="0" top="0" bottom="0" header="0" footer="0"/>
  <pageSetup scale="9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31"/>
  <sheetViews>
    <sheetView workbookViewId="0">
      <selection activeCell="M19" sqref="M19"/>
    </sheetView>
  </sheetViews>
  <sheetFormatPr defaultRowHeight="14.4" x14ac:dyDescent="0.3"/>
  <cols>
    <col min="1" max="1" width="4.44140625" bestFit="1" customWidth="1"/>
    <col min="2" max="2" width="23.88671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66406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146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14</v>
      </c>
      <c r="C5" s="47">
        <v>14100</v>
      </c>
      <c r="D5" s="4">
        <v>46242</v>
      </c>
      <c r="E5" s="5">
        <v>0</v>
      </c>
      <c r="F5" s="3" t="s">
        <v>15</v>
      </c>
      <c r="G5" s="39">
        <v>7646</v>
      </c>
      <c r="H5" s="6">
        <v>0</v>
      </c>
      <c r="I5" s="3" t="s">
        <v>16</v>
      </c>
      <c r="J5" s="4">
        <f>+D5-1</f>
        <v>46241</v>
      </c>
      <c r="K5" s="7" t="s">
        <v>17</v>
      </c>
    </row>
    <row r="6" spans="1:11" ht="15.75" customHeight="1" x14ac:dyDescent="0.3">
      <c r="A6" s="3">
        <v>2</v>
      </c>
      <c r="B6" s="3" t="s">
        <v>14</v>
      </c>
      <c r="C6" s="47">
        <v>69800</v>
      </c>
      <c r="D6" s="4">
        <v>46242</v>
      </c>
      <c r="E6" s="5">
        <v>0</v>
      </c>
      <c r="F6" s="3" t="s">
        <v>15</v>
      </c>
      <c r="G6" s="39">
        <v>7650</v>
      </c>
      <c r="H6" s="6">
        <v>0</v>
      </c>
      <c r="I6" s="3" t="s">
        <v>16</v>
      </c>
      <c r="J6" s="4">
        <f>+D6-1</f>
        <v>46241</v>
      </c>
      <c r="K6" s="7" t="s">
        <v>17</v>
      </c>
    </row>
    <row r="7" spans="1:11" ht="18.75" customHeight="1" x14ac:dyDescent="0.35">
      <c r="A7" s="8"/>
      <c r="B7" s="9" t="s">
        <v>20</v>
      </c>
      <c r="C7" s="48">
        <f>SUM(C5:C6)</f>
        <v>83900</v>
      </c>
      <c r="D7" s="3"/>
      <c r="E7" s="11"/>
      <c r="F7" s="8"/>
      <c r="G7" s="12"/>
      <c r="H7" s="10">
        <f>SUM(H5:H5)</f>
        <v>0</v>
      </c>
      <c r="I7" s="8"/>
      <c r="J7" s="8"/>
      <c r="K7" s="8"/>
    </row>
    <row r="9" spans="1:11" ht="24" customHeight="1" x14ac:dyDescent="0.45">
      <c r="A9" s="70" t="s">
        <v>21</v>
      </c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1" ht="16.5" customHeight="1" x14ac:dyDescent="0.3">
      <c r="A10" s="3">
        <v>1</v>
      </c>
      <c r="B10" s="3" t="s">
        <v>101</v>
      </c>
      <c r="C10" s="47">
        <v>5880</v>
      </c>
      <c r="D10" s="4">
        <v>46242</v>
      </c>
      <c r="E10" s="13">
        <v>0</v>
      </c>
      <c r="F10" s="12" t="s">
        <v>23</v>
      </c>
      <c r="G10" s="41">
        <v>2322</v>
      </c>
      <c r="H10" s="14">
        <v>0</v>
      </c>
      <c r="I10" s="3" t="s">
        <v>24</v>
      </c>
      <c r="J10" s="4">
        <f t="shared" ref="J10:J21" si="0">+D10+1</f>
        <v>46243</v>
      </c>
      <c r="K10" s="54" t="s">
        <v>28</v>
      </c>
    </row>
    <row r="11" spans="1:11" ht="15.75" customHeight="1" x14ac:dyDescent="0.3">
      <c r="A11" s="3">
        <v>2</v>
      </c>
      <c r="B11" s="3" t="s">
        <v>147</v>
      </c>
      <c r="C11" s="47">
        <v>30</v>
      </c>
      <c r="D11" s="4">
        <f t="shared" ref="D11:D21" si="1">+D10</f>
        <v>46242</v>
      </c>
      <c r="E11" s="13">
        <v>0</v>
      </c>
      <c r="F11" s="12" t="s">
        <v>23</v>
      </c>
      <c r="G11" s="41">
        <v>9404</v>
      </c>
      <c r="H11" s="14">
        <v>0</v>
      </c>
      <c r="I11" s="3" t="s">
        <v>16</v>
      </c>
      <c r="J11" s="4">
        <f t="shared" si="0"/>
        <v>46243</v>
      </c>
      <c r="K11" s="12" t="s">
        <v>148</v>
      </c>
    </row>
    <row r="12" spans="1:11" ht="15.75" customHeight="1" x14ac:dyDescent="0.3">
      <c r="A12" s="3">
        <v>3</v>
      </c>
      <c r="B12" s="3" t="s">
        <v>149</v>
      </c>
      <c r="C12" s="47">
        <v>26600</v>
      </c>
      <c r="D12" s="4">
        <f t="shared" si="1"/>
        <v>46242</v>
      </c>
      <c r="E12" s="13">
        <v>0</v>
      </c>
      <c r="F12" s="12" t="s">
        <v>23</v>
      </c>
      <c r="G12" s="41">
        <v>8229</v>
      </c>
      <c r="H12" s="14">
        <v>0</v>
      </c>
      <c r="I12" s="3" t="s">
        <v>16</v>
      </c>
      <c r="J12" s="4">
        <f t="shared" si="0"/>
        <v>46243</v>
      </c>
      <c r="K12" s="12" t="s">
        <v>76</v>
      </c>
    </row>
    <row r="13" spans="1:11" ht="15.75" customHeight="1" x14ac:dyDescent="0.3">
      <c r="A13" s="3">
        <v>4</v>
      </c>
      <c r="B13" s="3" t="s">
        <v>150</v>
      </c>
      <c r="C13" s="47">
        <v>10</v>
      </c>
      <c r="D13" s="4">
        <f t="shared" si="1"/>
        <v>46242</v>
      </c>
      <c r="E13" s="13">
        <v>0</v>
      </c>
      <c r="F13" s="12" t="s">
        <v>23</v>
      </c>
      <c r="G13" s="41">
        <v>5098</v>
      </c>
      <c r="H13" s="14">
        <v>0</v>
      </c>
      <c r="I13" s="3" t="s">
        <v>16</v>
      </c>
      <c r="J13" s="4">
        <f t="shared" si="0"/>
        <v>46243</v>
      </c>
      <c r="K13" s="12" t="s">
        <v>70</v>
      </c>
    </row>
    <row r="14" spans="1:11" ht="15.75" customHeight="1" x14ac:dyDescent="0.3">
      <c r="A14" s="3">
        <v>5</v>
      </c>
      <c r="B14" s="3" t="s">
        <v>137</v>
      </c>
      <c r="C14" s="47">
        <v>2625</v>
      </c>
      <c r="D14" s="4">
        <f t="shared" si="1"/>
        <v>46242</v>
      </c>
      <c r="E14" s="13">
        <v>0</v>
      </c>
      <c r="F14" s="12" t="s">
        <v>23</v>
      </c>
      <c r="G14" s="41">
        <v>4461</v>
      </c>
      <c r="H14" s="14">
        <v>0</v>
      </c>
      <c r="I14" s="3" t="s">
        <v>16</v>
      </c>
      <c r="J14" s="4">
        <f t="shared" si="0"/>
        <v>46243</v>
      </c>
      <c r="K14" s="12" t="s">
        <v>28</v>
      </c>
    </row>
    <row r="15" spans="1:11" ht="15.75" customHeight="1" x14ac:dyDescent="0.3">
      <c r="A15" s="3">
        <v>6</v>
      </c>
      <c r="B15" s="3" t="s">
        <v>151</v>
      </c>
      <c r="C15" s="47">
        <v>4000</v>
      </c>
      <c r="D15" s="4">
        <f t="shared" si="1"/>
        <v>46242</v>
      </c>
      <c r="E15" s="13">
        <v>0</v>
      </c>
      <c r="F15" s="12" t="s">
        <v>23</v>
      </c>
      <c r="G15" s="41">
        <v>5112</v>
      </c>
      <c r="H15" s="14">
        <v>0</v>
      </c>
      <c r="I15" s="3" t="s">
        <v>16</v>
      </c>
      <c r="J15" s="4">
        <f t="shared" si="0"/>
        <v>46243</v>
      </c>
      <c r="K15" s="12" t="s">
        <v>152</v>
      </c>
    </row>
    <row r="16" spans="1:11" ht="15.75" customHeight="1" x14ac:dyDescent="0.3">
      <c r="A16" s="3">
        <v>7</v>
      </c>
      <c r="B16" s="3" t="s">
        <v>151</v>
      </c>
      <c r="C16" s="47">
        <v>1</v>
      </c>
      <c r="D16" s="4">
        <f t="shared" si="1"/>
        <v>46242</v>
      </c>
      <c r="E16" s="13">
        <v>0</v>
      </c>
      <c r="F16" s="12" t="s">
        <v>23</v>
      </c>
      <c r="G16" s="41">
        <v>9190</v>
      </c>
      <c r="H16" s="14">
        <v>0</v>
      </c>
      <c r="I16" s="3" t="s">
        <v>16</v>
      </c>
      <c r="J16" s="4">
        <f t="shared" si="0"/>
        <v>46243</v>
      </c>
      <c r="K16" s="12" t="s">
        <v>28</v>
      </c>
    </row>
    <row r="17" spans="1:11" ht="15.75" customHeight="1" x14ac:dyDescent="0.3">
      <c r="A17" s="3">
        <v>8</v>
      </c>
      <c r="B17" s="3" t="s">
        <v>153</v>
      </c>
      <c r="C17" s="47">
        <v>10280</v>
      </c>
      <c r="D17" s="4">
        <f t="shared" si="1"/>
        <v>46242</v>
      </c>
      <c r="E17" s="13">
        <v>0</v>
      </c>
      <c r="F17" s="12" t="s">
        <v>23</v>
      </c>
      <c r="G17" s="41">
        <v>9689</v>
      </c>
      <c r="H17" s="14">
        <v>0</v>
      </c>
      <c r="I17" s="3" t="s">
        <v>16</v>
      </c>
      <c r="J17" s="4">
        <f t="shared" si="0"/>
        <v>46243</v>
      </c>
      <c r="K17" s="12" t="s">
        <v>28</v>
      </c>
    </row>
    <row r="18" spans="1:11" ht="15.75" customHeight="1" x14ac:dyDescent="0.3">
      <c r="A18" s="3">
        <v>9</v>
      </c>
      <c r="B18" s="3" t="s">
        <v>154</v>
      </c>
      <c r="C18" s="47">
        <v>1030</v>
      </c>
      <c r="D18" s="4">
        <f t="shared" si="1"/>
        <v>46242</v>
      </c>
      <c r="E18" s="13">
        <v>0</v>
      </c>
      <c r="F18" s="12" t="s">
        <v>23</v>
      </c>
      <c r="G18" s="41">
        <v>5980</v>
      </c>
      <c r="H18" s="14">
        <v>0</v>
      </c>
      <c r="I18" s="3" t="s">
        <v>16</v>
      </c>
      <c r="J18" s="4">
        <f t="shared" si="0"/>
        <v>46243</v>
      </c>
      <c r="K18" s="12" t="s">
        <v>28</v>
      </c>
    </row>
    <row r="19" spans="1:11" ht="15.75" customHeight="1" x14ac:dyDescent="0.3">
      <c r="A19" s="3">
        <v>10</v>
      </c>
      <c r="B19" s="3" t="s">
        <v>155</v>
      </c>
      <c r="C19" s="47">
        <v>1765</v>
      </c>
      <c r="D19" s="4">
        <f t="shared" si="1"/>
        <v>46242</v>
      </c>
      <c r="E19" s="13">
        <v>0</v>
      </c>
      <c r="F19" s="12" t="s">
        <v>23</v>
      </c>
      <c r="G19" s="41">
        <v>6434</v>
      </c>
      <c r="H19" s="14">
        <v>0</v>
      </c>
      <c r="I19" s="3" t="s">
        <v>16</v>
      </c>
      <c r="J19" s="4">
        <f t="shared" si="0"/>
        <v>46243</v>
      </c>
      <c r="K19" s="12" t="s">
        <v>28</v>
      </c>
    </row>
    <row r="20" spans="1:11" ht="15.75" customHeight="1" x14ac:dyDescent="0.3">
      <c r="A20" s="3">
        <v>11</v>
      </c>
      <c r="B20" s="3" t="s">
        <v>156</v>
      </c>
      <c r="C20" s="47">
        <v>9480</v>
      </c>
      <c r="D20" s="4">
        <f t="shared" si="1"/>
        <v>46242</v>
      </c>
      <c r="E20" s="13">
        <v>0</v>
      </c>
      <c r="F20" s="12" t="s">
        <v>23</v>
      </c>
      <c r="G20" s="41">
        <v>7775</v>
      </c>
      <c r="H20" s="14">
        <v>0</v>
      </c>
      <c r="I20" s="3" t="s">
        <v>16</v>
      </c>
      <c r="J20" s="4">
        <f t="shared" si="0"/>
        <v>46243</v>
      </c>
      <c r="K20" s="12" t="s">
        <v>28</v>
      </c>
    </row>
    <row r="21" spans="1:11" ht="15.75" customHeight="1" x14ac:dyDescent="0.3">
      <c r="A21" s="3">
        <v>12</v>
      </c>
      <c r="B21" s="3" t="s">
        <v>157</v>
      </c>
      <c r="C21" s="47">
        <v>11500</v>
      </c>
      <c r="D21" s="4">
        <f t="shared" si="1"/>
        <v>46242</v>
      </c>
      <c r="E21" s="13">
        <v>0</v>
      </c>
      <c r="F21" s="12" t="s">
        <v>23</v>
      </c>
      <c r="G21" s="41">
        <v>8801</v>
      </c>
      <c r="H21" s="14">
        <v>0</v>
      </c>
      <c r="I21" s="3" t="s">
        <v>16</v>
      </c>
      <c r="J21" s="4">
        <f t="shared" si="0"/>
        <v>46243</v>
      </c>
      <c r="K21" s="12" t="s">
        <v>158</v>
      </c>
    </row>
    <row r="22" spans="1:11" ht="18.75" customHeight="1" x14ac:dyDescent="0.35">
      <c r="A22" s="3"/>
      <c r="B22" s="15" t="s">
        <v>20</v>
      </c>
      <c r="C22" s="49">
        <f>SUM(C10:C21)</f>
        <v>73201</v>
      </c>
      <c r="D22" s="3"/>
      <c r="E22" s="3"/>
      <c r="F22" s="12"/>
      <c r="G22" s="12"/>
      <c r="H22" s="10"/>
      <c r="I22" s="3"/>
      <c r="J22" s="3"/>
      <c r="K22" s="3"/>
    </row>
    <row r="23" spans="1:11" ht="24.75" customHeight="1" x14ac:dyDescent="0.6">
      <c r="A23" s="71" t="s">
        <v>39</v>
      </c>
      <c r="B23" s="63"/>
      <c r="C23" s="63"/>
      <c r="D23" s="63"/>
      <c r="E23" s="63"/>
      <c r="F23" s="63"/>
      <c r="G23" s="63"/>
      <c r="H23" s="63"/>
      <c r="I23" s="63"/>
      <c r="J23" s="63"/>
      <c r="K23" s="64"/>
    </row>
    <row r="24" spans="1:11" ht="18.75" customHeight="1" x14ac:dyDescent="0.35">
      <c r="A24" s="16" t="s">
        <v>3</v>
      </c>
      <c r="B24" s="16" t="s">
        <v>40</v>
      </c>
      <c r="C24" s="40" t="s">
        <v>5</v>
      </c>
      <c r="D24" s="1" t="s">
        <v>41</v>
      </c>
      <c r="E24" s="16" t="s">
        <v>7</v>
      </c>
      <c r="F24" s="16" t="s">
        <v>8</v>
      </c>
      <c r="G24" s="16" t="s">
        <v>42</v>
      </c>
      <c r="H24" s="17" t="s">
        <v>43</v>
      </c>
      <c r="I24" s="16" t="s">
        <v>11</v>
      </c>
      <c r="J24" s="16" t="s">
        <v>44</v>
      </c>
      <c r="K24" s="18" t="s">
        <v>45</v>
      </c>
    </row>
    <row r="25" spans="1:11" ht="15.75" customHeight="1" x14ac:dyDescent="0.3">
      <c r="A25" s="7">
        <v>1</v>
      </c>
      <c r="B25" s="7" t="s">
        <v>159</v>
      </c>
      <c r="C25" s="42">
        <v>3639</v>
      </c>
      <c r="D25" s="4">
        <v>46242</v>
      </c>
      <c r="E25" s="7"/>
      <c r="F25" s="7"/>
      <c r="G25" s="19">
        <v>2687</v>
      </c>
      <c r="H25" s="20"/>
      <c r="I25" s="21"/>
      <c r="J25" s="4">
        <v>46242</v>
      </c>
      <c r="K25" s="12" t="s">
        <v>160</v>
      </c>
    </row>
    <row r="26" spans="1:11" ht="18.75" customHeight="1" x14ac:dyDescent="0.3">
      <c r="A26" s="7"/>
      <c r="B26" s="22" t="s">
        <v>52</v>
      </c>
      <c r="C26" s="50">
        <f>SUM(C25:C25)</f>
        <v>3639</v>
      </c>
      <c r="D26" s="3"/>
      <c r="E26" s="7"/>
      <c r="F26" s="7"/>
      <c r="G26" s="7"/>
      <c r="H26" s="23">
        <v>0</v>
      </c>
      <c r="I26" s="21"/>
      <c r="J26" s="3"/>
      <c r="K26" s="24"/>
    </row>
    <row r="27" spans="1:11" x14ac:dyDescent="0.3">
      <c r="C27" s="25"/>
      <c r="H27" s="25"/>
    </row>
    <row r="28" spans="1:11" ht="16.5" customHeight="1" x14ac:dyDescent="0.35">
      <c r="B28" s="26" t="s">
        <v>53</v>
      </c>
      <c r="C28" s="43">
        <f>SUM(C12,C13)</f>
        <v>26610</v>
      </c>
      <c r="E28" s="27"/>
      <c r="F28" s="27"/>
      <c r="G28" s="66"/>
      <c r="H28" s="67"/>
    </row>
    <row r="29" spans="1:11" ht="16.5" customHeight="1" x14ac:dyDescent="0.35">
      <c r="B29" s="28" t="s">
        <v>54</v>
      </c>
      <c r="C29" s="44">
        <f>SUM(C20,C19,C18,C17,C16,C15,C14,C10)</f>
        <v>35061</v>
      </c>
      <c r="E29" s="29"/>
      <c r="F29" s="29"/>
      <c r="G29" s="30" t="s">
        <v>55</v>
      </c>
      <c r="H29" s="31"/>
    </row>
    <row r="30" spans="1:11" ht="24" customHeight="1" x14ac:dyDescent="0.45">
      <c r="B30" s="32" t="s">
        <v>63</v>
      </c>
      <c r="C30" s="45">
        <f>SUM(C21,C11)</f>
        <v>11530</v>
      </c>
      <c r="E30" s="33" t="s">
        <v>57</v>
      </c>
      <c r="F30" s="34"/>
      <c r="G30" s="35"/>
      <c r="H30" s="36"/>
      <c r="I30" s="35"/>
      <c r="J30" s="37"/>
    </row>
    <row r="31" spans="1:11" ht="18.75" customHeight="1" x14ac:dyDescent="0.35">
      <c r="B31" s="38" t="s">
        <v>20</v>
      </c>
      <c r="C31" s="46">
        <f>SUM(C28:C30)</f>
        <v>73201</v>
      </c>
      <c r="G31" s="30"/>
      <c r="H31" s="31"/>
      <c r="I31" s="30"/>
      <c r="J31" s="30"/>
    </row>
  </sheetData>
  <mergeCells count="6">
    <mergeCell ref="A3:K3"/>
    <mergeCell ref="A2:K2"/>
    <mergeCell ref="G28:H28"/>
    <mergeCell ref="A1:K1"/>
    <mergeCell ref="A23:K23"/>
    <mergeCell ref="A9:K9"/>
  </mergeCells>
  <pageMargins left="0" right="0" top="0.39370078740157483" bottom="0" header="0" footer="0"/>
  <pageSetup scale="9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23"/>
  <sheetViews>
    <sheetView topLeftCell="A10" workbookViewId="0">
      <selection activeCell="I18" sqref="I18"/>
    </sheetView>
  </sheetViews>
  <sheetFormatPr defaultRowHeight="14.4" x14ac:dyDescent="0.3"/>
  <cols>
    <col min="1" max="1" width="4.44140625" bestFit="1" customWidth="1"/>
    <col min="2" max="2" width="24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886718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161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46243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46242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162</v>
      </c>
      <c r="C9" s="47">
        <v>2000</v>
      </c>
      <c r="D9" s="4">
        <v>46243</v>
      </c>
      <c r="E9" s="13">
        <v>0</v>
      </c>
      <c r="F9" s="12" t="s">
        <v>23</v>
      </c>
      <c r="G9" s="41">
        <v>563</v>
      </c>
      <c r="H9" s="14">
        <v>0</v>
      </c>
      <c r="I9" s="3" t="s">
        <v>24</v>
      </c>
      <c r="J9" s="4">
        <f>+D9+1</f>
        <v>46244</v>
      </c>
      <c r="K9" s="12" t="s">
        <v>163</v>
      </c>
    </row>
    <row r="10" spans="1:11" ht="15.75" customHeight="1" x14ac:dyDescent="0.3">
      <c r="A10" s="3">
        <v>2</v>
      </c>
      <c r="B10" s="3" t="s">
        <v>164</v>
      </c>
      <c r="C10" s="47">
        <v>27690</v>
      </c>
      <c r="D10" s="4">
        <f>+D9</f>
        <v>46243</v>
      </c>
      <c r="E10" s="13">
        <v>0</v>
      </c>
      <c r="F10" s="12" t="s">
        <v>23</v>
      </c>
      <c r="G10" s="41">
        <v>5500</v>
      </c>
      <c r="H10" s="14">
        <v>0</v>
      </c>
      <c r="I10" s="3" t="s">
        <v>16</v>
      </c>
      <c r="J10" s="4">
        <f>+D10+1</f>
        <v>46244</v>
      </c>
      <c r="K10" s="12" t="s">
        <v>28</v>
      </c>
    </row>
    <row r="11" spans="1:11" ht="15.75" customHeight="1" x14ac:dyDescent="0.3">
      <c r="A11" s="3">
        <v>3</v>
      </c>
      <c r="B11" s="3" t="s">
        <v>165</v>
      </c>
      <c r="C11" s="47">
        <v>3300</v>
      </c>
      <c r="D11" s="4">
        <f>+D10</f>
        <v>46243</v>
      </c>
      <c r="E11" s="13">
        <v>0</v>
      </c>
      <c r="F11" s="12" t="s">
        <v>23</v>
      </c>
      <c r="G11" s="41">
        <v>4466</v>
      </c>
      <c r="H11" s="14">
        <v>0</v>
      </c>
      <c r="I11" s="3" t="s">
        <v>16</v>
      </c>
      <c r="J11" s="4">
        <f>+D11+1</f>
        <v>46244</v>
      </c>
      <c r="K11" s="12" t="s">
        <v>28</v>
      </c>
    </row>
    <row r="12" spans="1:11" ht="18.75" customHeight="1" x14ac:dyDescent="0.35">
      <c r="A12" s="3"/>
      <c r="B12" s="15" t="s">
        <v>20</v>
      </c>
      <c r="C12" s="49">
        <f>SUM(C9:C11)</f>
        <v>32990</v>
      </c>
      <c r="D12" s="3"/>
      <c r="E12" s="3"/>
      <c r="F12" s="12"/>
      <c r="G12" s="12"/>
      <c r="H12" s="10"/>
      <c r="I12" s="3"/>
      <c r="J12" s="3"/>
      <c r="K12" s="3"/>
    </row>
    <row r="13" spans="1:11" ht="24.75" customHeight="1" x14ac:dyDescent="0.6">
      <c r="A13" s="71" t="s">
        <v>39</v>
      </c>
      <c r="B13" s="63"/>
      <c r="C13" s="63"/>
      <c r="D13" s="63"/>
      <c r="E13" s="63"/>
      <c r="F13" s="63"/>
      <c r="G13" s="63"/>
      <c r="H13" s="63"/>
      <c r="I13" s="63"/>
      <c r="J13" s="63"/>
      <c r="K13" s="64"/>
    </row>
    <row r="14" spans="1:11" ht="18.75" customHeight="1" x14ac:dyDescent="0.35">
      <c r="A14" s="16" t="s">
        <v>3</v>
      </c>
      <c r="B14" s="16" t="s">
        <v>40</v>
      </c>
      <c r="C14" s="40" t="s">
        <v>5</v>
      </c>
      <c r="D14" s="1" t="s">
        <v>41</v>
      </c>
      <c r="E14" s="16" t="s">
        <v>7</v>
      </c>
      <c r="F14" s="16" t="s">
        <v>8</v>
      </c>
      <c r="G14" s="16" t="s">
        <v>42</v>
      </c>
      <c r="H14" s="17" t="s">
        <v>43</v>
      </c>
      <c r="I14" s="16" t="s">
        <v>11</v>
      </c>
      <c r="J14" s="16" t="s">
        <v>44</v>
      </c>
      <c r="K14" s="18" t="s">
        <v>45</v>
      </c>
    </row>
    <row r="15" spans="1:11" ht="15.75" customHeight="1" x14ac:dyDescent="0.3">
      <c r="A15" s="7">
        <v>1</v>
      </c>
      <c r="B15" s="7" t="s">
        <v>47</v>
      </c>
      <c r="C15" s="42">
        <v>27881</v>
      </c>
      <c r="D15" s="4">
        <v>46243</v>
      </c>
      <c r="E15" s="7"/>
      <c r="F15" s="7"/>
      <c r="G15" s="19">
        <v>11</v>
      </c>
      <c r="H15" s="20"/>
      <c r="I15" s="21"/>
      <c r="J15" s="4">
        <v>46243</v>
      </c>
      <c r="K15" s="12" t="s">
        <v>28</v>
      </c>
    </row>
    <row r="16" spans="1:11" ht="15.75" customHeight="1" x14ac:dyDescent="0.3">
      <c r="A16" s="7">
        <v>2</v>
      </c>
      <c r="B16" s="7" t="s">
        <v>105</v>
      </c>
      <c r="C16" s="42">
        <v>100000</v>
      </c>
      <c r="D16" s="4">
        <v>46243</v>
      </c>
      <c r="E16" s="7"/>
      <c r="F16" s="7"/>
      <c r="G16" s="19">
        <v>5204</v>
      </c>
      <c r="H16" s="20"/>
      <c r="I16" s="21"/>
      <c r="J16" s="4">
        <v>46243</v>
      </c>
      <c r="K16" s="12" t="s">
        <v>106</v>
      </c>
    </row>
    <row r="17" spans="1:11" ht="15.75" customHeight="1" x14ac:dyDescent="0.3">
      <c r="A17" s="7">
        <v>3</v>
      </c>
      <c r="B17" s="7" t="s">
        <v>47</v>
      </c>
      <c r="C17" s="42">
        <v>54466</v>
      </c>
      <c r="D17" s="4">
        <v>46243</v>
      </c>
      <c r="E17" s="7"/>
      <c r="F17" s="7"/>
      <c r="G17" s="19">
        <v>61</v>
      </c>
      <c r="H17" s="20"/>
      <c r="I17" s="21"/>
      <c r="J17" s="4">
        <v>46243</v>
      </c>
      <c r="K17" s="12" t="s">
        <v>28</v>
      </c>
    </row>
    <row r="18" spans="1:11" ht="18.75" customHeight="1" x14ac:dyDescent="0.3">
      <c r="A18" s="7"/>
      <c r="B18" s="22" t="s">
        <v>52</v>
      </c>
      <c r="C18" s="50">
        <f>SUM(C15:C17)</f>
        <v>182347</v>
      </c>
      <c r="D18" s="3"/>
      <c r="E18" s="7"/>
      <c r="F18" s="7"/>
      <c r="G18" s="7"/>
      <c r="H18" s="23">
        <v>0</v>
      </c>
      <c r="I18" s="21"/>
      <c r="J18" s="3"/>
      <c r="K18" s="24"/>
    </row>
    <row r="19" spans="1:11" x14ac:dyDescent="0.3">
      <c r="C19" s="25"/>
      <c r="H19" s="25"/>
    </row>
    <row r="20" spans="1:11" ht="16.5" customHeight="1" x14ac:dyDescent="0.35">
      <c r="B20" s="26" t="s">
        <v>53</v>
      </c>
      <c r="C20" s="43"/>
      <c r="E20" s="27"/>
      <c r="F20" s="27"/>
      <c r="G20" s="66"/>
      <c r="H20" s="67"/>
    </row>
    <row r="21" spans="1:11" ht="16.5" customHeight="1" x14ac:dyDescent="0.35">
      <c r="B21" s="28" t="s">
        <v>54</v>
      </c>
      <c r="C21" s="44">
        <f>SUM(C11,C10)</f>
        <v>30990</v>
      </c>
      <c r="E21" s="29"/>
      <c r="F21" s="29"/>
      <c r="G21" s="30" t="s">
        <v>55</v>
      </c>
      <c r="H21" s="31"/>
    </row>
    <row r="22" spans="1:11" ht="24" customHeight="1" x14ac:dyDescent="0.45">
      <c r="B22" s="32" t="s">
        <v>163</v>
      </c>
      <c r="C22" s="45">
        <f>SUM(C9)</f>
        <v>2000</v>
      </c>
      <c r="E22" s="33" t="s">
        <v>57</v>
      </c>
      <c r="F22" s="34"/>
      <c r="G22" s="35"/>
      <c r="H22" s="36"/>
      <c r="I22" s="35"/>
      <c r="J22" s="37"/>
    </row>
    <row r="23" spans="1:11" ht="18.75" customHeight="1" x14ac:dyDescent="0.35">
      <c r="B23" s="38" t="s">
        <v>20</v>
      </c>
      <c r="C23" s="46">
        <f>SUM(C20:C22)</f>
        <v>32990</v>
      </c>
      <c r="G23" s="30"/>
      <c r="H23" s="31"/>
      <c r="I23" s="30"/>
      <c r="J23" s="30"/>
    </row>
  </sheetData>
  <mergeCells count="6">
    <mergeCell ref="G20:H20"/>
    <mergeCell ref="A3:K3"/>
    <mergeCell ref="A2:K2"/>
    <mergeCell ref="A13:K13"/>
    <mergeCell ref="A1:K1"/>
    <mergeCell ref="A8:K8"/>
  </mergeCells>
  <pageMargins left="0" right="0" top="0" bottom="0" header="0" footer="0"/>
  <pageSetup scale="8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7"/>
  <sheetViews>
    <sheetView topLeftCell="A15" workbookViewId="0">
      <selection sqref="A1:K27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2.5546875" bestFit="1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166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46244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46243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167</v>
      </c>
      <c r="C9" s="47">
        <v>1100</v>
      </c>
      <c r="D9" s="4">
        <v>46244</v>
      </c>
      <c r="E9" s="13">
        <v>0</v>
      </c>
      <c r="F9" s="12" t="s">
        <v>23</v>
      </c>
      <c r="G9" s="41">
        <v>4679</v>
      </c>
      <c r="H9" s="14">
        <v>0</v>
      </c>
      <c r="I9" s="3" t="s">
        <v>24</v>
      </c>
      <c r="J9" s="4">
        <f t="shared" ref="J9:J14" si="0">+D9+1</f>
        <v>46245</v>
      </c>
      <c r="K9" s="12" t="s">
        <v>168</v>
      </c>
    </row>
    <row r="10" spans="1:11" ht="15.75" customHeight="1" x14ac:dyDescent="0.3">
      <c r="A10" s="3">
        <v>2</v>
      </c>
      <c r="B10" s="3" t="s">
        <v>169</v>
      </c>
      <c r="C10" s="47">
        <v>600</v>
      </c>
      <c r="D10" s="4">
        <f>+D9</f>
        <v>46244</v>
      </c>
      <c r="E10" s="13">
        <v>0</v>
      </c>
      <c r="F10" s="12" t="s">
        <v>23</v>
      </c>
      <c r="G10" s="41">
        <v>9710</v>
      </c>
      <c r="H10" s="14">
        <v>0</v>
      </c>
      <c r="I10" s="3" t="s">
        <v>16</v>
      </c>
      <c r="J10" s="4">
        <f t="shared" si="0"/>
        <v>46245</v>
      </c>
      <c r="K10" s="12" t="s">
        <v>25</v>
      </c>
    </row>
    <row r="11" spans="1:11" ht="15.75" customHeight="1" x14ac:dyDescent="0.3">
      <c r="A11" s="3">
        <v>3</v>
      </c>
      <c r="B11" s="3" t="s">
        <v>170</v>
      </c>
      <c r="C11" s="47">
        <v>745</v>
      </c>
      <c r="D11" s="4">
        <f>+D10</f>
        <v>46244</v>
      </c>
      <c r="E11" s="13">
        <v>0</v>
      </c>
      <c r="F11" s="12" t="s">
        <v>23</v>
      </c>
      <c r="G11" s="41">
        <v>8566</v>
      </c>
      <c r="H11" s="14">
        <v>0</v>
      </c>
      <c r="I11" s="3" t="s">
        <v>16</v>
      </c>
      <c r="J11" s="4">
        <f t="shared" si="0"/>
        <v>46245</v>
      </c>
      <c r="K11" s="12" t="s">
        <v>25</v>
      </c>
    </row>
    <row r="12" spans="1:11" ht="15.75" customHeight="1" x14ac:dyDescent="0.3">
      <c r="A12" s="3">
        <v>4</v>
      </c>
      <c r="B12" s="3" t="s">
        <v>171</v>
      </c>
      <c r="C12" s="47">
        <v>4300</v>
      </c>
      <c r="D12" s="4">
        <f>+D11</f>
        <v>46244</v>
      </c>
      <c r="E12" s="13">
        <v>0</v>
      </c>
      <c r="F12" s="12" t="s">
        <v>23</v>
      </c>
      <c r="G12" s="41">
        <v>9479</v>
      </c>
      <c r="H12" s="14">
        <v>0</v>
      </c>
      <c r="I12" s="3" t="s">
        <v>16</v>
      </c>
      <c r="J12" s="4">
        <f t="shared" si="0"/>
        <v>46245</v>
      </c>
      <c r="K12" s="12" t="s">
        <v>73</v>
      </c>
    </row>
    <row r="13" spans="1:11" ht="15.75" customHeight="1" x14ac:dyDescent="0.3">
      <c r="A13" s="3">
        <v>5</v>
      </c>
      <c r="B13" s="3" t="s">
        <v>127</v>
      </c>
      <c r="C13" s="47">
        <v>1650</v>
      </c>
      <c r="D13" s="4">
        <f>+D12</f>
        <v>46244</v>
      </c>
      <c r="E13" s="13">
        <v>0</v>
      </c>
      <c r="F13" s="12" t="s">
        <v>23</v>
      </c>
      <c r="G13" s="41">
        <v>9201</v>
      </c>
      <c r="H13" s="14">
        <v>0</v>
      </c>
      <c r="I13" s="3" t="s">
        <v>16</v>
      </c>
      <c r="J13" s="4">
        <f t="shared" si="0"/>
        <v>46245</v>
      </c>
      <c r="K13" s="12" t="s">
        <v>73</v>
      </c>
    </row>
    <row r="14" spans="1:11" ht="15.75" customHeight="1" x14ac:dyDescent="0.3">
      <c r="A14" s="3">
        <v>6</v>
      </c>
      <c r="B14" s="3" t="s">
        <v>172</v>
      </c>
      <c r="C14" s="47">
        <v>6500</v>
      </c>
      <c r="D14" s="4">
        <f>+D13</f>
        <v>46244</v>
      </c>
      <c r="E14" s="13">
        <v>0</v>
      </c>
      <c r="F14" s="12" t="s">
        <v>23</v>
      </c>
      <c r="G14" s="41">
        <v>7973</v>
      </c>
      <c r="H14" s="14">
        <v>0</v>
      </c>
      <c r="I14" s="3" t="s">
        <v>16</v>
      </c>
      <c r="J14" s="4">
        <f t="shared" si="0"/>
        <v>46245</v>
      </c>
      <c r="K14" s="12" t="s">
        <v>76</v>
      </c>
    </row>
    <row r="15" spans="1:11" ht="18.75" customHeight="1" x14ac:dyDescent="0.35">
      <c r="A15" s="3"/>
      <c r="B15" s="15" t="s">
        <v>20</v>
      </c>
      <c r="C15" s="49">
        <f>SUM(C9:C14)</f>
        <v>14895</v>
      </c>
      <c r="D15" s="3"/>
      <c r="E15" s="3"/>
      <c r="F15" s="12"/>
      <c r="G15" s="12"/>
      <c r="H15" s="10"/>
      <c r="I15" s="3"/>
      <c r="J15" s="3"/>
      <c r="K15" s="3"/>
    </row>
    <row r="16" spans="1:11" ht="24.75" customHeight="1" x14ac:dyDescent="0.6">
      <c r="A16" s="71" t="s">
        <v>39</v>
      </c>
      <c r="B16" s="63"/>
      <c r="C16" s="63"/>
      <c r="D16" s="63"/>
      <c r="E16" s="63"/>
      <c r="F16" s="63"/>
      <c r="G16" s="63"/>
      <c r="H16" s="63"/>
      <c r="I16" s="63"/>
      <c r="J16" s="63"/>
      <c r="K16" s="64"/>
    </row>
    <row r="17" spans="1:11" ht="18.75" customHeight="1" x14ac:dyDescent="0.35">
      <c r="A17" s="16" t="s">
        <v>3</v>
      </c>
      <c r="B17" s="16" t="s">
        <v>40</v>
      </c>
      <c r="C17" s="40" t="s">
        <v>5</v>
      </c>
      <c r="D17" s="1" t="s">
        <v>41</v>
      </c>
      <c r="E17" s="16" t="s">
        <v>7</v>
      </c>
      <c r="F17" s="16" t="s">
        <v>8</v>
      </c>
      <c r="G17" s="16" t="s">
        <v>42</v>
      </c>
      <c r="H17" s="17" t="s">
        <v>43</v>
      </c>
      <c r="I17" s="16" t="s">
        <v>11</v>
      </c>
      <c r="J17" s="16" t="s">
        <v>44</v>
      </c>
      <c r="K17" s="18" t="s">
        <v>45</v>
      </c>
    </row>
    <row r="18" spans="1:11" ht="15.75" customHeight="1" x14ac:dyDescent="0.3">
      <c r="A18" s="7">
        <v>1</v>
      </c>
      <c r="B18" s="7" t="s">
        <v>173</v>
      </c>
      <c r="C18" s="42">
        <v>3500</v>
      </c>
      <c r="D18" s="4">
        <v>46244</v>
      </c>
      <c r="E18" s="7"/>
      <c r="F18" s="7"/>
      <c r="G18" s="19">
        <v>2255</v>
      </c>
      <c r="H18" s="20"/>
      <c r="I18" s="21"/>
      <c r="J18" s="4">
        <v>46244</v>
      </c>
      <c r="K18" s="12" t="s">
        <v>174</v>
      </c>
    </row>
    <row r="19" spans="1:11" ht="15.75" customHeight="1" x14ac:dyDescent="0.3">
      <c r="A19" s="7">
        <v>2</v>
      </c>
      <c r="B19" s="7" t="s">
        <v>175</v>
      </c>
      <c r="C19" s="42">
        <v>1138.55</v>
      </c>
      <c r="D19" s="4">
        <v>46244</v>
      </c>
      <c r="E19" s="7"/>
      <c r="F19" s="7"/>
      <c r="G19" s="19">
        <v>8365</v>
      </c>
      <c r="H19" s="20"/>
      <c r="I19" s="21"/>
      <c r="J19" s="4">
        <v>46244</v>
      </c>
      <c r="K19" s="12" t="s">
        <v>176</v>
      </c>
    </row>
    <row r="20" spans="1:11" ht="15.75" customHeight="1" x14ac:dyDescent="0.3">
      <c r="A20" s="7">
        <v>3</v>
      </c>
      <c r="B20" s="7" t="s">
        <v>177</v>
      </c>
      <c r="C20" s="42">
        <v>590</v>
      </c>
      <c r="D20" s="4">
        <v>46244</v>
      </c>
      <c r="E20" s="7"/>
      <c r="F20" s="7"/>
      <c r="G20" s="19">
        <v>0</v>
      </c>
      <c r="H20" s="20"/>
      <c r="I20" s="21"/>
      <c r="J20" s="4">
        <v>46244</v>
      </c>
      <c r="K20" s="12" t="s">
        <v>178</v>
      </c>
    </row>
    <row r="21" spans="1:11" ht="15.75" customHeight="1" x14ac:dyDescent="0.3">
      <c r="A21" s="7">
        <v>4</v>
      </c>
      <c r="B21" s="7" t="s">
        <v>179</v>
      </c>
      <c r="C21" s="42">
        <v>116.82</v>
      </c>
      <c r="D21" s="4">
        <v>46244</v>
      </c>
      <c r="E21" s="7"/>
      <c r="F21" s="7"/>
      <c r="G21" s="19">
        <v>0</v>
      </c>
      <c r="H21" s="20"/>
      <c r="I21" s="21"/>
      <c r="J21" s="4">
        <v>46244</v>
      </c>
      <c r="K21" s="12" t="s">
        <v>180</v>
      </c>
    </row>
    <row r="22" spans="1:11" ht="18.75" customHeight="1" x14ac:dyDescent="0.3">
      <c r="A22" s="7"/>
      <c r="B22" s="22" t="s">
        <v>52</v>
      </c>
      <c r="C22" s="50">
        <f>SUM(C18:C21)</f>
        <v>5345.37</v>
      </c>
      <c r="D22" s="3"/>
      <c r="E22" s="7"/>
      <c r="F22" s="7"/>
      <c r="G22" s="7"/>
      <c r="H22" s="23">
        <v>0</v>
      </c>
      <c r="I22" s="21"/>
      <c r="J22" s="3"/>
      <c r="K22" s="24"/>
    </row>
    <row r="23" spans="1:11" x14ac:dyDescent="0.3">
      <c r="C23" s="25"/>
      <c r="H23" s="25"/>
    </row>
    <row r="24" spans="1:11" ht="16.5" customHeight="1" x14ac:dyDescent="0.35">
      <c r="B24" s="26" t="s">
        <v>53</v>
      </c>
      <c r="C24" s="43">
        <f>SUM(C10,C11,C12,C13,C14)</f>
        <v>13795</v>
      </c>
      <c r="E24" s="27"/>
      <c r="F24" s="27"/>
      <c r="G24" s="66"/>
      <c r="H24" s="67"/>
    </row>
    <row r="25" spans="1:11" ht="16.5" customHeight="1" x14ac:dyDescent="0.35">
      <c r="B25" s="28" t="s">
        <v>54</v>
      </c>
      <c r="C25" s="44"/>
      <c r="E25" s="29"/>
      <c r="F25" s="29"/>
      <c r="G25" s="30" t="s">
        <v>55</v>
      </c>
      <c r="H25" s="31"/>
    </row>
    <row r="26" spans="1:11" ht="24" customHeight="1" x14ac:dyDescent="0.45">
      <c r="B26" s="32" t="s">
        <v>181</v>
      </c>
      <c r="C26" s="45">
        <f>SUM(C9)</f>
        <v>1100</v>
      </c>
      <c r="E26" s="33" t="s">
        <v>57</v>
      </c>
      <c r="F26" s="34"/>
      <c r="G26" s="35"/>
      <c r="H26" s="36"/>
      <c r="I26" s="35"/>
      <c r="J26" s="37"/>
    </row>
    <row r="27" spans="1:11" ht="18.75" customHeight="1" x14ac:dyDescent="0.35">
      <c r="B27" s="38" t="s">
        <v>20</v>
      </c>
      <c r="C27" s="46">
        <f>SUM(C24:C26)</f>
        <v>14895</v>
      </c>
      <c r="G27" s="30"/>
      <c r="H27" s="31"/>
      <c r="I27" s="30"/>
      <c r="J27" s="30"/>
    </row>
  </sheetData>
  <mergeCells count="6">
    <mergeCell ref="A3:K3"/>
    <mergeCell ref="G24:H24"/>
    <mergeCell ref="A16:K16"/>
    <mergeCell ref="A2:K2"/>
    <mergeCell ref="A1:K1"/>
    <mergeCell ref="A8:K8"/>
  </mergeCells>
  <pageMargins left="0" right="0" top="0" bottom="0" header="0" footer="0"/>
  <pageSetup scale="98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24"/>
  <sheetViews>
    <sheetView topLeftCell="A11" workbookViewId="0">
      <selection sqref="A1:K24"/>
    </sheetView>
  </sheetViews>
  <sheetFormatPr defaultRowHeight="14.4" x14ac:dyDescent="0.3"/>
  <cols>
    <col min="1" max="1" width="4.44140625" bestFit="1" customWidth="1"/>
    <col min="2" max="2" width="22.441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2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182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46245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46244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183</v>
      </c>
      <c r="C9" s="47">
        <v>420</v>
      </c>
      <c r="D9" s="4">
        <v>46245</v>
      </c>
      <c r="E9" s="13">
        <v>0</v>
      </c>
      <c r="F9" s="12" t="s">
        <v>23</v>
      </c>
      <c r="G9" s="41">
        <v>2313</v>
      </c>
      <c r="H9" s="14">
        <v>0</v>
      </c>
      <c r="I9" s="3" t="s">
        <v>24</v>
      </c>
      <c r="J9" s="4">
        <f t="shared" ref="J9:J14" si="0">+D9+1</f>
        <v>46246</v>
      </c>
      <c r="K9" s="12" t="s">
        <v>28</v>
      </c>
    </row>
    <row r="10" spans="1:11" ht="15.75" customHeight="1" x14ac:dyDescent="0.3">
      <c r="A10" s="3">
        <v>2</v>
      </c>
      <c r="B10" s="3" t="s">
        <v>184</v>
      </c>
      <c r="C10" s="47">
        <v>515</v>
      </c>
      <c r="D10" s="4">
        <f>+D9</f>
        <v>46245</v>
      </c>
      <c r="E10" s="13">
        <v>0</v>
      </c>
      <c r="F10" s="12" t="s">
        <v>23</v>
      </c>
      <c r="G10" s="41">
        <v>2509</v>
      </c>
      <c r="H10" s="14">
        <v>0</v>
      </c>
      <c r="I10" s="3" t="s">
        <v>16</v>
      </c>
      <c r="J10" s="4">
        <f t="shared" si="0"/>
        <v>46246</v>
      </c>
      <c r="K10" s="12" t="s">
        <v>28</v>
      </c>
    </row>
    <row r="11" spans="1:11" ht="15.75" customHeight="1" x14ac:dyDescent="0.3">
      <c r="A11" s="3">
        <v>3</v>
      </c>
      <c r="B11" s="3" t="s">
        <v>185</v>
      </c>
      <c r="C11" s="47">
        <v>280</v>
      </c>
      <c r="D11" s="4">
        <f>+D10</f>
        <v>46245</v>
      </c>
      <c r="E11" s="13">
        <v>0</v>
      </c>
      <c r="F11" s="12" t="s">
        <v>23</v>
      </c>
      <c r="G11" s="41">
        <v>384</v>
      </c>
      <c r="H11" s="14">
        <v>0</v>
      </c>
      <c r="I11" s="3" t="s">
        <v>16</v>
      </c>
      <c r="J11" s="4">
        <f t="shared" si="0"/>
        <v>46246</v>
      </c>
      <c r="K11" s="12" t="s">
        <v>28</v>
      </c>
    </row>
    <row r="12" spans="1:11" ht="15.75" customHeight="1" x14ac:dyDescent="0.3">
      <c r="A12" s="3">
        <v>4</v>
      </c>
      <c r="B12" s="3" t="s">
        <v>186</v>
      </c>
      <c r="C12" s="47">
        <v>970</v>
      </c>
      <c r="D12" s="4">
        <f>+D11</f>
        <v>46245</v>
      </c>
      <c r="E12" s="13">
        <v>0</v>
      </c>
      <c r="F12" s="12" t="s">
        <v>23</v>
      </c>
      <c r="G12" s="41">
        <v>5070</v>
      </c>
      <c r="H12" s="14">
        <v>0</v>
      </c>
      <c r="I12" s="3" t="s">
        <v>16</v>
      </c>
      <c r="J12" s="4">
        <f t="shared" si="0"/>
        <v>46246</v>
      </c>
      <c r="K12" s="12" t="s">
        <v>28</v>
      </c>
    </row>
    <row r="13" spans="1:11" ht="15.75" customHeight="1" x14ac:dyDescent="0.3">
      <c r="A13" s="3">
        <v>5</v>
      </c>
      <c r="B13" s="3" t="s">
        <v>187</v>
      </c>
      <c r="C13" s="47">
        <v>830</v>
      </c>
      <c r="D13" s="4">
        <f>+D12</f>
        <v>46245</v>
      </c>
      <c r="E13" s="13">
        <v>0</v>
      </c>
      <c r="F13" s="12" t="s">
        <v>23</v>
      </c>
      <c r="G13" s="41">
        <v>8153</v>
      </c>
      <c r="H13" s="14">
        <v>0</v>
      </c>
      <c r="I13" s="3" t="s">
        <v>16</v>
      </c>
      <c r="J13" s="4">
        <f t="shared" si="0"/>
        <v>46246</v>
      </c>
      <c r="K13" s="12" t="s">
        <v>73</v>
      </c>
    </row>
    <row r="14" spans="1:11" ht="15.75" customHeight="1" x14ac:dyDescent="0.3">
      <c r="A14" s="3">
        <v>6</v>
      </c>
      <c r="B14" s="3" t="s">
        <v>188</v>
      </c>
      <c r="C14" s="47">
        <v>25</v>
      </c>
      <c r="D14" s="4">
        <f>+D13</f>
        <v>46245</v>
      </c>
      <c r="E14" s="13">
        <v>0</v>
      </c>
      <c r="F14" s="12" t="s">
        <v>23</v>
      </c>
      <c r="G14" s="41">
        <v>2492</v>
      </c>
      <c r="H14" s="14">
        <v>0</v>
      </c>
      <c r="I14" s="3" t="s">
        <v>16</v>
      </c>
      <c r="J14" s="4">
        <f t="shared" si="0"/>
        <v>46246</v>
      </c>
      <c r="K14" s="12" t="s">
        <v>28</v>
      </c>
    </row>
    <row r="15" spans="1:11" ht="18.75" customHeight="1" x14ac:dyDescent="0.35">
      <c r="A15" s="3"/>
      <c r="B15" s="15" t="s">
        <v>20</v>
      </c>
      <c r="C15" s="49">
        <f>SUM(C9:C14)</f>
        <v>3040</v>
      </c>
      <c r="D15" s="3"/>
      <c r="E15" s="3"/>
      <c r="F15" s="12"/>
      <c r="G15" s="12"/>
      <c r="H15" s="10"/>
      <c r="I15" s="3"/>
      <c r="J15" s="3"/>
      <c r="K15" s="3"/>
    </row>
    <row r="16" spans="1:11" ht="24.75" customHeight="1" x14ac:dyDescent="0.6">
      <c r="A16" s="71" t="s">
        <v>39</v>
      </c>
      <c r="B16" s="63"/>
      <c r="C16" s="63"/>
      <c r="D16" s="63"/>
      <c r="E16" s="63"/>
      <c r="F16" s="63"/>
      <c r="G16" s="63"/>
      <c r="H16" s="63"/>
      <c r="I16" s="63"/>
      <c r="J16" s="63"/>
      <c r="K16" s="64"/>
    </row>
    <row r="17" spans="1:11" ht="18.75" customHeight="1" x14ac:dyDescent="0.35">
      <c r="A17" s="16" t="s">
        <v>3</v>
      </c>
      <c r="B17" s="16" t="s">
        <v>40</v>
      </c>
      <c r="C17" s="40" t="s">
        <v>5</v>
      </c>
      <c r="D17" s="1" t="s">
        <v>41</v>
      </c>
      <c r="E17" s="16" t="s">
        <v>7</v>
      </c>
      <c r="F17" s="16" t="s">
        <v>8</v>
      </c>
      <c r="G17" s="16" t="s">
        <v>42</v>
      </c>
      <c r="H17" s="17" t="s">
        <v>43</v>
      </c>
      <c r="I17" s="16" t="s">
        <v>11</v>
      </c>
      <c r="J17" s="16" t="s">
        <v>44</v>
      </c>
      <c r="K17" s="18" t="s">
        <v>45</v>
      </c>
    </row>
    <row r="18" spans="1:11" ht="15.75" customHeight="1" x14ac:dyDescent="0.3">
      <c r="A18" s="7">
        <v>1</v>
      </c>
      <c r="B18" s="7" t="s">
        <v>18</v>
      </c>
      <c r="C18" s="42">
        <v>25000</v>
      </c>
      <c r="D18" s="4">
        <v>46245</v>
      </c>
      <c r="E18" s="7"/>
      <c r="F18" s="7"/>
      <c r="G18" s="19">
        <v>1235</v>
      </c>
      <c r="H18" s="20"/>
      <c r="I18" s="21"/>
      <c r="J18" s="4">
        <v>46245</v>
      </c>
      <c r="K18" s="12" t="s">
        <v>66</v>
      </c>
    </row>
    <row r="19" spans="1:11" ht="18.75" customHeight="1" x14ac:dyDescent="0.3">
      <c r="A19" s="7"/>
      <c r="B19" s="22" t="s">
        <v>52</v>
      </c>
      <c r="C19" s="50">
        <f>SUM(C18:C18)</f>
        <v>25000</v>
      </c>
      <c r="D19" s="3"/>
      <c r="E19" s="7"/>
      <c r="F19" s="7"/>
      <c r="G19" s="7"/>
      <c r="H19" s="23">
        <v>0</v>
      </c>
      <c r="I19" s="21"/>
      <c r="J19" s="3"/>
      <c r="K19" s="24"/>
    </row>
    <row r="20" spans="1:11" x14ac:dyDescent="0.3">
      <c r="C20" s="25"/>
      <c r="H20" s="25"/>
    </row>
    <row r="21" spans="1:11" ht="16.5" customHeight="1" x14ac:dyDescent="0.35">
      <c r="B21" s="26" t="s">
        <v>53</v>
      </c>
      <c r="C21" s="43">
        <f>SUM(C13)</f>
        <v>830</v>
      </c>
      <c r="E21" s="27"/>
      <c r="F21" s="27"/>
      <c r="G21" s="66"/>
      <c r="H21" s="67"/>
    </row>
    <row r="22" spans="1:11" ht="16.5" customHeight="1" x14ac:dyDescent="0.35">
      <c r="B22" s="28" t="s">
        <v>54</v>
      </c>
      <c r="C22" s="44">
        <f>SUM(C9,C10,C11,C12,C14)</f>
        <v>2210</v>
      </c>
      <c r="E22" s="29"/>
      <c r="F22" s="29"/>
      <c r="G22" s="30" t="s">
        <v>55</v>
      </c>
      <c r="H22" s="31"/>
    </row>
    <row r="23" spans="1:11" ht="24" customHeight="1" x14ac:dyDescent="0.45">
      <c r="B23" s="32" t="s">
        <v>63</v>
      </c>
      <c r="C23" s="45"/>
      <c r="E23" s="33" t="s">
        <v>57</v>
      </c>
      <c r="F23" s="34"/>
      <c r="G23" s="35"/>
      <c r="H23" s="36"/>
      <c r="I23" s="35"/>
      <c r="J23" s="37"/>
    </row>
    <row r="24" spans="1:11" ht="18.75" customHeight="1" x14ac:dyDescent="0.35">
      <c r="B24" s="38" t="s">
        <v>20</v>
      </c>
      <c r="C24" s="46">
        <f>SUM(C21:C23)</f>
        <v>3040</v>
      </c>
      <c r="G24" s="30"/>
      <c r="H24" s="31"/>
      <c r="I24" s="30"/>
      <c r="J24" s="30"/>
    </row>
  </sheetData>
  <mergeCells count="6">
    <mergeCell ref="G21:H21"/>
    <mergeCell ref="A3:K3"/>
    <mergeCell ref="A2:K2"/>
    <mergeCell ref="A16:K16"/>
    <mergeCell ref="A1:K1"/>
    <mergeCell ref="A8:K8"/>
  </mergeCells>
  <pageMargins left="0" right="0" top="0" bottom="0" header="0" footer="0"/>
  <pageSetup scale="94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29"/>
  <sheetViews>
    <sheetView topLeftCell="A16" workbookViewId="0">
      <selection sqref="A1:K29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332031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189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46246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46245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52" t="s">
        <v>190</v>
      </c>
      <c r="C9" s="47">
        <v>2700</v>
      </c>
      <c r="D9" s="4">
        <v>46246</v>
      </c>
      <c r="E9" s="13">
        <v>0</v>
      </c>
      <c r="F9" s="12" t="s">
        <v>23</v>
      </c>
      <c r="G9" s="41">
        <v>9192</v>
      </c>
      <c r="H9" s="14">
        <v>0</v>
      </c>
      <c r="I9" s="3" t="s">
        <v>24</v>
      </c>
      <c r="J9" s="4">
        <f t="shared" ref="J9:J17" si="0">+D9+1</f>
        <v>46247</v>
      </c>
      <c r="K9" s="12" t="s">
        <v>191</v>
      </c>
    </row>
    <row r="10" spans="1:11" ht="15.75" customHeight="1" x14ac:dyDescent="0.3">
      <c r="A10" s="3">
        <v>2</v>
      </c>
      <c r="B10" s="3" t="s">
        <v>192</v>
      </c>
      <c r="C10" s="47">
        <v>1745</v>
      </c>
      <c r="D10" s="4">
        <f t="shared" ref="D10:D17" si="1">+D9</f>
        <v>46246</v>
      </c>
      <c r="E10" s="13">
        <v>0</v>
      </c>
      <c r="F10" s="12" t="s">
        <v>23</v>
      </c>
      <c r="G10" s="41">
        <v>2127</v>
      </c>
      <c r="H10" s="14">
        <v>0</v>
      </c>
      <c r="I10" s="3" t="s">
        <v>16</v>
      </c>
      <c r="J10" s="4">
        <f t="shared" si="0"/>
        <v>46247</v>
      </c>
      <c r="K10" s="12" t="s">
        <v>28</v>
      </c>
    </row>
    <row r="11" spans="1:11" ht="15.75" customHeight="1" x14ac:dyDescent="0.3">
      <c r="A11" s="3">
        <v>3</v>
      </c>
      <c r="B11" s="3" t="s">
        <v>193</v>
      </c>
      <c r="C11" s="47">
        <v>675</v>
      </c>
      <c r="D11" s="4">
        <f t="shared" si="1"/>
        <v>46246</v>
      </c>
      <c r="E11" s="13">
        <v>0</v>
      </c>
      <c r="F11" s="12" t="s">
        <v>23</v>
      </c>
      <c r="G11" s="41">
        <v>7708</v>
      </c>
      <c r="H11" s="14">
        <v>0</v>
      </c>
      <c r="I11" s="3" t="s">
        <v>16</v>
      </c>
      <c r="J11" s="4">
        <f t="shared" si="0"/>
        <v>46247</v>
      </c>
      <c r="K11" s="12" t="s">
        <v>28</v>
      </c>
    </row>
    <row r="12" spans="1:11" ht="15.75" customHeight="1" x14ac:dyDescent="0.3">
      <c r="A12" s="3">
        <v>4</v>
      </c>
      <c r="B12" s="3" t="s">
        <v>194</v>
      </c>
      <c r="C12" s="47">
        <v>19175</v>
      </c>
      <c r="D12" s="4">
        <f t="shared" si="1"/>
        <v>46246</v>
      </c>
      <c r="E12" s="13">
        <v>0</v>
      </c>
      <c r="F12" s="12" t="s">
        <v>23</v>
      </c>
      <c r="G12" s="41">
        <v>1142</v>
      </c>
      <c r="H12" s="14">
        <v>0</v>
      </c>
      <c r="I12" s="3" t="s">
        <v>16</v>
      </c>
      <c r="J12" s="4">
        <f t="shared" si="0"/>
        <v>46247</v>
      </c>
      <c r="K12" s="12" t="s">
        <v>28</v>
      </c>
    </row>
    <row r="13" spans="1:11" ht="15.75" customHeight="1" x14ac:dyDescent="0.3">
      <c r="A13" s="3">
        <v>5</v>
      </c>
      <c r="B13" s="3" t="s">
        <v>195</v>
      </c>
      <c r="C13" s="47">
        <v>6120</v>
      </c>
      <c r="D13" s="4">
        <f t="shared" si="1"/>
        <v>46246</v>
      </c>
      <c r="E13" s="13">
        <v>0</v>
      </c>
      <c r="F13" s="12" t="s">
        <v>23</v>
      </c>
      <c r="G13" s="41">
        <v>6594</v>
      </c>
      <c r="H13" s="14">
        <v>0</v>
      </c>
      <c r="I13" s="3" t="s">
        <v>16</v>
      </c>
      <c r="J13" s="4">
        <f t="shared" si="0"/>
        <v>46247</v>
      </c>
      <c r="K13" s="12" t="s">
        <v>28</v>
      </c>
    </row>
    <row r="14" spans="1:11" ht="15.75" customHeight="1" x14ac:dyDescent="0.3">
      <c r="A14" s="3">
        <v>6</v>
      </c>
      <c r="B14" s="3" t="s">
        <v>196</v>
      </c>
      <c r="C14" s="47">
        <v>190</v>
      </c>
      <c r="D14" s="4">
        <f t="shared" si="1"/>
        <v>46246</v>
      </c>
      <c r="E14" s="13">
        <v>0</v>
      </c>
      <c r="F14" s="12" t="s">
        <v>23</v>
      </c>
      <c r="G14" s="41">
        <v>5549</v>
      </c>
      <c r="H14" s="14">
        <v>0</v>
      </c>
      <c r="I14" s="3" t="s">
        <v>16</v>
      </c>
      <c r="J14" s="4">
        <f t="shared" si="0"/>
        <v>46247</v>
      </c>
      <c r="K14" s="12" t="s">
        <v>28</v>
      </c>
    </row>
    <row r="15" spans="1:11" ht="15.75" customHeight="1" x14ac:dyDescent="0.3">
      <c r="A15" s="3">
        <v>7</v>
      </c>
      <c r="B15" s="3" t="s">
        <v>197</v>
      </c>
      <c r="C15" s="47">
        <v>3625</v>
      </c>
      <c r="D15" s="4">
        <f t="shared" si="1"/>
        <v>46246</v>
      </c>
      <c r="E15" s="13">
        <v>0</v>
      </c>
      <c r="F15" s="12" t="s">
        <v>23</v>
      </c>
      <c r="G15" s="41">
        <v>5810</v>
      </c>
      <c r="H15" s="14">
        <v>0</v>
      </c>
      <c r="I15" s="3" t="s">
        <v>16</v>
      </c>
      <c r="J15" s="4">
        <f t="shared" si="0"/>
        <v>46247</v>
      </c>
      <c r="K15" s="12" t="s">
        <v>73</v>
      </c>
    </row>
    <row r="16" spans="1:11" ht="15.75" customHeight="1" x14ac:dyDescent="0.3">
      <c r="A16" s="3">
        <v>8</v>
      </c>
      <c r="B16" s="3" t="s">
        <v>198</v>
      </c>
      <c r="C16" s="47">
        <v>5200</v>
      </c>
      <c r="D16" s="4">
        <f t="shared" si="1"/>
        <v>46246</v>
      </c>
      <c r="E16" s="13">
        <v>0</v>
      </c>
      <c r="F16" s="12" t="s">
        <v>23</v>
      </c>
      <c r="G16" s="41">
        <v>3727</v>
      </c>
      <c r="H16" s="14">
        <v>0</v>
      </c>
      <c r="I16" s="3" t="s">
        <v>16</v>
      </c>
      <c r="J16" s="4">
        <f t="shared" si="0"/>
        <v>46247</v>
      </c>
      <c r="K16" s="12" t="s">
        <v>73</v>
      </c>
    </row>
    <row r="17" spans="1:11" ht="15.75" customHeight="1" x14ac:dyDescent="0.3">
      <c r="A17" s="3">
        <v>9</v>
      </c>
      <c r="B17" s="3" t="s">
        <v>198</v>
      </c>
      <c r="C17" s="47">
        <v>2000</v>
      </c>
      <c r="D17" s="4">
        <f t="shared" si="1"/>
        <v>46246</v>
      </c>
      <c r="E17" s="13">
        <v>0</v>
      </c>
      <c r="F17" s="12" t="s">
        <v>23</v>
      </c>
      <c r="G17" s="41">
        <v>1014</v>
      </c>
      <c r="H17" s="14">
        <v>0</v>
      </c>
      <c r="I17" s="3" t="s">
        <v>16</v>
      </c>
      <c r="J17" s="4">
        <f t="shared" si="0"/>
        <v>46247</v>
      </c>
      <c r="K17" s="12" t="s">
        <v>73</v>
      </c>
    </row>
    <row r="18" spans="1:11" ht="18.75" customHeight="1" x14ac:dyDescent="0.35">
      <c r="A18" s="3"/>
      <c r="B18" s="15" t="s">
        <v>20</v>
      </c>
      <c r="C18" s="49">
        <f>SUM(C9:C17)</f>
        <v>41430</v>
      </c>
      <c r="D18" s="3"/>
      <c r="E18" s="3"/>
      <c r="F18" s="12"/>
      <c r="G18" s="12"/>
      <c r="H18" s="10"/>
      <c r="I18" s="3"/>
      <c r="J18" s="3"/>
      <c r="K18" s="3"/>
    </row>
    <row r="19" spans="1:11" ht="24.75" customHeight="1" x14ac:dyDescent="0.6">
      <c r="A19" s="71" t="s">
        <v>39</v>
      </c>
      <c r="B19" s="63"/>
      <c r="C19" s="63"/>
      <c r="D19" s="63"/>
      <c r="E19" s="63"/>
      <c r="F19" s="63"/>
      <c r="G19" s="63"/>
      <c r="H19" s="63"/>
      <c r="I19" s="63"/>
      <c r="J19" s="63"/>
      <c r="K19" s="64"/>
    </row>
    <row r="20" spans="1:11" ht="18.75" customHeight="1" x14ac:dyDescent="0.35">
      <c r="A20" s="16" t="s">
        <v>3</v>
      </c>
      <c r="B20" s="16" t="s">
        <v>40</v>
      </c>
      <c r="C20" s="40" t="s">
        <v>5</v>
      </c>
      <c r="D20" s="1" t="s">
        <v>41</v>
      </c>
      <c r="E20" s="16" t="s">
        <v>7</v>
      </c>
      <c r="F20" s="16" t="s">
        <v>8</v>
      </c>
      <c r="G20" s="16" t="s">
        <v>42</v>
      </c>
      <c r="H20" s="17" t="s">
        <v>43</v>
      </c>
      <c r="I20" s="16" t="s">
        <v>11</v>
      </c>
      <c r="J20" s="16" t="s">
        <v>44</v>
      </c>
      <c r="K20" s="18" t="s">
        <v>45</v>
      </c>
    </row>
    <row r="21" spans="1:11" ht="15.75" customHeight="1" x14ac:dyDescent="0.3">
      <c r="A21" s="7">
        <v>1</v>
      </c>
      <c r="B21" s="7" t="s">
        <v>105</v>
      </c>
      <c r="C21" s="42">
        <v>1000</v>
      </c>
      <c r="D21" s="4">
        <v>46246</v>
      </c>
      <c r="E21" s="7"/>
      <c r="F21" s="7"/>
      <c r="G21" s="19">
        <v>7317</v>
      </c>
      <c r="H21" s="20"/>
      <c r="I21" s="21"/>
      <c r="J21" s="4">
        <v>46246</v>
      </c>
      <c r="K21" s="12" t="s">
        <v>199</v>
      </c>
    </row>
    <row r="22" spans="1:11" ht="15.75" customHeight="1" x14ac:dyDescent="0.3">
      <c r="A22" s="7">
        <v>2</v>
      </c>
      <c r="B22" s="7" t="s">
        <v>200</v>
      </c>
      <c r="C22" s="42">
        <v>1000</v>
      </c>
      <c r="D22" s="4">
        <v>46246</v>
      </c>
      <c r="E22" s="7"/>
      <c r="F22" s="7"/>
      <c r="G22" s="19">
        <v>6843</v>
      </c>
      <c r="H22" s="20"/>
      <c r="I22" s="21"/>
      <c r="J22" s="4">
        <v>46246</v>
      </c>
      <c r="K22" s="12" t="s">
        <v>201</v>
      </c>
    </row>
    <row r="23" spans="1:11" ht="15.75" customHeight="1" x14ac:dyDescent="0.3">
      <c r="A23" s="7">
        <v>3</v>
      </c>
      <c r="B23" s="7" t="s">
        <v>202</v>
      </c>
      <c r="C23" s="42">
        <v>30000</v>
      </c>
      <c r="D23" s="4">
        <v>46246</v>
      </c>
      <c r="E23" s="7"/>
      <c r="F23" s="7"/>
      <c r="G23" s="19">
        <v>64</v>
      </c>
      <c r="H23" s="20"/>
      <c r="I23" s="21"/>
      <c r="J23" s="4">
        <v>46246</v>
      </c>
      <c r="K23" s="12" t="s">
        <v>203</v>
      </c>
    </row>
    <row r="24" spans="1:11" ht="18.75" customHeight="1" x14ac:dyDescent="0.3">
      <c r="A24" s="7"/>
      <c r="B24" s="22" t="s">
        <v>52</v>
      </c>
      <c r="C24" s="50">
        <f>SUM(C21:C23)</f>
        <v>32000</v>
      </c>
      <c r="D24" s="3"/>
      <c r="E24" s="7"/>
      <c r="F24" s="7"/>
      <c r="G24" s="7"/>
      <c r="H24" s="23">
        <v>0</v>
      </c>
      <c r="I24" s="21"/>
      <c r="J24" s="3"/>
      <c r="K24" s="24"/>
    </row>
    <row r="25" spans="1:11" x14ac:dyDescent="0.3">
      <c r="C25" s="25"/>
      <c r="H25" s="25"/>
    </row>
    <row r="26" spans="1:11" ht="16.5" customHeight="1" x14ac:dyDescent="0.35">
      <c r="B26" s="26" t="s">
        <v>53</v>
      </c>
      <c r="C26" s="43">
        <f>SUM(C15,C16,C17)</f>
        <v>10825</v>
      </c>
      <c r="E26" s="27"/>
      <c r="F26" s="27"/>
      <c r="G26" s="66"/>
      <c r="H26" s="67"/>
    </row>
    <row r="27" spans="1:11" ht="16.5" customHeight="1" x14ac:dyDescent="0.35">
      <c r="B27" s="28" t="s">
        <v>54</v>
      </c>
      <c r="C27" s="44">
        <f>SUM(C10,C11,C12,C13,C14)</f>
        <v>27905</v>
      </c>
      <c r="E27" s="29"/>
      <c r="F27" s="29"/>
      <c r="G27" s="30" t="s">
        <v>55</v>
      </c>
      <c r="H27" s="31"/>
    </row>
    <row r="28" spans="1:11" ht="24" customHeight="1" x14ac:dyDescent="0.45">
      <c r="B28" s="32" t="s">
        <v>181</v>
      </c>
      <c r="C28" s="45">
        <f>SUM(C9)</f>
        <v>2700</v>
      </c>
      <c r="E28" s="33" t="s">
        <v>57</v>
      </c>
      <c r="F28" s="34"/>
      <c r="G28" s="35"/>
      <c r="H28" s="36"/>
      <c r="I28" s="35"/>
      <c r="J28" s="37"/>
    </row>
    <row r="29" spans="1:11" ht="18.75" customHeight="1" x14ac:dyDescent="0.35">
      <c r="B29" s="38" t="s">
        <v>20</v>
      </c>
      <c r="C29" s="46">
        <f>SUM(C26:C28)</f>
        <v>41430</v>
      </c>
      <c r="G29" s="30"/>
      <c r="H29" s="31"/>
      <c r="I29" s="30"/>
      <c r="J29" s="30"/>
    </row>
  </sheetData>
  <mergeCells count="6">
    <mergeCell ref="A3:K3"/>
    <mergeCell ref="A2:K2"/>
    <mergeCell ref="A19:K19"/>
    <mergeCell ref="A1:K1"/>
    <mergeCell ref="G26:H26"/>
    <mergeCell ref="A8:K8"/>
  </mergeCells>
  <pageMargins left="0" right="0" top="0" bottom="0" header="0" footer="0"/>
  <pageSetup scale="95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21"/>
  <sheetViews>
    <sheetView topLeftCell="A9" workbookViewId="0">
      <selection sqref="A1:K22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204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55"/>
      <c r="D5" s="4">
        <v>46247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46246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205</v>
      </c>
      <c r="C9" s="47">
        <v>1000</v>
      </c>
      <c r="D9" s="4">
        <v>46247</v>
      </c>
      <c r="E9" s="13">
        <v>0</v>
      </c>
      <c r="F9" s="12" t="s">
        <v>23</v>
      </c>
      <c r="G9" s="41">
        <v>2127</v>
      </c>
      <c r="H9" s="14">
        <v>0</v>
      </c>
      <c r="I9" s="3" t="s">
        <v>24</v>
      </c>
      <c r="J9" s="4">
        <f>+D9+1</f>
        <v>46248</v>
      </c>
      <c r="K9" s="12" t="s">
        <v>206</v>
      </c>
    </row>
    <row r="10" spans="1:11" ht="15.75" customHeight="1" x14ac:dyDescent="0.3">
      <c r="A10" s="3">
        <v>2</v>
      </c>
      <c r="B10" s="3" t="s">
        <v>207</v>
      </c>
      <c r="C10" s="47">
        <v>3500</v>
      </c>
      <c r="D10" s="4">
        <v>46247</v>
      </c>
      <c r="E10" s="13">
        <v>0</v>
      </c>
      <c r="F10" s="12" t="s">
        <v>23</v>
      </c>
      <c r="G10" s="41">
        <v>9192</v>
      </c>
      <c r="H10" s="14">
        <v>0</v>
      </c>
      <c r="I10" s="3" t="s">
        <v>16</v>
      </c>
      <c r="J10" s="4">
        <f>+D10+1</f>
        <v>46248</v>
      </c>
      <c r="K10" s="12" t="s">
        <v>206</v>
      </c>
    </row>
    <row r="11" spans="1:11" ht="15.75" customHeight="1" x14ac:dyDescent="0.3">
      <c r="A11" s="3">
        <v>3</v>
      </c>
      <c r="B11" s="3" t="s">
        <v>147</v>
      </c>
      <c r="C11" s="47">
        <v>1515</v>
      </c>
      <c r="D11" s="4">
        <v>46247</v>
      </c>
      <c r="E11" s="13">
        <v>0</v>
      </c>
      <c r="F11" s="12" t="s">
        <v>23</v>
      </c>
      <c r="G11" s="41">
        <v>2640</v>
      </c>
      <c r="H11" s="14">
        <v>0</v>
      </c>
      <c r="I11" s="3" t="s">
        <v>16</v>
      </c>
      <c r="J11" s="4">
        <f>+D11+1</f>
        <v>46248</v>
      </c>
      <c r="K11" s="12" t="s">
        <v>73</v>
      </c>
    </row>
    <row r="12" spans="1:11" ht="18.75" customHeight="1" x14ac:dyDescent="0.35">
      <c r="A12" s="3"/>
      <c r="B12" s="15" t="s">
        <v>20</v>
      </c>
      <c r="C12" s="49">
        <f>SUM(C9:C11)</f>
        <v>6015</v>
      </c>
      <c r="D12" s="3"/>
      <c r="E12" s="3"/>
      <c r="F12" s="12"/>
      <c r="G12" s="12"/>
      <c r="H12" s="10"/>
      <c r="I12" s="3"/>
      <c r="J12" s="3"/>
      <c r="K12" s="3"/>
    </row>
    <row r="13" spans="1:11" ht="24.75" customHeight="1" x14ac:dyDescent="0.6">
      <c r="A13" s="71" t="s">
        <v>39</v>
      </c>
      <c r="B13" s="63"/>
      <c r="C13" s="63"/>
      <c r="D13" s="63"/>
      <c r="E13" s="63"/>
      <c r="F13" s="63"/>
      <c r="G13" s="63"/>
      <c r="H13" s="63"/>
      <c r="I13" s="63"/>
      <c r="J13" s="63"/>
      <c r="K13" s="64"/>
    </row>
    <row r="14" spans="1:11" ht="18.75" customHeight="1" x14ac:dyDescent="0.35">
      <c r="A14" s="16" t="s">
        <v>3</v>
      </c>
      <c r="B14" s="16" t="s">
        <v>40</v>
      </c>
      <c r="C14" s="40" t="s">
        <v>5</v>
      </c>
      <c r="D14" s="1" t="s">
        <v>41</v>
      </c>
      <c r="E14" s="16" t="s">
        <v>7</v>
      </c>
      <c r="F14" s="16" t="s">
        <v>8</v>
      </c>
      <c r="G14" s="16" t="s">
        <v>42</v>
      </c>
      <c r="H14" s="17" t="s">
        <v>43</v>
      </c>
      <c r="I14" s="16" t="s">
        <v>11</v>
      </c>
      <c r="J14" s="16" t="s">
        <v>44</v>
      </c>
      <c r="K14" s="18" t="s">
        <v>45</v>
      </c>
    </row>
    <row r="15" spans="1:11" ht="15.75" customHeight="1" x14ac:dyDescent="0.3">
      <c r="A15" s="7">
        <v>1</v>
      </c>
      <c r="B15" s="7" t="s">
        <v>208</v>
      </c>
      <c r="C15" s="42">
        <v>900.9</v>
      </c>
      <c r="D15" s="4">
        <v>46247</v>
      </c>
      <c r="E15" s="7"/>
      <c r="F15" s="7"/>
      <c r="G15" s="19">
        <v>9496</v>
      </c>
      <c r="H15" s="20"/>
      <c r="I15" s="21"/>
      <c r="J15" s="4">
        <v>46247</v>
      </c>
      <c r="K15" s="12" t="s">
        <v>209</v>
      </c>
    </row>
    <row r="16" spans="1:11" ht="18.75" customHeight="1" x14ac:dyDescent="0.3">
      <c r="A16" s="7"/>
      <c r="B16" s="22" t="s">
        <v>52</v>
      </c>
      <c r="C16" s="50">
        <f>SUM(C15:C15)</f>
        <v>900.9</v>
      </c>
      <c r="D16" s="3"/>
      <c r="E16" s="7"/>
      <c r="F16" s="7"/>
      <c r="G16" s="7"/>
      <c r="H16" s="23">
        <v>0</v>
      </c>
      <c r="I16" s="21"/>
      <c r="J16" s="3"/>
      <c r="K16" s="24"/>
    </row>
    <row r="17" spans="2:10" x14ac:dyDescent="0.3">
      <c r="C17" s="25"/>
      <c r="H17" s="25"/>
    </row>
    <row r="18" spans="2:10" ht="16.5" customHeight="1" x14ac:dyDescent="0.35">
      <c r="B18" s="26" t="s">
        <v>53</v>
      </c>
      <c r="C18" s="43">
        <f>SUM(C11)</f>
        <v>1515</v>
      </c>
      <c r="E18" s="27"/>
      <c r="F18" s="27"/>
      <c r="G18" s="66"/>
      <c r="H18" s="67"/>
    </row>
    <row r="19" spans="2:10" ht="16.5" customHeight="1" x14ac:dyDescent="0.35">
      <c r="B19" s="28" t="s">
        <v>54</v>
      </c>
      <c r="C19" s="44"/>
      <c r="E19" s="29"/>
      <c r="F19" s="29"/>
      <c r="G19" s="30" t="s">
        <v>55</v>
      </c>
      <c r="H19" s="31"/>
    </row>
    <row r="20" spans="2:10" ht="24" customHeight="1" x14ac:dyDescent="0.45">
      <c r="B20" s="32" t="s">
        <v>210</v>
      </c>
      <c r="C20" s="45">
        <f>SUM(C9,C10)</f>
        <v>4500</v>
      </c>
      <c r="E20" s="33" t="s">
        <v>57</v>
      </c>
      <c r="F20" s="34"/>
      <c r="G20" s="35"/>
      <c r="H20" s="36"/>
      <c r="I20" s="35"/>
      <c r="J20" s="37"/>
    </row>
    <row r="21" spans="2:10" ht="18.75" customHeight="1" x14ac:dyDescent="0.35">
      <c r="B21" s="38" t="s">
        <v>20</v>
      </c>
      <c r="C21" s="46">
        <f>SUM(C18:C20)</f>
        <v>6015</v>
      </c>
      <c r="G21" s="30"/>
      <c r="H21" s="31"/>
      <c r="I21" s="30"/>
      <c r="J21" s="30"/>
    </row>
  </sheetData>
  <mergeCells count="6">
    <mergeCell ref="A3:K3"/>
    <mergeCell ref="A2:K2"/>
    <mergeCell ref="A13:K13"/>
    <mergeCell ref="G18:H18"/>
    <mergeCell ref="A1:K1"/>
    <mergeCell ref="A8:K8"/>
  </mergeCells>
  <pageMargins left="0" right="0" top="0" bottom="0" header="0" footer="0"/>
  <pageSetup scale="95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30"/>
  <sheetViews>
    <sheetView topLeftCell="A13" workbookViewId="0">
      <selection sqref="A1:K30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4.441406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211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46217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46216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212</v>
      </c>
      <c r="C9" s="47">
        <v>3125</v>
      </c>
      <c r="D9" s="4">
        <v>46248</v>
      </c>
      <c r="E9" s="13">
        <v>0</v>
      </c>
      <c r="F9" s="12" t="s">
        <v>23</v>
      </c>
      <c r="G9" s="41">
        <v>5762</v>
      </c>
      <c r="H9" s="14">
        <v>0</v>
      </c>
      <c r="I9" s="3" t="s">
        <v>24</v>
      </c>
      <c r="J9" s="4">
        <f t="shared" ref="J9:J17" si="0">+D9+1</f>
        <v>46249</v>
      </c>
      <c r="K9" s="12" t="s">
        <v>28</v>
      </c>
    </row>
    <row r="10" spans="1:11" ht="15.75" customHeight="1" x14ac:dyDescent="0.3">
      <c r="A10" s="3">
        <v>2</v>
      </c>
      <c r="B10" s="3" t="s">
        <v>213</v>
      </c>
      <c r="C10" s="47">
        <v>4920</v>
      </c>
      <c r="D10" s="4">
        <f t="shared" ref="D10:D17" si="1">+D9</f>
        <v>46248</v>
      </c>
      <c r="E10" s="13">
        <v>0</v>
      </c>
      <c r="F10" s="12" t="s">
        <v>23</v>
      </c>
      <c r="G10" s="41">
        <v>7707</v>
      </c>
      <c r="H10" s="14">
        <v>0</v>
      </c>
      <c r="I10" s="3" t="s">
        <v>16</v>
      </c>
      <c r="J10" s="4">
        <f t="shared" si="0"/>
        <v>46249</v>
      </c>
      <c r="K10" s="12" t="s">
        <v>28</v>
      </c>
    </row>
    <row r="11" spans="1:11" ht="15.75" customHeight="1" x14ac:dyDescent="0.3">
      <c r="A11" s="3">
        <v>3</v>
      </c>
      <c r="B11" s="3" t="s">
        <v>101</v>
      </c>
      <c r="C11" s="47">
        <v>3350</v>
      </c>
      <c r="D11" s="4">
        <f t="shared" si="1"/>
        <v>46248</v>
      </c>
      <c r="E11" s="13">
        <v>0</v>
      </c>
      <c r="F11" s="12" t="s">
        <v>23</v>
      </c>
      <c r="G11" s="41">
        <v>1572</v>
      </c>
      <c r="H11" s="14">
        <v>0</v>
      </c>
      <c r="I11" s="3" t="s">
        <v>16</v>
      </c>
      <c r="J11" s="4">
        <f t="shared" si="0"/>
        <v>46249</v>
      </c>
      <c r="K11" s="12" t="s">
        <v>28</v>
      </c>
    </row>
    <row r="12" spans="1:11" ht="15.75" customHeight="1" x14ac:dyDescent="0.3">
      <c r="A12" s="3">
        <v>4</v>
      </c>
      <c r="B12" s="3" t="s">
        <v>101</v>
      </c>
      <c r="C12" s="47">
        <v>520</v>
      </c>
      <c r="D12" s="4">
        <f t="shared" si="1"/>
        <v>46248</v>
      </c>
      <c r="E12" s="13">
        <v>0</v>
      </c>
      <c r="F12" s="12" t="s">
        <v>23</v>
      </c>
      <c r="G12" s="41">
        <v>9842</v>
      </c>
      <c r="H12" s="14">
        <v>0</v>
      </c>
      <c r="I12" s="3" t="s">
        <v>16</v>
      </c>
      <c r="J12" s="4">
        <f t="shared" si="0"/>
        <v>46249</v>
      </c>
      <c r="K12" s="12" t="s">
        <v>73</v>
      </c>
    </row>
    <row r="13" spans="1:11" ht="15.75" customHeight="1" x14ac:dyDescent="0.3">
      <c r="A13" s="3">
        <v>5</v>
      </c>
      <c r="B13" s="3" t="s">
        <v>214</v>
      </c>
      <c r="C13" s="47">
        <v>1795</v>
      </c>
      <c r="D13" s="4">
        <f t="shared" si="1"/>
        <v>46248</v>
      </c>
      <c r="E13" s="13">
        <v>0</v>
      </c>
      <c r="F13" s="12" t="s">
        <v>23</v>
      </c>
      <c r="G13" s="41">
        <v>2456</v>
      </c>
      <c r="H13" s="14">
        <v>0</v>
      </c>
      <c r="I13" s="3" t="s">
        <v>16</v>
      </c>
      <c r="J13" s="4">
        <f t="shared" si="0"/>
        <v>46249</v>
      </c>
      <c r="K13" s="12" t="s">
        <v>28</v>
      </c>
    </row>
    <row r="14" spans="1:11" ht="15.75" customHeight="1" x14ac:dyDescent="0.3">
      <c r="A14" s="3">
        <v>6</v>
      </c>
      <c r="B14" s="3" t="s">
        <v>215</v>
      </c>
      <c r="C14" s="47">
        <v>25223</v>
      </c>
      <c r="D14" s="4">
        <f t="shared" si="1"/>
        <v>46248</v>
      </c>
      <c r="E14" s="13">
        <v>0</v>
      </c>
      <c r="F14" s="12" t="s">
        <v>23</v>
      </c>
      <c r="G14" s="41">
        <v>1742</v>
      </c>
      <c r="H14" s="14">
        <v>0</v>
      </c>
      <c r="I14" s="3" t="s">
        <v>16</v>
      </c>
      <c r="J14" s="4">
        <f t="shared" si="0"/>
        <v>46249</v>
      </c>
      <c r="K14" s="12" t="s">
        <v>76</v>
      </c>
    </row>
    <row r="15" spans="1:11" ht="15.75" customHeight="1" x14ac:dyDescent="0.3">
      <c r="A15" s="3">
        <v>7</v>
      </c>
      <c r="B15" s="3" t="s">
        <v>216</v>
      </c>
      <c r="C15" s="47">
        <v>2000</v>
      </c>
      <c r="D15" s="4">
        <f t="shared" si="1"/>
        <v>46248</v>
      </c>
      <c r="E15" s="13">
        <v>0</v>
      </c>
      <c r="F15" s="12" t="s">
        <v>23</v>
      </c>
      <c r="G15" s="41">
        <v>806</v>
      </c>
      <c r="H15" s="14">
        <v>0</v>
      </c>
      <c r="I15" s="3" t="s">
        <v>16</v>
      </c>
      <c r="J15" s="4">
        <f t="shared" si="0"/>
        <v>46249</v>
      </c>
      <c r="K15" s="12" t="s">
        <v>73</v>
      </c>
    </row>
    <row r="16" spans="1:11" ht="15.75" customHeight="1" x14ac:dyDescent="0.3">
      <c r="A16" s="3">
        <v>8</v>
      </c>
      <c r="B16" s="3" t="s">
        <v>217</v>
      </c>
      <c r="C16" s="47">
        <v>9000</v>
      </c>
      <c r="D16" s="4">
        <f t="shared" si="1"/>
        <v>46248</v>
      </c>
      <c r="E16" s="13">
        <v>0</v>
      </c>
      <c r="F16" s="12" t="s">
        <v>23</v>
      </c>
      <c r="G16" s="41">
        <v>6678</v>
      </c>
      <c r="H16" s="14">
        <v>0</v>
      </c>
      <c r="I16" s="3" t="s">
        <v>16</v>
      </c>
      <c r="J16" s="4">
        <f t="shared" si="0"/>
        <v>46249</v>
      </c>
      <c r="K16" s="12" t="s">
        <v>28</v>
      </c>
    </row>
    <row r="17" spans="1:11" ht="15.75" customHeight="1" x14ac:dyDescent="0.3">
      <c r="A17" s="3">
        <v>9</v>
      </c>
      <c r="B17" s="3" t="s">
        <v>217</v>
      </c>
      <c r="C17" s="47">
        <v>2000</v>
      </c>
      <c r="D17" s="4">
        <f t="shared" si="1"/>
        <v>46248</v>
      </c>
      <c r="E17" s="13">
        <v>0</v>
      </c>
      <c r="F17" s="12" t="s">
        <v>23</v>
      </c>
      <c r="G17" s="41">
        <v>9743</v>
      </c>
      <c r="H17" s="14">
        <v>0</v>
      </c>
      <c r="I17" s="3" t="s">
        <v>16</v>
      </c>
      <c r="J17" s="4">
        <f t="shared" si="0"/>
        <v>46249</v>
      </c>
      <c r="K17" s="12" t="s">
        <v>28</v>
      </c>
    </row>
    <row r="18" spans="1:11" ht="18.75" customHeight="1" x14ac:dyDescent="0.35">
      <c r="A18" s="3"/>
      <c r="B18" s="15" t="s">
        <v>20</v>
      </c>
      <c r="C18" s="49">
        <f>SUM(C9:C17)</f>
        <v>51933</v>
      </c>
      <c r="D18" s="3"/>
      <c r="E18" s="3"/>
      <c r="F18" s="12"/>
      <c r="G18" s="12"/>
      <c r="H18" s="10"/>
      <c r="I18" s="3"/>
      <c r="J18" s="3"/>
      <c r="K18" s="3"/>
    </row>
    <row r="19" spans="1:11" ht="24.75" customHeight="1" x14ac:dyDescent="0.6">
      <c r="A19" s="71" t="s">
        <v>39</v>
      </c>
      <c r="B19" s="63"/>
      <c r="C19" s="63"/>
      <c r="D19" s="63"/>
      <c r="E19" s="63"/>
      <c r="F19" s="63"/>
      <c r="G19" s="63"/>
      <c r="H19" s="63"/>
      <c r="I19" s="63"/>
      <c r="J19" s="63"/>
      <c r="K19" s="64"/>
    </row>
    <row r="20" spans="1:11" ht="18.75" customHeight="1" x14ac:dyDescent="0.35">
      <c r="A20" s="16" t="s">
        <v>3</v>
      </c>
      <c r="B20" s="16" t="s">
        <v>40</v>
      </c>
      <c r="C20" s="40" t="s">
        <v>5</v>
      </c>
      <c r="D20" s="1" t="s">
        <v>41</v>
      </c>
      <c r="E20" s="16" t="s">
        <v>7</v>
      </c>
      <c r="F20" s="16" t="s">
        <v>8</v>
      </c>
      <c r="G20" s="16" t="s">
        <v>42</v>
      </c>
      <c r="H20" s="17" t="s">
        <v>43</v>
      </c>
      <c r="I20" s="16" t="s">
        <v>11</v>
      </c>
      <c r="J20" s="16" t="s">
        <v>44</v>
      </c>
      <c r="K20" s="18" t="s">
        <v>45</v>
      </c>
    </row>
    <row r="21" spans="1:11" ht="15.75" customHeight="1" x14ac:dyDescent="0.3">
      <c r="A21" s="7">
        <v>1</v>
      </c>
      <c r="B21" s="7" t="s">
        <v>218</v>
      </c>
      <c r="C21" s="42">
        <v>5000</v>
      </c>
      <c r="D21" s="4">
        <v>46248</v>
      </c>
      <c r="E21" s="7"/>
      <c r="F21" s="7"/>
      <c r="G21" s="19">
        <v>7715</v>
      </c>
      <c r="H21" s="20"/>
      <c r="I21" s="21"/>
      <c r="J21" s="4">
        <v>46248</v>
      </c>
      <c r="K21" s="12" t="s">
        <v>219</v>
      </c>
    </row>
    <row r="22" spans="1:11" ht="15.75" customHeight="1" x14ac:dyDescent="0.3">
      <c r="A22" s="7">
        <v>2</v>
      </c>
      <c r="B22" s="7" t="s">
        <v>200</v>
      </c>
      <c r="C22" s="42">
        <v>1000</v>
      </c>
      <c r="D22" s="4">
        <v>46248</v>
      </c>
      <c r="E22" s="7"/>
      <c r="F22" s="7"/>
      <c r="G22" s="19">
        <v>5171</v>
      </c>
      <c r="H22" s="20"/>
      <c r="I22" s="21"/>
      <c r="J22" s="4">
        <v>46248</v>
      </c>
      <c r="K22" s="12" t="s">
        <v>220</v>
      </c>
    </row>
    <row r="23" spans="1:11" ht="15.75" customHeight="1" x14ac:dyDescent="0.3">
      <c r="A23" s="7">
        <v>3</v>
      </c>
      <c r="B23" s="7" t="s">
        <v>221</v>
      </c>
      <c r="C23" s="42">
        <v>30000</v>
      </c>
      <c r="D23" s="4">
        <v>46248</v>
      </c>
      <c r="E23" s="7"/>
      <c r="F23" s="7"/>
      <c r="G23" s="19">
        <v>8301</v>
      </c>
      <c r="H23" s="20"/>
      <c r="I23" s="21"/>
      <c r="J23" s="4">
        <v>46248</v>
      </c>
      <c r="K23" s="12" t="s">
        <v>163</v>
      </c>
    </row>
    <row r="24" spans="1:11" ht="15.75" customHeight="1" x14ac:dyDescent="0.3">
      <c r="A24" s="7">
        <v>4</v>
      </c>
      <c r="B24" s="7" t="s">
        <v>217</v>
      </c>
      <c r="C24" s="42">
        <v>920</v>
      </c>
      <c r="D24" s="4">
        <v>46248</v>
      </c>
      <c r="E24" s="7"/>
      <c r="F24" s="7"/>
      <c r="G24" s="19">
        <v>5110</v>
      </c>
      <c r="H24" s="20"/>
      <c r="I24" s="21"/>
      <c r="J24" s="4">
        <v>46248</v>
      </c>
      <c r="K24" s="12" t="s">
        <v>222</v>
      </c>
    </row>
    <row r="25" spans="1:11" ht="18.75" customHeight="1" x14ac:dyDescent="0.3">
      <c r="A25" s="7"/>
      <c r="B25" s="22" t="s">
        <v>52</v>
      </c>
      <c r="C25" s="50">
        <f>SUM(C21:C24)</f>
        <v>36920</v>
      </c>
      <c r="D25" s="3"/>
      <c r="E25" s="7"/>
      <c r="F25" s="7"/>
      <c r="G25" s="7"/>
      <c r="H25" s="23">
        <v>0</v>
      </c>
      <c r="I25" s="21"/>
      <c r="J25" s="3"/>
      <c r="K25" s="24"/>
    </row>
    <row r="26" spans="1:11" x14ac:dyDescent="0.3">
      <c r="C26" s="25"/>
      <c r="H26" s="25"/>
    </row>
    <row r="27" spans="1:11" ht="16.5" customHeight="1" x14ac:dyDescent="0.35">
      <c r="B27" s="26" t="s">
        <v>53</v>
      </c>
      <c r="C27" s="43">
        <f>SUM(C12,C15,C14)</f>
        <v>27743</v>
      </c>
      <c r="E27" s="27"/>
      <c r="F27" s="27"/>
      <c r="G27" s="66"/>
      <c r="H27" s="67"/>
    </row>
    <row r="28" spans="1:11" ht="16.5" customHeight="1" x14ac:dyDescent="0.35">
      <c r="B28" s="28" t="s">
        <v>54</v>
      </c>
      <c r="C28" s="44">
        <f>SUM(C9,C10,C11,C13,C17,C16)</f>
        <v>24190</v>
      </c>
      <c r="E28" s="29"/>
      <c r="F28" s="29"/>
      <c r="G28" s="30" t="s">
        <v>55</v>
      </c>
      <c r="H28" s="31"/>
    </row>
    <row r="29" spans="1:11" ht="24" customHeight="1" x14ac:dyDescent="0.45">
      <c r="B29" s="32" t="s">
        <v>63</v>
      </c>
      <c r="C29" s="45"/>
      <c r="E29" s="33" t="s">
        <v>57</v>
      </c>
      <c r="F29" s="34"/>
      <c r="G29" s="35"/>
      <c r="H29" s="36"/>
      <c r="I29" s="35"/>
      <c r="J29" s="37"/>
    </row>
    <row r="30" spans="1:11" ht="18.75" customHeight="1" x14ac:dyDescent="0.35">
      <c r="B30" s="38" t="s">
        <v>20</v>
      </c>
      <c r="C30" s="46">
        <f>SUM(C27:C29)</f>
        <v>51933</v>
      </c>
      <c r="G30" s="30"/>
      <c r="H30" s="31"/>
      <c r="I30" s="30"/>
      <c r="J30" s="30"/>
    </row>
  </sheetData>
  <mergeCells count="6">
    <mergeCell ref="A3:K3"/>
    <mergeCell ref="G27:H27"/>
    <mergeCell ref="A2:K2"/>
    <mergeCell ref="A19:K19"/>
    <mergeCell ref="A1:K1"/>
    <mergeCell ref="A8:K8"/>
  </mergeCells>
  <pageMargins left="0" right="0" top="0" bottom="0" header="0" footer="0"/>
  <pageSetup scale="9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36"/>
  <sheetViews>
    <sheetView topLeftCell="A23" workbookViewId="0">
      <selection sqref="A1:K36"/>
    </sheetView>
  </sheetViews>
  <sheetFormatPr defaultRowHeight="14.4" x14ac:dyDescent="0.3"/>
  <cols>
    <col min="1" max="1" width="4.44140625" bestFit="1" customWidth="1"/>
    <col min="2" max="2" width="26.332031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7.332031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223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14</v>
      </c>
      <c r="C5" s="47">
        <v>25300</v>
      </c>
      <c r="D5" s="4">
        <v>46249</v>
      </c>
      <c r="E5" s="5">
        <v>0</v>
      </c>
      <c r="F5" s="3" t="s">
        <v>15</v>
      </c>
      <c r="G5" s="39">
        <v>8232</v>
      </c>
      <c r="H5" s="6">
        <v>0</v>
      </c>
      <c r="I5" s="3" t="s">
        <v>16</v>
      </c>
      <c r="J5" s="4">
        <f>+D5-1</f>
        <v>46248</v>
      </c>
      <c r="K5" s="7" t="s">
        <v>224</v>
      </c>
    </row>
    <row r="6" spans="1:11" ht="15.75" customHeight="1" x14ac:dyDescent="0.3">
      <c r="A6" s="3"/>
      <c r="B6" s="3" t="s">
        <v>14</v>
      </c>
      <c r="C6" s="47">
        <v>12000</v>
      </c>
      <c r="D6" s="4">
        <v>46249</v>
      </c>
      <c r="E6" s="5">
        <v>0</v>
      </c>
      <c r="F6" s="3" t="s">
        <v>15</v>
      </c>
      <c r="G6" s="39">
        <v>8240</v>
      </c>
      <c r="H6" s="6">
        <v>0</v>
      </c>
      <c r="I6" s="3" t="s">
        <v>16</v>
      </c>
      <c r="J6" s="4">
        <f>+D6-1</f>
        <v>46248</v>
      </c>
      <c r="K6" s="7" t="s">
        <v>224</v>
      </c>
    </row>
    <row r="7" spans="1:11" ht="15.75" customHeight="1" x14ac:dyDescent="0.3">
      <c r="A7" s="3"/>
      <c r="B7" s="3" t="s">
        <v>225</v>
      </c>
      <c r="C7" s="47">
        <v>99</v>
      </c>
      <c r="D7" s="4">
        <v>46249</v>
      </c>
      <c r="E7" s="5">
        <v>0</v>
      </c>
      <c r="F7" s="3" t="s">
        <v>15</v>
      </c>
      <c r="G7" s="39">
        <v>0</v>
      </c>
      <c r="H7" s="6">
        <v>0</v>
      </c>
      <c r="I7" s="3" t="s">
        <v>16</v>
      </c>
      <c r="J7" s="4">
        <f>+D7-1</f>
        <v>46248</v>
      </c>
      <c r="K7" s="7" t="s">
        <v>226</v>
      </c>
    </row>
    <row r="8" spans="1:11" ht="18.75" customHeight="1" x14ac:dyDescent="0.35">
      <c r="A8" s="8"/>
      <c r="B8" s="9" t="s">
        <v>20</v>
      </c>
      <c r="C8" s="48">
        <f>SUM(C5:C5)</f>
        <v>25300</v>
      </c>
      <c r="D8" s="3"/>
      <c r="E8" s="11"/>
      <c r="F8" s="8"/>
      <c r="G8" s="12"/>
      <c r="H8" s="10">
        <f>SUM(H5:H5)</f>
        <v>0</v>
      </c>
      <c r="I8" s="8"/>
      <c r="J8" s="8"/>
      <c r="K8" s="8"/>
    </row>
    <row r="10" spans="1:11" ht="24" customHeight="1" x14ac:dyDescent="0.45">
      <c r="A10" s="70" t="s">
        <v>21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</row>
    <row r="11" spans="1:11" ht="15.75" customHeight="1" x14ac:dyDescent="0.3">
      <c r="A11" s="3">
        <v>1</v>
      </c>
      <c r="B11" s="3" t="s">
        <v>227</v>
      </c>
      <c r="C11" s="47">
        <v>34</v>
      </c>
      <c r="D11" s="4">
        <v>46249</v>
      </c>
      <c r="E11" s="13">
        <v>0</v>
      </c>
      <c r="F11" s="12" t="s">
        <v>23</v>
      </c>
      <c r="G11" s="41">
        <v>2989</v>
      </c>
      <c r="H11" s="14">
        <v>0</v>
      </c>
      <c r="I11" s="3" t="s">
        <v>24</v>
      </c>
      <c r="J11" s="4">
        <f t="shared" ref="J11:J22" si="0">+D11+1</f>
        <v>46250</v>
      </c>
      <c r="K11" s="12" t="s">
        <v>73</v>
      </c>
    </row>
    <row r="12" spans="1:11" ht="15.75" customHeight="1" x14ac:dyDescent="0.3">
      <c r="A12" s="3">
        <v>2</v>
      </c>
      <c r="B12" s="3" t="s">
        <v>228</v>
      </c>
      <c r="C12" s="47">
        <v>2140</v>
      </c>
      <c r="D12" s="4">
        <f t="shared" ref="D12:D22" si="1">+D11</f>
        <v>46249</v>
      </c>
      <c r="E12" s="13">
        <v>0</v>
      </c>
      <c r="F12" s="12" t="s">
        <v>23</v>
      </c>
      <c r="G12" s="41">
        <v>4357</v>
      </c>
      <c r="H12" s="14">
        <v>0</v>
      </c>
      <c r="I12" s="3" t="s">
        <v>16</v>
      </c>
      <c r="J12" s="4">
        <f t="shared" si="0"/>
        <v>46250</v>
      </c>
      <c r="K12" s="12" t="s">
        <v>28</v>
      </c>
    </row>
    <row r="13" spans="1:11" ht="15.75" customHeight="1" x14ac:dyDescent="0.3">
      <c r="A13" s="3">
        <v>3</v>
      </c>
      <c r="B13" s="3" t="s">
        <v>229</v>
      </c>
      <c r="C13" s="47">
        <v>2650</v>
      </c>
      <c r="D13" s="4">
        <f t="shared" si="1"/>
        <v>46249</v>
      </c>
      <c r="E13" s="13">
        <v>0</v>
      </c>
      <c r="F13" s="12" t="s">
        <v>23</v>
      </c>
      <c r="G13" s="41">
        <v>9051</v>
      </c>
      <c r="H13" s="14">
        <v>0</v>
      </c>
      <c r="I13" s="3" t="s">
        <v>16</v>
      </c>
      <c r="J13" s="4">
        <f t="shared" si="0"/>
        <v>46250</v>
      </c>
      <c r="K13" s="12" t="s">
        <v>73</v>
      </c>
    </row>
    <row r="14" spans="1:11" ht="15.75" customHeight="1" x14ac:dyDescent="0.3">
      <c r="A14" s="3">
        <v>4</v>
      </c>
      <c r="B14" s="3" t="s">
        <v>230</v>
      </c>
      <c r="C14" s="47">
        <v>1145</v>
      </c>
      <c r="D14" s="4">
        <f t="shared" si="1"/>
        <v>46249</v>
      </c>
      <c r="E14" s="13">
        <v>0</v>
      </c>
      <c r="F14" s="12" t="s">
        <v>23</v>
      </c>
      <c r="G14" s="41">
        <v>1647</v>
      </c>
      <c r="H14" s="14">
        <v>0</v>
      </c>
      <c r="I14" s="3" t="s">
        <v>16</v>
      </c>
      <c r="J14" s="4">
        <f t="shared" si="0"/>
        <v>46250</v>
      </c>
      <c r="K14" s="12" t="s">
        <v>28</v>
      </c>
    </row>
    <row r="15" spans="1:11" ht="15.75" customHeight="1" x14ac:dyDescent="0.3">
      <c r="A15" s="3">
        <v>5</v>
      </c>
      <c r="B15" s="3" t="s">
        <v>138</v>
      </c>
      <c r="C15" s="47">
        <v>2200</v>
      </c>
      <c r="D15" s="4">
        <f t="shared" si="1"/>
        <v>46249</v>
      </c>
      <c r="E15" s="13">
        <v>0</v>
      </c>
      <c r="F15" s="12" t="s">
        <v>23</v>
      </c>
      <c r="G15" s="41">
        <v>7383</v>
      </c>
      <c r="H15" s="14">
        <v>0</v>
      </c>
      <c r="I15" s="3" t="s">
        <v>16</v>
      </c>
      <c r="J15" s="4">
        <f t="shared" si="0"/>
        <v>46250</v>
      </c>
      <c r="K15" s="12" t="s">
        <v>231</v>
      </c>
    </row>
    <row r="16" spans="1:11" ht="15.75" customHeight="1" x14ac:dyDescent="0.3">
      <c r="A16" s="3">
        <v>6</v>
      </c>
      <c r="B16" s="3" t="s">
        <v>232</v>
      </c>
      <c r="C16" s="47">
        <v>1600</v>
      </c>
      <c r="D16" s="4">
        <f t="shared" si="1"/>
        <v>46249</v>
      </c>
      <c r="E16" s="13">
        <v>0</v>
      </c>
      <c r="F16" s="12" t="s">
        <v>23</v>
      </c>
      <c r="G16" s="41">
        <v>2309</v>
      </c>
      <c r="H16" s="14">
        <v>0</v>
      </c>
      <c r="I16" s="3" t="s">
        <v>16</v>
      </c>
      <c r="J16" s="4">
        <f t="shared" si="0"/>
        <v>46250</v>
      </c>
      <c r="K16" s="12" t="s">
        <v>233</v>
      </c>
    </row>
    <row r="17" spans="1:11" ht="15.75" customHeight="1" x14ac:dyDescent="0.3">
      <c r="A17" s="3">
        <v>7</v>
      </c>
      <c r="B17" s="3" t="s">
        <v>234</v>
      </c>
      <c r="C17" s="47">
        <v>3980</v>
      </c>
      <c r="D17" s="4">
        <f t="shared" si="1"/>
        <v>46249</v>
      </c>
      <c r="E17" s="13">
        <v>0</v>
      </c>
      <c r="F17" s="12" t="s">
        <v>23</v>
      </c>
      <c r="G17" s="41">
        <v>1765</v>
      </c>
      <c r="H17" s="14">
        <v>0</v>
      </c>
      <c r="I17" s="3" t="s">
        <v>16</v>
      </c>
      <c r="J17" s="4">
        <f t="shared" si="0"/>
        <v>46250</v>
      </c>
      <c r="K17" s="12" t="s">
        <v>28</v>
      </c>
    </row>
    <row r="18" spans="1:11" ht="15.75" customHeight="1" x14ac:dyDescent="0.3">
      <c r="A18" s="3">
        <v>8</v>
      </c>
      <c r="B18" s="3" t="s">
        <v>235</v>
      </c>
      <c r="C18" s="47">
        <v>29700</v>
      </c>
      <c r="D18" s="4">
        <f t="shared" si="1"/>
        <v>46249</v>
      </c>
      <c r="E18" s="13">
        <v>0</v>
      </c>
      <c r="F18" s="12" t="s">
        <v>23</v>
      </c>
      <c r="G18" s="41">
        <v>2703</v>
      </c>
      <c r="H18" s="14">
        <v>0</v>
      </c>
      <c r="I18" s="3" t="s">
        <v>16</v>
      </c>
      <c r="J18" s="4">
        <f t="shared" si="0"/>
        <v>46250</v>
      </c>
      <c r="K18" s="12" t="s">
        <v>236</v>
      </c>
    </row>
    <row r="19" spans="1:11" ht="15.75" customHeight="1" x14ac:dyDescent="0.3">
      <c r="A19" s="3">
        <v>9</v>
      </c>
      <c r="B19" s="3" t="s">
        <v>237</v>
      </c>
      <c r="C19" s="47">
        <v>7000</v>
      </c>
      <c r="D19" s="4">
        <f t="shared" si="1"/>
        <v>46249</v>
      </c>
      <c r="E19" s="13">
        <v>0</v>
      </c>
      <c r="F19" s="12" t="s">
        <v>23</v>
      </c>
      <c r="G19" s="41">
        <v>2706</v>
      </c>
      <c r="H19" s="14">
        <v>0</v>
      </c>
      <c r="I19" s="3" t="s">
        <v>16</v>
      </c>
      <c r="J19" s="4">
        <f t="shared" si="0"/>
        <v>46250</v>
      </c>
      <c r="K19" s="12" t="s">
        <v>238</v>
      </c>
    </row>
    <row r="20" spans="1:11" ht="15.75" customHeight="1" x14ac:dyDescent="0.3">
      <c r="A20" s="3">
        <v>10</v>
      </c>
      <c r="B20" s="3" t="s">
        <v>237</v>
      </c>
      <c r="C20" s="47">
        <v>25000</v>
      </c>
      <c r="D20" s="4">
        <f t="shared" si="1"/>
        <v>46249</v>
      </c>
      <c r="E20" s="13">
        <v>0</v>
      </c>
      <c r="F20" s="12" t="s">
        <v>23</v>
      </c>
      <c r="G20" s="41">
        <v>6493</v>
      </c>
      <c r="H20" s="14">
        <v>0</v>
      </c>
      <c r="I20" s="3" t="s">
        <v>16</v>
      </c>
      <c r="J20" s="4">
        <f t="shared" si="0"/>
        <v>46250</v>
      </c>
      <c r="K20" s="12" t="s">
        <v>238</v>
      </c>
    </row>
    <row r="21" spans="1:11" ht="15.75" customHeight="1" x14ac:dyDescent="0.3">
      <c r="A21" s="3">
        <v>11</v>
      </c>
      <c r="B21" s="3" t="s">
        <v>237</v>
      </c>
      <c r="C21" s="47">
        <v>25000</v>
      </c>
      <c r="D21" s="4">
        <f t="shared" si="1"/>
        <v>46249</v>
      </c>
      <c r="E21" s="13">
        <v>0</v>
      </c>
      <c r="F21" s="12" t="s">
        <v>23</v>
      </c>
      <c r="G21" s="41">
        <v>9195</v>
      </c>
      <c r="H21" s="14">
        <v>0</v>
      </c>
      <c r="I21" s="3" t="s">
        <v>16</v>
      </c>
      <c r="J21" s="4">
        <f t="shared" si="0"/>
        <v>46250</v>
      </c>
      <c r="K21" s="12" t="s">
        <v>238</v>
      </c>
    </row>
    <row r="22" spans="1:11" ht="15.75" customHeight="1" x14ac:dyDescent="0.3">
      <c r="A22" s="3">
        <v>12</v>
      </c>
      <c r="B22" s="3" t="s">
        <v>237</v>
      </c>
      <c r="C22" s="47">
        <v>25000</v>
      </c>
      <c r="D22" s="4">
        <f t="shared" si="1"/>
        <v>46249</v>
      </c>
      <c r="E22" s="13">
        <v>0</v>
      </c>
      <c r="F22" s="12" t="s">
        <v>23</v>
      </c>
      <c r="G22" s="41">
        <v>2933</v>
      </c>
      <c r="H22" s="14">
        <v>0</v>
      </c>
      <c r="I22" s="3" t="s">
        <v>16</v>
      </c>
      <c r="J22" s="4">
        <f t="shared" si="0"/>
        <v>46250</v>
      </c>
      <c r="K22" s="12" t="s">
        <v>238</v>
      </c>
    </row>
    <row r="23" spans="1:11" ht="18.75" customHeight="1" x14ac:dyDescent="0.35">
      <c r="A23" s="3"/>
      <c r="B23" s="15" t="s">
        <v>20</v>
      </c>
      <c r="C23" s="49">
        <f>SUM(C11:C22)</f>
        <v>125449</v>
      </c>
      <c r="D23" s="3"/>
      <c r="E23" s="3"/>
      <c r="F23" s="12"/>
      <c r="G23" s="12"/>
      <c r="H23" s="10"/>
      <c r="I23" s="3"/>
      <c r="J23" s="3"/>
      <c r="K23" s="3"/>
    </row>
    <row r="24" spans="1:11" ht="24.75" customHeight="1" x14ac:dyDescent="0.6">
      <c r="A24" s="71" t="s">
        <v>39</v>
      </c>
      <c r="B24" s="63"/>
      <c r="C24" s="63"/>
      <c r="D24" s="63"/>
      <c r="E24" s="63"/>
      <c r="F24" s="63"/>
      <c r="G24" s="63"/>
      <c r="H24" s="63"/>
      <c r="I24" s="63"/>
      <c r="J24" s="63"/>
      <c r="K24" s="64"/>
    </row>
    <row r="25" spans="1:11" ht="18.75" customHeight="1" x14ac:dyDescent="0.35">
      <c r="A25" s="16" t="s">
        <v>3</v>
      </c>
      <c r="B25" s="16" t="s">
        <v>40</v>
      </c>
      <c r="C25" s="40" t="s">
        <v>5</v>
      </c>
      <c r="D25" s="1" t="s">
        <v>41</v>
      </c>
      <c r="E25" s="16" t="s">
        <v>7</v>
      </c>
      <c r="F25" s="16" t="s">
        <v>8</v>
      </c>
      <c r="G25" s="16" t="s">
        <v>42</v>
      </c>
      <c r="H25" s="17" t="s">
        <v>43</v>
      </c>
      <c r="I25" s="16" t="s">
        <v>11</v>
      </c>
      <c r="J25" s="16" t="s">
        <v>44</v>
      </c>
      <c r="K25" s="18" t="s">
        <v>45</v>
      </c>
    </row>
    <row r="26" spans="1:11" ht="15.75" customHeight="1" x14ac:dyDescent="0.3">
      <c r="A26" s="7">
        <v>1</v>
      </c>
      <c r="B26" s="7" t="s">
        <v>18</v>
      </c>
      <c r="C26" s="42">
        <v>120000</v>
      </c>
      <c r="D26" s="4">
        <v>46249</v>
      </c>
      <c r="E26" s="7"/>
      <c r="F26" s="7"/>
      <c r="G26" s="19">
        <v>8881</v>
      </c>
      <c r="H26" s="20"/>
      <c r="I26" s="21"/>
      <c r="J26" s="4">
        <v>46249</v>
      </c>
      <c r="K26" s="12" t="s">
        <v>19</v>
      </c>
    </row>
    <row r="27" spans="1:11" ht="15.75" customHeight="1" x14ac:dyDescent="0.3">
      <c r="A27" s="7">
        <v>2</v>
      </c>
      <c r="B27" s="7" t="s">
        <v>239</v>
      </c>
      <c r="C27" s="42">
        <v>116.82</v>
      </c>
      <c r="D27" s="4">
        <v>46249</v>
      </c>
      <c r="E27" s="7"/>
      <c r="F27" s="7"/>
      <c r="G27" s="19">
        <v>0</v>
      </c>
      <c r="H27" s="20"/>
      <c r="I27" s="21"/>
      <c r="J27" s="4">
        <v>46249</v>
      </c>
      <c r="K27" s="12" t="s">
        <v>240</v>
      </c>
    </row>
    <row r="28" spans="1:11" ht="15.75" customHeight="1" x14ac:dyDescent="0.3">
      <c r="A28" s="7">
        <v>3</v>
      </c>
      <c r="B28" s="7" t="s">
        <v>47</v>
      </c>
      <c r="C28" s="42">
        <v>37081</v>
      </c>
      <c r="D28" s="4">
        <v>46249</v>
      </c>
      <c r="E28" s="7"/>
      <c r="F28" s="7"/>
      <c r="G28" s="19">
        <v>70</v>
      </c>
      <c r="H28" s="20"/>
      <c r="I28" s="21"/>
      <c r="J28" s="4">
        <v>46249</v>
      </c>
      <c r="K28" s="12" t="s">
        <v>28</v>
      </c>
    </row>
    <row r="29" spans="1:11" ht="15.75" customHeight="1" x14ac:dyDescent="0.3">
      <c r="A29" s="7">
        <v>4</v>
      </c>
      <c r="B29" s="7" t="s">
        <v>241</v>
      </c>
      <c r="C29" s="42">
        <v>30000</v>
      </c>
      <c r="D29" s="4">
        <v>46249</v>
      </c>
      <c r="E29" s="7"/>
      <c r="F29" s="7"/>
      <c r="G29" s="19">
        <v>9550</v>
      </c>
      <c r="H29" s="20"/>
      <c r="I29" s="21"/>
      <c r="J29" s="4">
        <v>46249</v>
      </c>
      <c r="K29" s="12" t="s">
        <v>73</v>
      </c>
    </row>
    <row r="30" spans="1:11" ht="18.75" customHeight="1" x14ac:dyDescent="0.3">
      <c r="A30" s="7"/>
      <c r="B30" s="22" t="s">
        <v>52</v>
      </c>
      <c r="C30" s="50">
        <f>SUM(C26:C29)</f>
        <v>187197.82</v>
      </c>
      <c r="D30" s="3"/>
      <c r="E30" s="7"/>
      <c r="F30" s="7"/>
      <c r="G30" s="7"/>
      <c r="H30" s="23">
        <v>0</v>
      </c>
      <c r="I30" s="21"/>
      <c r="J30" s="3"/>
      <c r="K30" s="24"/>
    </row>
    <row r="31" spans="1:11" x14ac:dyDescent="0.3">
      <c r="C31" s="25"/>
      <c r="H31" s="25"/>
    </row>
    <row r="32" spans="1:11" ht="16.5" customHeight="1" x14ac:dyDescent="0.35">
      <c r="B32" s="26" t="s">
        <v>53</v>
      </c>
      <c r="C32" s="43">
        <f>SUM(C11,C13,C18,C19,C20,C21,C22)</f>
        <v>114384</v>
      </c>
      <c r="E32" s="27"/>
      <c r="F32" s="27"/>
      <c r="G32" s="66"/>
      <c r="H32" s="67"/>
    </row>
    <row r="33" spans="2:10" ht="16.5" customHeight="1" x14ac:dyDescent="0.35">
      <c r="B33" s="28" t="s">
        <v>54</v>
      </c>
      <c r="C33" s="44">
        <f>SUM(C12,C14,C17)</f>
        <v>7265</v>
      </c>
      <c r="E33" s="29"/>
      <c r="F33" s="29"/>
      <c r="G33" s="30" t="s">
        <v>55</v>
      </c>
      <c r="H33" s="31"/>
    </row>
    <row r="34" spans="2:10" ht="24" customHeight="1" x14ac:dyDescent="0.45">
      <c r="B34" s="32" t="s">
        <v>242</v>
      </c>
      <c r="C34" s="45">
        <f>SUM(C15)</f>
        <v>2200</v>
      </c>
      <c r="E34" s="33" t="s">
        <v>57</v>
      </c>
      <c r="F34" s="34"/>
      <c r="G34" s="35"/>
      <c r="H34" s="36"/>
      <c r="I34" s="35"/>
      <c r="J34" s="37"/>
    </row>
    <row r="35" spans="2:10" ht="18" customHeight="1" x14ac:dyDescent="0.45">
      <c r="B35" s="32" t="s">
        <v>181</v>
      </c>
      <c r="C35" s="45">
        <f>SUM(C16)</f>
        <v>1600</v>
      </c>
      <c r="E35" s="53"/>
      <c r="F35" s="34"/>
      <c r="G35" s="35"/>
      <c r="H35" s="36"/>
      <c r="I35" s="35"/>
      <c r="J35" s="37"/>
    </row>
    <row r="36" spans="2:10" ht="18.75" customHeight="1" x14ac:dyDescent="0.35">
      <c r="B36" s="38" t="s">
        <v>20</v>
      </c>
      <c r="C36" s="46">
        <f>SUM(C32:C35)</f>
        <v>125449</v>
      </c>
      <c r="G36" s="30"/>
      <c r="H36" s="31"/>
      <c r="I36" s="30"/>
      <c r="J36" s="30"/>
    </row>
  </sheetData>
  <mergeCells count="6">
    <mergeCell ref="A1:K1"/>
    <mergeCell ref="A3:K3"/>
    <mergeCell ref="G32:H32"/>
    <mergeCell ref="A24:K24"/>
    <mergeCell ref="A2:K2"/>
    <mergeCell ref="A10:K10"/>
  </mergeCells>
  <pageMargins left="0" right="0" top="0" bottom="0" header="0" footer="0"/>
  <pageSetup scale="87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22"/>
  <sheetViews>
    <sheetView tabSelected="1" topLeftCell="A3" workbookViewId="0">
      <selection activeCell="C6" sqref="C6"/>
    </sheetView>
  </sheetViews>
  <sheetFormatPr defaultRowHeight="14.4" x14ac:dyDescent="0.3"/>
  <cols>
    <col min="1" max="1" width="4.44140625" bestFit="1" customWidth="1"/>
    <col min="2" max="2" width="27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66406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243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244</v>
      </c>
      <c r="C5" s="47">
        <v>520</v>
      </c>
      <c r="D5" s="4">
        <v>46250</v>
      </c>
      <c r="E5" s="5">
        <v>0</v>
      </c>
      <c r="F5" s="3" t="s">
        <v>15</v>
      </c>
      <c r="G5" s="39">
        <v>8366</v>
      </c>
      <c r="H5" s="6">
        <v>0</v>
      </c>
      <c r="I5" s="3" t="s">
        <v>16</v>
      </c>
      <c r="J5" s="4">
        <f>+D5-1</f>
        <v>46249</v>
      </c>
      <c r="K5" s="7" t="s">
        <v>73</v>
      </c>
    </row>
    <row r="6" spans="1:11" ht="15.75" customHeight="1" x14ac:dyDescent="0.3">
      <c r="A6" s="3">
        <v>2</v>
      </c>
      <c r="B6" s="3" t="s">
        <v>501</v>
      </c>
      <c r="C6" s="47">
        <v>5000</v>
      </c>
      <c r="D6" s="4"/>
      <c r="E6" s="5"/>
      <c r="F6" s="3"/>
      <c r="G6" s="39"/>
      <c r="H6" s="6"/>
      <c r="I6" s="3"/>
      <c r="J6" s="4"/>
      <c r="K6" s="7"/>
    </row>
    <row r="7" spans="1:11" ht="18.75" customHeight="1" x14ac:dyDescent="0.35">
      <c r="A7" s="8"/>
      <c r="B7" s="9" t="s">
        <v>20</v>
      </c>
      <c r="C7" s="48">
        <f>SUM(C5:C5)</f>
        <v>520</v>
      </c>
      <c r="D7" s="3"/>
      <c r="E7" s="11"/>
      <c r="F7" s="8"/>
      <c r="G7" s="12"/>
      <c r="H7" s="10">
        <f>SUM(H5:H5)</f>
        <v>0</v>
      </c>
      <c r="I7" s="8"/>
      <c r="J7" s="8"/>
      <c r="K7" s="8"/>
    </row>
    <row r="9" spans="1:11" ht="24" customHeight="1" x14ac:dyDescent="0.45">
      <c r="A9" s="70" t="s">
        <v>21</v>
      </c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1" ht="15.75" customHeight="1" x14ac:dyDescent="0.3">
      <c r="A10" s="3">
        <v>1</v>
      </c>
      <c r="B10" s="3" t="s">
        <v>245</v>
      </c>
      <c r="C10" s="47">
        <v>7000</v>
      </c>
      <c r="D10" s="4">
        <v>46250</v>
      </c>
      <c r="E10" s="13">
        <v>0</v>
      </c>
      <c r="F10" s="12" t="s">
        <v>23</v>
      </c>
      <c r="G10" s="41">
        <v>9744</v>
      </c>
      <c r="H10" s="14">
        <v>0</v>
      </c>
      <c r="I10" s="3" t="s">
        <v>24</v>
      </c>
      <c r="J10" s="4">
        <f>+D10+1</f>
        <v>46251</v>
      </c>
      <c r="K10" s="12" t="s">
        <v>25</v>
      </c>
    </row>
    <row r="11" spans="1:11" ht="15.75" customHeight="1" x14ac:dyDescent="0.3">
      <c r="A11" s="3">
        <v>2</v>
      </c>
      <c r="B11" s="3" t="s">
        <v>26</v>
      </c>
      <c r="C11" s="47">
        <v>2090</v>
      </c>
      <c r="D11" s="4">
        <f>+D10</f>
        <v>46250</v>
      </c>
      <c r="E11" s="13">
        <v>0</v>
      </c>
      <c r="F11" s="12" t="s">
        <v>23</v>
      </c>
      <c r="G11" s="41">
        <v>4545</v>
      </c>
      <c r="H11" s="14">
        <v>0</v>
      </c>
      <c r="I11" s="3" t="s">
        <v>16</v>
      </c>
      <c r="J11" s="4">
        <f>+D11+1</f>
        <v>46251</v>
      </c>
      <c r="K11" s="12" t="s">
        <v>246</v>
      </c>
    </row>
    <row r="12" spans="1:11" ht="15.75" customHeight="1" x14ac:dyDescent="0.3">
      <c r="A12" s="3">
        <v>3</v>
      </c>
      <c r="B12" s="3" t="s">
        <v>247</v>
      </c>
      <c r="C12" s="47">
        <v>380</v>
      </c>
      <c r="D12" s="4">
        <f>+D11</f>
        <v>46250</v>
      </c>
      <c r="E12" s="13">
        <v>0</v>
      </c>
      <c r="F12" s="12" t="s">
        <v>23</v>
      </c>
      <c r="G12" s="41">
        <v>7375</v>
      </c>
      <c r="H12" s="14">
        <v>0</v>
      </c>
      <c r="I12" s="3" t="s">
        <v>16</v>
      </c>
      <c r="J12" s="4">
        <f>+D12+1</f>
        <v>46251</v>
      </c>
      <c r="K12" s="12" t="s">
        <v>248</v>
      </c>
    </row>
    <row r="13" spans="1:11" ht="18.75" customHeight="1" x14ac:dyDescent="0.35">
      <c r="A13" s="3"/>
      <c r="B13" s="15" t="s">
        <v>20</v>
      </c>
      <c r="C13" s="49">
        <f>SUM(C10:C12)</f>
        <v>9470</v>
      </c>
      <c r="D13" s="3"/>
      <c r="E13" s="3"/>
      <c r="F13" s="12"/>
      <c r="G13" s="12"/>
      <c r="H13" s="10"/>
      <c r="I13" s="3"/>
      <c r="J13" s="3"/>
      <c r="K13" s="3"/>
    </row>
    <row r="14" spans="1:11" ht="24.75" customHeight="1" x14ac:dyDescent="0.6">
      <c r="A14" s="71" t="s">
        <v>39</v>
      </c>
      <c r="B14" s="63"/>
      <c r="C14" s="63"/>
      <c r="D14" s="63"/>
      <c r="E14" s="63"/>
      <c r="F14" s="63"/>
      <c r="G14" s="63"/>
      <c r="H14" s="63"/>
      <c r="I14" s="63"/>
      <c r="J14" s="63"/>
      <c r="K14" s="64"/>
    </row>
    <row r="15" spans="1:11" ht="18.75" customHeight="1" x14ac:dyDescent="0.35">
      <c r="A15" s="16" t="s">
        <v>3</v>
      </c>
      <c r="B15" s="16" t="s">
        <v>40</v>
      </c>
      <c r="C15" s="40" t="s">
        <v>5</v>
      </c>
      <c r="D15" s="1" t="s">
        <v>41</v>
      </c>
      <c r="E15" s="16" t="s">
        <v>7</v>
      </c>
      <c r="F15" s="16" t="s">
        <v>8</v>
      </c>
      <c r="G15" s="16" t="s">
        <v>42</v>
      </c>
      <c r="H15" s="17" t="s">
        <v>43</v>
      </c>
      <c r="I15" s="16" t="s">
        <v>11</v>
      </c>
      <c r="J15" s="16" t="s">
        <v>44</v>
      </c>
      <c r="K15" s="18" t="s">
        <v>45</v>
      </c>
    </row>
    <row r="16" spans="1:11" ht="15.75" customHeight="1" x14ac:dyDescent="0.3">
      <c r="A16" s="7">
        <v>1</v>
      </c>
      <c r="B16" s="7" t="s">
        <v>47</v>
      </c>
      <c r="C16" s="42">
        <v>24781</v>
      </c>
      <c r="D16" s="4">
        <v>46250</v>
      </c>
      <c r="E16" s="7"/>
      <c r="F16" s="7"/>
      <c r="G16" s="19">
        <v>58</v>
      </c>
      <c r="H16" s="20"/>
      <c r="I16" s="21"/>
      <c r="J16" s="4">
        <v>46250</v>
      </c>
      <c r="K16" s="12" t="s">
        <v>246</v>
      </c>
    </row>
    <row r="17" spans="1:11" ht="18.75" customHeight="1" x14ac:dyDescent="0.3">
      <c r="A17" s="7"/>
      <c r="B17" s="22" t="s">
        <v>52</v>
      </c>
      <c r="C17" s="50">
        <f>SUM(C16:C16)</f>
        <v>24781</v>
      </c>
      <c r="D17" s="3"/>
      <c r="E17" s="7"/>
      <c r="F17" s="7"/>
      <c r="G17" s="7"/>
      <c r="H17" s="23">
        <v>0</v>
      </c>
      <c r="I17" s="21"/>
      <c r="J17" s="3"/>
      <c r="K17" s="24"/>
    </row>
    <row r="18" spans="1:11" x14ac:dyDescent="0.3">
      <c r="C18" s="25"/>
      <c r="H18" s="25"/>
    </row>
    <row r="19" spans="1:11" ht="16.5" customHeight="1" x14ac:dyDescent="0.35">
      <c r="B19" s="26" t="s">
        <v>53</v>
      </c>
      <c r="C19" s="43">
        <f>SUM(C10)</f>
        <v>7000</v>
      </c>
      <c r="E19" s="27"/>
      <c r="F19" s="27"/>
      <c r="G19" s="66"/>
      <c r="H19" s="67"/>
    </row>
    <row r="20" spans="1:11" ht="16.5" customHeight="1" x14ac:dyDescent="0.35">
      <c r="B20" s="28" t="s">
        <v>54</v>
      </c>
      <c r="C20" s="44">
        <f>SUM(C11)</f>
        <v>2090</v>
      </c>
      <c r="E20" s="29"/>
      <c r="F20" s="29"/>
      <c r="G20" s="30" t="s">
        <v>55</v>
      </c>
      <c r="H20" s="31"/>
    </row>
    <row r="21" spans="1:11" ht="24" customHeight="1" x14ac:dyDescent="0.45">
      <c r="B21" s="32" t="s">
        <v>242</v>
      </c>
      <c r="C21" s="45">
        <f>SUM(C12)</f>
        <v>380</v>
      </c>
      <c r="E21" s="33" t="s">
        <v>57</v>
      </c>
      <c r="F21" s="34"/>
      <c r="G21" s="35"/>
      <c r="H21" s="36"/>
      <c r="I21" s="35"/>
      <c r="J21" s="37"/>
    </row>
    <row r="22" spans="1:11" ht="18.75" customHeight="1" x14ac:dyDescent="0.35">
      <c r="B22" s="38" t="s">
        <v>20</v>
      </c>
      <c r="C22" s="46">
        <f>SUM(C19:C21)</f>
        <v>9470</v>
      </c>
      <c r="G22" s="30"/>
      <c r="H22" s="31"/>
      <c r="I22" s="30"/>
      <c r="J22" s="30"/>
    </row>
  </sheetData>
  <mergeCells count="6">
    <mergeCell ref="A3:K3"/>
    <mergeCell ref="A2:K2"/>
    <mergeCell ref="A14:K14"/>
    <mergeCell ref="G19:H19"/>
    <mergeCell ref="A1:K1"/>
    <mergeCell ref="A9:K9"/>
  </mergeCells>
  <pageMargins left="0" right="0" top="0" bottom="0" header="0" footer="0"/>
  <pageSetup scale="8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20"/>
  <sheetViews>
    <sheetView topLeftCell="A7" workbookViewId="0">
      <selection sqref="A1:K20"/>
    </sheetView>
  </sheetViews>
  <sheetFormatPr defaultRowHeight="14.4" x14ac:dyDescent="0.3"/>
  <cols>
    <col min="1" max="1" width="4.44140625" bestFit="1" customWidth="1"/>
    <col min="2" max="2" width="21.88671875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7.44140625" customWidth="1"/>
    <col min="11" max="11" width="29.1093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249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/>
      <c r="C5" s="47">
        <v>0</v>
      </c>
      <c r="D5" s="4">
        <v>46251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46250</v>
      </c>
      <c r="K5" s="7"/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7" spans="1:11" ht="24" customHeight="1" x14ac:dyDescent="0.45">
      <c r="A7" s="70" t="s">
        <v>21</v>
      </c>
      <c r="B7" s="63"/>
      <c r="C7" s="63"/>
      <c r="D7" s="63"/>
      <c r="E7" s="63"/>
      <c r="F7" s="63"/>
      <c r="G7" s="63"/>
      <c r="H7" s="63"/>
      <c r="I7" s="63"/>
      <c r="J7" s="63"/>
      <c r="K7" s="64"/>
    </row>
    <row r="8" spans="1:11" ht="15.75" customHeight="1" x14ac:dyDescent="0.3">
      <c r="A8" s="3">
        <v>1</v>
      </c>
      <c r="B8" s="3" t="s">
        <v>250</v>
      </c>
      <c r="C8" s="47">
        <v>6140</v>
      </c>
      <c r="D8" s="4">
        <v>46251</v>
      </c>
      <c r="E8" s="13">
        <v>0</v>
      </c>
      <c r="F8" s="12" t="s">
        <v>23</v>
      </c>
      <c r="G8" s="41">
        <v>5426</v>
      </c>
      <c r="H8" s="14">
        <v>0</v>
      </c>
      <c r="I8" s="3" t="s">
        <v>24</v>
      </c>
      <c r="J8" s="4">
        <f>+D8+1</f>
        <v>46252</v>
      </c>
      <c r="K8" s="12" t="s">
        <v>28</v>
      </c>
    </row>
    <row r="9" spans="1:11" ht="15.75" customHeight="1" x14ac:dyDescent="0.3">
      <c r="A9" s="3">
        <v>2</v>
      </c>
      <c r="B9" s="3" t="s">
        <v>251</v>
      </c>
      <c r="C9" s="47">
        <v>8400</v>
      </c>
      <c r="D9" s="4">
        <f>+D8</f>
        <v>46251</v>
      </c>
      <c r="E9" s="13">
        <v>0</v>
      </c>
      <c r="F9" s="12" t="s">
        <v>23</v>
      </c>
      <c r="G9" s="41">
        <v>8542</v>
      </c>
      <c r="H9" s="14">
        <v>0</v>
      </c>
      <c r="I9" s="3" t="s">
        <v>16</v>
      </c>
      <c r="J9" s="4">
        <f>+D9+1</f>
        <v>46252</v>
      </c>
      <c r="K9" s="12" t="s">
        <v>28</v>
      </c>
    </row>
    <row r="10" spans="1:11" ht="15.75" customHeight="1" x14ac:dyDescent="0.3">
      <c r="A10" s="3">
        <v>3</v>
      </c>
      <c r="B10" s="3" t="s">
        <v>252</v>
      </c>
      <c r="C10" s="47">
        <v>265</v>
      </c>
      <c r="D10" s="4">
        <f>+D9</f>
        <v>46251</v>
      </c>
      <c r="E10" s="13">
        <v>0</v>
      </c>
      <c r="F10" s="12" t="s">
        <v>23</v>
      </c>
      <c r="G10" s="41">
        <v>578</v>
      </c>
      <c r="H10" s="14">
        <v>0</v>
      </c>
      <c r="I10" s="3" t="s">
        <v>16</v>
      </c>
      <c r="J10" s="4">
        <f>+D10+1</f>
        <v>46252</v>
      </c>
      <c r="K10" s="12" t="s">
        <v>28</v>
      </c>
    </row>
    <row r="11" spans="1:11" ht="18.75" customHeight="1" x14ac:dyDescent="0.35">
      <c r="A11" s="3"/>
      <c r="B11" s="15" t="s">
        <v>20</v>
      </c>
      <c r="C11" s="49">
        <f>SUM(C8:C10)</f>
        <v>14805</v>
      </c>
      <c r="D11" s="3"/>
      <c r="E11" s="3"/>
      <c r="F11" s="12"/>
      <c r="G11" s="12"/>
      <c r="H11" s="10"/>
      <c r="I11" s="3"/>
      <c r="J11" s="3"/>
      <c r="K11" s="3"/>
    </row>
    <row r="12" spans="1:11" ht="24.75" customHeight="1" x14ac:dyDescent="0.6">
      <c r="A12" s="71" t="s">
        <v>39</v>
      </c>
      <c r="B12" s="63"/>
      <c r="C12" s="63"/>
      <c r="D12" s="63"/>
      <c r="E12" s="63"/>
      <c r="F12" s="63"/>
      <c r="G12" s="63"/>
      <c r="H12" s="63"/>
      <c r="I12" s="63"/>
      <c r="J12" s="63"/>
      <c r="K12" s="64"/>
    </row>
    <row r="13" spans="1:11" ht="18.75" customHeight="1" x14ac:dyDescent="0.35">
      <c r="A13" s="16" t="s">
        <v>3</v>
      </c>
      <c r="B13" s="16" t="s">
        <v>40</v>
      </c>
      <c r="C13" s="40" t="s">
        <v>5</v>
      </c>
      <c r="D13" s="1" t="s">
        <v>41</v>
      </c>
      <c r="E13" s="16" t="s">
        <v>7</v>
      </c>
      <c r="F13" s="16" t="s">
        <v>8</v>
      </c>
      <c r="G13" s="16" t="s">
        <v>42</v>
      </c>
      <c r="H13" s="17" t="s">
        <v>43</v>
      </c>
      <c r="I13" s="16" t="s">
        <v>11</v>
      </c>
      <c r="J13" s="16" t="s">
        <v>44</v>
      </c>
      <c r="K13" s="18" t="s">
        <v>45</v>
      </c>
    </row>
    <row r="14" spans="1:11" ht="15.75" customHeight="1" x14ac:dyDescent="0.3">
      <c r="A14" s="7">
        <v>1</v>
      </c>
      <c r="B14" s="7" t="s">
        <v>253</v>
      </c>
      <c r="C14" s="42">
        <v>4000</v>
      </c>
      <c r="D14" s="4">
        <v>46251</v>
      </c>
      <c r="E14" s="7"/>
      <c r="F14" s="7"/>
      <c r="G14" s="19">
        <v>4634</v>
      </c>
      <c r="H14" s="20"/>
      <c r="I14" s="21"/>
      <c r="J14" s="4">
        <v>46251</v>
      </c>
      <c r="K14" s="12" t="s">
        <v>254</v>
      </c>
    </row>
    <row r="15" spans="1:11" ht="18.75" customHeight="1" x14ac:dyDescent="0.3">
      <c r="A15" s="7"/>
      <c r="B15" s="22" t="s">
        <v>52</v>
      </c>
      <c r="C15" s="50">
        <f>SUM(C14:C14)</f>
        <v>4000</v>
      </c>
      <c r="D15" s="3"/>
      <c r="E15" s="7"/>
      <c r="F15" s="7"/>
      <c r="G15" s="7"/>
      <c r="H15" s="23">
        <v>0</v>
      </c>
      <c r="I15" s="21"/>
      <c r="J15" s="3"/>
      <c r="K15" s="24"/>
    </row>
    <row r="16" spans="1:11" x14ac:dyDescent="0.3">
      <c r="C16" s="25"/>
      <c r="H16" s="25"/>
    </row>
    <row r="17" spans="2:10" ht="16.5" customHeight="1" x14ac:dyDescent="0.35">
      <c r="B17" s="26" t="s">
        <v>53</v>
      </c>
      <c r="C17" s="43"/>
      <c r="E17" s="27"/>
      <c r="F17" s="27"/>
      <c r="G17" s="66"/>
      <c r="H17" s="67"/>
    </row>
    <row r="18" spans="2:10" ht="16.5" customHeight="1" x14ac:dyDescent="0.35">
      <c r="B18" s="28" t="s">
        <v>54</v>
      </c>
      <c r="C18" s="44">
        <f>SUM(C8,C9,C10)</f>
        <v>14805</v>
      </c>
      <c r="E18" s="29"/>
      <c r="F18" s="29"/>
      <c r="G18" s="30" t="s">
        <v>55</v>
      </c>
      <c r="H18" s="31"/>
    </row>
    <row r="19" spans="2:10" ht="24" customHeight="1" x14ac:dyDescent="0.45">
      <c r="B19" s="32" t="s">
        <v>63</v>
      </c>
      <c r="C19" s="45"/>
      <c r="E19" s="33" t="s">
        <v>57</v>
      </c>
      <c r="F19" s="34"/>
      <c r="G19" s="35"/>
      <c r="H19" s="36"/>
      <c r="I19" s="35"/>
      <c r="J19" s="37"/>
    </row>
    <row r="20" spans="2:10" ht="18.75" customHeight="1" x14ac:dyDescent="0.35">
      <c r="B20" s="38" t="s">
        <v>20</v>
      </c>
      <c r="C20" s="46">
        <f>SUM(C17:C19)</f>
        <v>14805</v>
      </c>
      <c r="G20" s="30"/>
      <c r="H20" s="31"/>
      <c r="I20" s="30"/>
      <c r="J20" s="30"/>
    </row>
  </sheetData>
  <mergeCells count="6">
    <mergeCell ref="G17:H17"/>
    <mergeCell ref="A12:K12"/>
    <mergeCell ref="A3:K3"/>
    <mergeCell ref="A7:K7"/>
    <mergeCell ref="A2:K2"/>
    <mergeCell ref="A1:K1"/>
  </mergeCells>
  <pageMargins left="0" right="0" top="0" bottom="0" header="0" footer="0"/>
  <pageSetup scale="9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22"/>
  <sheetViews>
    <sheetView topLeftCell="A9" workbookViewId="0">
      <selection sqref="A1:K22"/>
    </sheetView>
  </sheetViews>
  <sheetFormatPr defaultRowHeight="14.4" x14ac:dyDescent="0.3"/>
  <cols>
    <col min="1" max="1" width="4.44140625" bestFit="1" customWidth="1"/>
    <col min="2" max="2" width="24.5546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9" width="9.44140625" customWidth="1"/>
    <col min="10" max="10" width="16.88671875" bestFit="1" customWidth="1"/>
    <col min="11" max="11" width="27.886718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255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46252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46251</v>
      </c>
      <c r="K5" s="7"/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256</v>
      </c>
      <c r="C9" s="47">
        <v>1340</v>
      </c>
      <c r="D9" s="4">
        <v>46252</v>
      </c>
      <c r="E9" s="13">
        <v>0</v>
      </c>
      <c r="F9" s="12" t="s">
        <v>23</v>
      </c>
      <c r="G9" s="41">
        <v>1137</v>
      </c>
      <c r="H9" s="14">
        <v>0</v>
      </c>
      <c r="I9" s="3" t="s">
        <v>24</v>
      </c>
      <c r="J9" s="4">
        <f>+D9+1</f>
        <v>46253</v>
      </c>
      <c r="K9" s="12" t="s">
        <v>28</v>
      </c>
    </row>
    <row r="10" spans="1:11" ht="18.75" customHeight="1" x14ac:dyDescent="0.35">
      <c r="A10" s="3"/>
      <c r="B10" s="15" t="s">
        <v>20</v>
      </c>
      <c r="C10" s="49">
        <f>SUM(C9:C9)</f>
        <v>1340</v>
      </c>
      <c r="D10" s="3"/>
      <c r="E10" s="3"/>
      <c r="F10" s="12"/>
      <c r="G10" s="12"/>
      <c r="H10" s="10"/>
      <c r="I10" s="3"/>
      <c r="J10" s="3"/>
      <c r="K10" s="3"/>
    </row>
    <row r="11" spans="1:11" ht="24.75" customHeight="1" x14ac:dyDescent="0.6">
      <c r="A11" s="71" t="s">
        <v>39</v>
      </c>
      <c r="B11" s="63"/>
      <c r="C11" s="63"/>
      <c r="D11" s="63"/>
      <c r="E11" s="63"/>
      <c r="F11" s="63"/>
      <c r="G11" s="63"/>
      <c r="H11" s="63"/>
      <c r="I11" s="63"/>
      <c r="J11" s="63"/>
      <c r="K11" s="64"/>
    </row>
    <row r="12" spans="1:11" ht="18.75" customHeight="1" x14ac:dyDescent="0.35">
      <c r="A12" s="16" t="s">
        <v>3</v>
      </c>
      <c r="B12" s="16" t="s">
        <v>40</v>
      </c>
      <c r="C12" s="40" t="s">
        <v>5</v>
      </c>
      <c r="D12" s="1" t="s">
        <v>41</v>
      </c>
      <c r="E12" s="16" t="s">
        <v>7</v>
      </c>
      <c r="F12" s="16" t="s">
        <v>8</v>
      </c>
      <c r="G12" s="16" t="s">
        <v>42</v>
      </c>
      <c r="H12" s="17" t="s">
        <v>43</v>
      </c>
      <c r="I12" s="16" t="s">
        <v>11</v>
      </c>
      <c r="J12" s="16" t="s">
        <v>44</v>
      </c>
      <c r="K12" s="18" t="s">
        <v>45</v>
      </c>
    </row>
    <row r="13" spans="1:11" ht="15.75" customHeight="1" x14ac:dyDescent="0.3">
      <c r="A13" s="7">
        <v>1</v>
      </c>
      <c r="B13" s="7" t="s">
        <v>257</v>
      </c>
      <c r="C13" s="42">
        <v>3705</v>
      </c>
      <c r="D13" s="4">
        <v>46252</v>
      </c>
      <c r="E13" s="7"/>
      <c r="F13" s="7"/>
      <c r="G13" s="19">
        <v>6038</v>
      </c>
      <c r="H13" s="20"/>
      <c r="I13" s="21"/>
      <c r="J13" s="4">
        <v>46252</v>
      </c>
      <c r="K13" s="12" t="s">
        <v>258</v>
      </c>
    </row>
    <row r="14" spans="1:11" ht="15.75" customHeight="1" x14ac:dyDescent="0.3">
      <c r="A14" s="7">
        <v>2</v>
      </c>
      <c r="B14" s="7" t="s">
        <v>259</v>
      </c>
      <c r="C14" s="42">
        <v>1050</v>
      </c>
      <c r="D14" s="4">
        <v>46252</v>
      </c>
      <c r="E14" s="7"/>
      <c r="F14" s="7"/>
      <c r="G14" s="19">
        <v>5012</v>
      </c>
      <c r="H14" s="20"/>
      <c r="I14" s="21"/>
      <c r="J14" s="4">
        <v>46252</v>
      </c>
      <c r="K14" s="12" t="s">
        <v>260</v>
      </c>
    </row>
    <row r="15" spans="1:11" ht="15.75" customHeight="1" x14ac:dyDescent="0.3">
      <c r="A15" s="7">
        <v>3</v>
      </c>
      <c r="B15" s="7" t="s">
        <v>261</v>
      </c>
      <c r="C15" s="42">
        <v>10000</v>
      </c>
      <c r="D15" s="4">
        <v>46252</v>
      </c>
      <c r="E15" s="7"/>
      <c r="F15" s="7"/>
      <c r="G15" s="19">
        <v>2981</v>
      </c>
      <c r="H15" s="20"/>
      <c r="I15" s="21"/>
      <c r="J15" s="4">
        <v>46252</v>
      </c>
      <c r="K15" s="12" t="s">
        <v>163</v>
      </c>
    </row>
    <row r="16" spans="1:11" ht="15.75" customHeight="1" x14ac:dyDescent="0.3">
      <c r="A16" s="7">
        <v>4</v>
      </c>
      <c r="B16" s="7" t="s">
        <v>262</v>
      </c>
      <c r="C16" s="42">
        <v>300</v>
      </c>
      <c r="D16" s="4">
        <v>46252</v>
      </c>
      <c r="E16" s="7"/>
      <c r="F16" s="7"/>
      <c r="G16" s="19">
        <v>6250</v>
      </c>
      <c r="H16" s="20"/>
      <c r="I16" s="21"/>
      <c r="J16" s="4">
        <v>46252</v>
      </c>
      <c r="K16" s="12" t="s">
        <v>263</v>
      </c>
    </row>
    <row r="17" spans="1:11" ht="18.75" customHeight="1" x14ac:dyDescent="0.3">
      <c r="A17" s="7"/>
      <c r="B17" s="22" t="s">
        <v>52</v>
      </c>
      <c r="C17" s="50">
        <f>SUM(C13:C16)</f>
        <v>15055</v>
      </c>
      <c r="D17" s="3"/>
      <c r="E17" s="7"/>
      <c r="F17" s="7"/>
      <c r="G17" s="7"/>
      <c r="H17" s="23">
        <v>0</v>
      </c>
      <c r="I17" s="21"/>
      <c r="J17" s="3"/>
      <c r="K17" s="24"/>
    </row>
    <row r="18" spans="1:11" x14ac:dyDescent="0.3">
      <c r="C18" s="25"/>
      <c r="H18" s="25"/>
    </row>
    <row r="19" spans="1:11" ht="16.5" customHeight="1" x14ac:dyDescent="0.35">
      <c r="B19" s="26" t="s">
        <v>53</v>
      </c>
      <c r="C19" s="43"/>
      <c r="E19" s="27"/>
      <c r="F19" s="27"/>
      <c r="G19" s="66"/>
      <c r="H19" s="67"/>
    </row>
    <row r="20" spans="1:11" ht="16.5" customHeight="1" x14ac:dyDescent="0.35">
      <c r="B20" s="28" t="s">
        <v>54</v>
      </c>
      <c r="C20" s="44">
        <f>SUM(C9)</f>
        <v>1340</v>
      </c>
      <c r="E20" s="29"/>
      <c r="F20" s="29"/>
      <c r="G20" s="30" t="s">
        <v>55</v>
      </c>
      <c r="H20" s="31"/>
    </row>
    <row r="21" spans="1:11" ht="24" customHeight="1" x14ac:dyDescent="0.45">
      <c r="B21" s="32" t="s">
        <v>63</v>
      </c>
      <c r="C21" s="45"/>
      <c r="E21" s="33" t="s">
        <v>57</v>
      </c>
      <c r="F21" s="34"/>
      <c r="G21" s="35"/>
      <c r="H21" s="36"/>
      <c r="I21" s="35"/>
      <c r="J21" s="37"/>
    </row>
    <row r="22" spans="1:11" ht="18.75" customHeight="1" x14ac:dyDescent="0.35">
      <c r="B22" s="38" t="s">
        <v>20</v>
      </c>
      <c r="C22" s="46">
        <f>SUM(C19:C21)</f>
        <v>1340</v>
      </c>
      <c r="G22" s="30"/>
      <c r="H22" s="31"/>
      <c r="I22" s="30"/>
      <c r="J22" s="30"/>
    </row>
  </sheetData>
  <mergeCells count="6">
    <mergeCell ref="A3:K3"/>
    <mergeCell ref="G19:H19"/>
    <mergeCell ref="A11:K11"/>
    <mergeCell ref="A2:K2"/>
    <mergeCell ref="A1:K1"/>
    <mergeCell ref="A8:K8"/>
  </mergeCells>
  <pageMargins left="0" right="0" top="0" bottom="0" header="0" footer="0"/>
  <pageSetup scale="9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4"/>
  <sheetViews>
    <sheetView topLeftCell="A10" workbookViewId="0">
      <selection activeCell="J34" sqref="J34"/>
    </sheetView>
  </sheetViews>
  <sheetFormatPr defaultRowHeight="14.4" x14ac:dyDescent="0.3"/>
  <cols>
    <col min="1" max="1" width="4.44140625" bestFit="1" customWidth="1"/>
    <col min="2" max="2" width="25.332031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332031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264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46253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46252</v>
      </c>
      <c r="K5" s="7"/>
    </row>
    <row r="6" spans="1:11" ht="15.75" customHeight="1" x14ac:dyDescent="0.3">
      <c r="A6" s="3">
        <v>2</v>
      </c>
      <c r="B6" s="3" t="s">
        <v>265</v>
      </c>
      <c r="C6" s="47">
        <v>54000</v>
      </c>
      <c r="D6" s="4">
        <v>46253</v>
      </c>
      <c r="E6" s="5">
        <v>0</v>
      </c>
      <c r="F6" s="3" t="s">
        <v>15</v>
      </c>
      <c r="G6" s="39">
        <v>6270</v>
      </c>
      <c r="H6" s="6">
        <v>0</v>
      </c>
      <c r="I6" s="3" t="s">
        <v>16</v>
      </c>
      <c r="J6" s="4">
        <f>+D6-1</f>
        <v>46252</v>
      </c>
      <c r="K6" s="7" t="s">
        <v>266</v>
      </c>
    </row>
    <row r="7" spans="1:11" ht="15.75" customHeight="1" x14ac:dyDescent="0.3">
      <c r="A7" s="3">
        <v>3</v>
      </c>
      <c r="B7" s="3" t="s">
        <v>267</v>
      </c>
      <c r="C7" s="47">
        <v>10650</v>
      </c>
      <c r="D7" s="4">
        <v>46253</v>
      </c>
      <c r="E7" s="5">
        <v>0</v>
      </c>
      <c r="F7" s="3" t="s">
        <v>15</v>
      </c>
      <c r="G7" s="39">
        <v>5689</v>
      </c>
      <c r="H7" s="6">
        <v>0</v>
      </c>
      <c r="I7" s="3" t="s">
        <v>16</v>
      </c>
      <c r="J7" s="4">
        <f>+D7-1</f>
        <v>46252</v>
      </c>
      <c r="K7" s="7" t="s">
        <v>268</v>
      </c>
    </row>
    <row r="8" spans="1:11" ht="18.75" customHeight="1" x14ac:dyDescent="0.35">
      <c r="A8" s="8"/>
      <c r="B8" s="9" t="s">
        <v>20</v>
      </c>
      <c r="C8" s="48">
        <f>SUM(C5:C7)</f>
        <v>64650</v>
      </c>
      <c r="D8" s="3"/>
      <c r="E8" s="11"/>
      <c r="F8" s="8"/>
      <c r="G8" s="12"/>
      <c r="H8" s="10">
        <f>SUM(H5:H5)</f>
        <v>0</v>
      </c>
      <c r="I8" s="8"/>
      <c r="J8" s="8"/>
      <c r="K8" s="8"/>
    </row>
    <row r="10" spans="1:11" ht="24" customHeight="1" x14ac:dyDescent="0.45">
      <c r="A10" s="70" t="s">
        <v>21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</row>
    <row r="11" spans="1:11" ht="15.75" customHeight="1" x14ac:dyDescent="0.3">
      <c r="A11" s="3">
        <v>1</v>
      </c>
      <c r="B11" s="3" t="s">
        <v>269</v>
      </c>
      <c r="C11" s="47">
        <v>20900</v>
      </c>
      <c r="D11" s="4">
        <v>46253</v>
      </c>
      <c r="E11" s="13">
        <v>0</v>
      </c>
      <c r="F11" s="12" t="s">
        <v>23</v>
      </c>
      <c r="G11" s="41">
        <v>6152</v>
      </c>
      <c r="H11" s="14">
        <v>0</v>
      </c>
      <c r="I11" s="3" t="s">
        <v>24</v>
      </c>
      <c r="J11" s="4">
        <f t="shared" ref="J11:J22" si="0">+D11+1</f>
        <v>46254</v>
      </c>
      <c r="K11" s="12" t="s">
        <v>270</v>
      </c>
    </row>
    <row r="12" spans="1:11" ht="15.75" customHeight="1" x14ac:dyDescent="0.3">
      <c r="A12" s="3">
        <v>2</v>
      </c>
      <c r="B12" s="3" t="s">
        <v>271</v>
      </c>
      <c r="C12" s="47">
        <v>11740</v>
      </c>
      <c r="D12" s="4">
        <f t="shared" ref="D12:D22" si="1">+D11</f>
        <v>46253</v>
      </c>
      <c r="E12" s="13">
        <v>0</v>
      </c>
      <c r="F12" s="12" t="s">
        <v>23</v>
      </c>
      <c r="G12" s="41">
        <v>2427</v>
      </c>
      <c r="H12" s="14">
        <v>0</v>
      </c>
      <c r="I12" s="3" t="s">
        <v>16</v>
      </c>
      <c r="J12" s="4">
        <f t="shared" si="0"/>
        <v>46254</v>
      </c>
      <c r="K12" s="12" t="s">
        <v>28</v>
      </c>
    </row>
    <row r="13" spans="1:11" ht="15.75" customHeight="1" x14ac:dyDescent="0.3">
      <c r="A13" s="3">
        <v>3</v>
      </c>
      <c r="B13" s="3" t="s">
        <v>272</v>
      </c>
      <c r="C13" s="47">
        <v>17500</v>
      </c>
      <c r="D13" s="4">
        <f t="shared" si="1"/>
        <v>46253</v>
      </c>
      <c r="E13" s="13">
        <v>0</v>
      </c>
      <c r="F13" s="12" t="s">
        <v>23</v>
      </c>
      <c r="G13" s="41">
        <v>707</v>
      </c>
      <c r="H13" s="14">
        <v>0</v>
      </c>
      <c r="I13" s="3" t="s">
        <v>16</v>
      </c>
      <c r="J13" s="4">
        <f t="shared" si="0"/>
        <v>46254</v>
      </c>
      <c r="K13" s="12" t="s">
        <v>268</v>
      </c>
    </row>
    <row r="14" spans="1:11" ht="15.75" customHeight="1" x14ac:dyDescent="0.3">
      <c r="A14" s="3">
        <v>4</v>
      </c>
      <c r="B14" s="3" t="s">
        <v>273</v>
      </c>
      <c r="C14" s="47">
        <v>3850</v>
      </c>
      <c r="D14" s="4">
        <f t="shared" si="1"/>
        <v>46253</v>
      </c>
      <c r="E14" s="13">
        <v>0</v>
      </c>
      <c r="F14" s="12" t="s">
        <v>23</v>
      </c>
      <c r="G14" s="41">
        <v>2790</v>
      </c>
      <c r="H14" s="14">
        <v>0</v>
      </c>
      <c r="I14" s="3" t="s">
        <v>16</v>
      </c>
      <c r="J14" s="4">
        <f t="shared" si="0"/>
        <v>46254</v>
      </c>
      <c r="K14" s="12" t="s">
        <v>28</v>
      </c>
    </row>
    <row r="15" spans="1:11" ht="15.75" customHeight="1" x14ac:dyDescent="0.3">
      <c r="A15" s="3">
        <v>5</v>
      </c>
      <c r="B15" s="3" t="s">
        <v>274</v>
      </c>
      <c r="C15" s="47">
        <v>99000</v>
      </c>
      <c r="D15" s="4">
        <f t="shared" si="1"/>
        <v>46253</v>
      </c>
      <c r="E15" s="13">
        <v>0</v>
      </c>
      <c r="F15" s="12" t="s">
        <v>23</v>
      </c>
      <c r="G15" s="41">
        <v>6250</v>
      </c>
      <c r="H15" s="14">
        <v>0</v>
      </c>
      <c r="I15" s="3" t="s">
        <v>16</v>
      </c>
      <c r="J15" s="4">
        <f t="shared" si="0"/>
        <v>46254</v>
      </c>
      <c r="K15" s="12" t="s">
        <v>275</v>
      </c>
    </row>
    <row r="16" spans="1:11" ht="15.75" customHeight="1" x14ac:dyDescent="0.3">
      <c r="A16" s="3">
        <v>6</v>
      </c>
      <c r="B16" s="3" t="s">
        <v>276</v>
      </c>
      <c r="C16" s="47">
        <v>1830</v>
      </c>
      <c r="D16" s="4">
        <f t="shared" si="1"/>
        <v>46253</v>
      </c>
      <c r="E16" s="13">
        <v>0</v>
      </c>
      <c r="F16" s="12" t="s">
        <v>23</v>
      </c>
      <c r="G16" s="41">
        <v>9785</v>
      </c>
      <c r="H16" s="14">
        <v>0</v>
      </c>
      <c r="I16" s="3" t="s">
        <v>16</v>
      </c>
      <c r="J16" s="4">
        <f t="shared" si="0"/>
        <v>46254</v>
      </c>
      <c r="K16" s="12" t="s">
        <v>73</v>
      </c>
    </row>
    <row r="17" spans="1:11" ht="15.75" customHeight="1" x14ac:dyDescent="0.3">
      <c r="A17" s="3">
        <v>7</v>
      </c>
      <c r="B17" s="3" t="s">
        <v>277</v>
      </c>
      <c r="C17" s="47">
        <v>2850</v>
      </c>
      <c r="D17" s="4">
        <f t="shared" si="1"/>
        <v>46253</v>
      </c>
      <c r="E17" s="13">
        <v>0</v>
      </c>
      <c r="F17" s="12" t="s">
        <v>23</v>
      </c>
      <c r="G17" s="41">
        <v>8192</v>
      </c>
      <c r="H17" s="14">
        <v>0</v>
      </c>
      <c r="I17" s="3" t="s">
        <v>16</v>
      </c>
      <c r="J17" s="4">
        <f t="shared" si="0"/>
        <v>46254</v>
      </c>
      <c r="K17" s="12" t="s">
        <v>278</v>
      </c>
    </row>
    <row r="18" spans="1:11" ht="15.75" customHeight="1" x14ac:dyDescent="0.3">
      <c r="A18" s="3">
        <v>8</v>
      </c>
      <c r="B18" s="3" t="s">
        <v>279</v>
      </c>
      <c r="C18" s="47">
        <v>640</v>
      </c>
      <c r="D18" s="4">
        <f t="shared" si="1"/>
        <v>46253</v>
      </c>
      <c r="E18" s="13">
        <v>0</v>
      </c>
      <c r="F18" s="12" t="s">
        <v>23</v>
      </c>
      <c r="G18" s="41">
        <v>30</v>
      </c>
      <c r="H18" s="14">
        <v>0</v>
      </c>
      <c r="I18" s="3" t="s">
        <v>16</v>
      </c>
      <c r="J18" s="4">
        <f t="shared" si="0"/>
        <v>46254</v>
      </c>
      <c r="K18" s="12" t="s">
        <v>73</v>
      </c>
    </row>
    <row r="19" spans="1:11" ht="15.75" customHeight="1" x14ac:dyDescent="0.3">
      <c r="A19" s="3">
        <v>9</v>
      </c>
      <c r="B19" s="3" t="s">
        <v>280</v>
      </c>
      <c r="C19" s="47">
        <v>2700</v>
      </c>
      <c r="D19" s="4">
        <f t="shared" si="1"/>
        <v>46253</v>
      </c>
      <c r="E19" s="13">
        <v>0</v>
      </c>
      <c r="F19" s="12" t="s">
        <v>23</v>
      </c>
      <c r="G19" s="41">
        <v>5903</v>
      </c>
      <c r="H19" s="14">
        <v>0</v>
      </c>
      <c r="I19" s="3" t="s">
        <v>16</v>
      </c>
      <c r="J19" s="4">
        <f t="shared" si="0"/>
        <v>46254</v>
      </c>
      <c r="K19" s="12" t="s">
        <v>73</v>
      </c>
    </row>
    <row r="20" spans="1:11" ht="15.75" customHeight="1" x14ac:dyDescent="0.3">
      <c r="A20" s="3">
        <v>10</v>
      </c>
      <c r="B20" s="3" t="s">
        <v>281</v>
      </c>
      <c r="C20" s="47">
        <v>2190</v>
      </c>
      <c r="D20" s="4">
        <f t="shared" si="1"/>
        <v>46253</v>
      </c>
      <c r="E20" s="13">
        <v>0</v>
      </c>
      <c r="F20" s="12" t="s">
        <v>23</v>
      </c>
      <c r="G20" s="41">
        <v>7203</v>
      </c>
      <c r="H20" s="14">
        <v>0</v>
      </c>
      <c r="I20" s="3" t="s">
        <v>16</v>
      </c>
      <c r="J20" s="4">
        <f t="shared" si="0"/>
        <v>46254</v>
      </c>
      <c r="K20" s="12" t="s">
        <v>28</v>
      </c>
    </row>
    <row r="21" spans="1:11" ht="15.75" customHeight="1" x14ac:dyDescent="0.3">
      <c r="A21" s="3">
        <v>11</v>
      </c>
      <c r="B21" s="3" t="s">
        <v>282</v>
      </c>
      <c r="C21" s="47">
        <v>1355</v>
      </c>
      <c r="D21" s="4">
        <f t="shared" si="1"/>
        <v>46253</v>
      </c>
      <c r="E21" s="13">
        <v>0</v>
      </c>
      <c r="F21" s="12" t="s">
        <v>23</v>
      </c>
      <c r="G21" s="41">
        <v>1543</v>
      </c>
      <c r="H21" s="14">
        <v>0</v>
      </c>
      <c r="I21" s="3" t="s">
        <v>16</v>
      </c>
      <c r="J21" s="4">
        <f t="shared" si="0"/>
        <v>46254</v>
      </c>
      <c r="K21" s="12" t="s">
        <v>28</v>
      </c>
    </row>
    <row r="22" spans="1:11" ht="15.75" customHeight="1" x14ac:dyDescent="0.3">
      <c r="A22" s="3">
        <v>12</v>
      </c>
      <c r="B22" s="3" t="s">
        <v>279</v>
      </c>
      <c r="C22" s="47">
        <v>520</v>
      </c>
      <c r="D22" s="4">
        <f t="shared" si="1"/>
        <v>46253</v>
      </c>
      <c r="E22" s="13">
        <v>0</v>
      </c>
      <c r="F22" s="12" t="s">
        <v>23</v>
      </c>
      <c r="G22" s="41">
        <v>337</v>
      </c>
      <c r="H22" s="14">
        <v>0</v>
      </c>
      <c r="I22" s="3" t="s">
        <v>16</v>
      </c>
      <c r="J22" s="4">
        <f t="shared" si="0"/>
        <v>46254</v>
      </c>
      <c r="K22" s="12" t="s">
        <v>73</v>
      </c>
    </row>
    <row r="23" spans="1:11" ht="18.75" customHeight="1" x14ac:dyDescent="0.35">
      <c r="A23" s="3"/>
      <c r="B23" s="15" t="s">
        <v>20</v>
      </c>
      <c r="C23" s="49">
        <f>SUM(C11:C22)</f>
        <v>165075</v>
      </c>
      <c r="D23" s="3"/>
      <c r="E23" s="3"/>
      <c r="F23" s="12"/>
      <c r="G23" s="12"/>
      <c r="H23" s="10"/>
      <c r="I23" s="3"/>
      <c r="J23" s="3"/>
      <c r="K23" s="3"/>
    </row>
    <row r="24" spans="1:11" ht="24.75" customHeight="1" x14ac:dyDescent="0.6">
      <c r="A24" s="71" t="s">
        <v>39</v>
      </c>
      <c r="B24" s="63"/>
      <c r="C24" s="63"/>
      <c r="D24" s="63"/>
      <c r="E24" s="63"/>
      <c r="F24" s="63"/>
      <c r="G24" s="63"/>
      <c r="H24" s="63"/>
      <c r="I24" s="63"/>
      <c r="J24" s="63"/>
      <c r="K24" s="64"/>
    </row>
    <row r="25" spans="1:11" ht="18.75" customHeight="1" x14ac:dyDescent="0.35">
      <c r="A25" s="16" t="s">
        <v>3</v>
      </c>
      <c r="B25" s="16" t="s">
        <v>40</v>
      </c>
      <c r="C25" s="40" t="s">
        <v>5</v>
      </c>
      <c r="D25" s="1" t="s">
        <v>41</v>
      </c>
      <c r="E25" s="16" t="s">
        <v>7</v>
      </c>
      <c r="F25" s="16" t="s">
        <v>8</v>
      </c>
      <c r="G25" s="16" t="s">
        <v>42</v>
      </c>
      <c r="H25" s="17" t="s">
        <v>43</v>
      </c>
      <c r="I25" s="16" t="s">
        <v>11</v>
      </c>
      <c r="J25" s="16" t="s">
        <v>44</v>
      </c>
      <c r="K25" s="18" t="s">
        <v>45</v>
      </c>
    </row>
    <row r="26" spans="1:11" ht="15.75" customHeight="1" x14ac:dyDescent="0.3">
      <c r="A26" s="7">
        <v>1</v>
      </c>
      <c r="B26" s="52" t="s">
        <v>283</v>
      </c>
      <c r="C26" s="42">
        <v>50000</v>
      </c>
      <c r="D26" s="4">
        <v>46252</v>
      </c>
      <c r="E26" s="7"/>
      <c r="F26" s="7"/>
      <c r="G26" s="19">
        <v>2160</v>
      </c>
      <c r="H26" s="20"/>
      <c r="I26" s="21"/>
      <c r="J26" s="4">
        <v>46252</v>
      </c>
      <c r="K26" s="12" t="s">
        <v>284</v>
      </c>
    </row>
    <row r="27" spans="1:11" ht="15.75" customHeight="1" x14ac:dyDescent="0.3">
      <c r="A27" s="7">
        <v>2</v>
      </c>
      <c r="B27" s="7" t="s">
        <v>285</v>
      </c>
      <c r="C27" s="42">
        <v>155555</v>
      </c>
      <c r="D27" s="4">
        <v>46252</v>
      </c>
      <c r="E27" s="7"/>
      <c r="F27" s="7"/>
      <c r="G27" s="19">
        <v>1679</v>
      </c>
      <c r="H27" s="20"/>
      <c r="I27" s="21"/>
      <c r="J27" s="4">
        <v>46252</v>
      </c>
      <c r="K27" s="12" t="s">
        <v>286</v>
      </c>
    </row>
    <row r="28" spans="1:11" ht="18.75" customHeight="1" x14ac:dyDescent="0.3">
      <c r="A28" s="7"/>
      <c r="B28" s="22" t="s">
        <v>52</v>
      </c>
      <c r="C28" s="50">
        <f>SUM(C26:C27)</f>
        <v>205555</v>
      </c>
      <c r="D28" s="3"/>
      <c r="E28" s="7"/>
      <c r="F28" s="7"/>
      <c r="G28" s="7"/>
      <c r="H28" s="23">
        <v>0</v>
      </c>
      <c r="I28" s="21"/>
      <c r="J28" s="3"/>
      <c r="K28" s="24"/>
    </row>
    <row r="29" spans="1:11" x14ac:dyDescent="0.3">
      <c r="C29" s="25"/>
      <c r="H29" s="25"/>
    </row>
    <row r="30" spans="1:11" ht="16.5" customHeight="1" x14ac:dyDescent="0.35">
      <c r="B30" s="26" t="s">
        <v>53</v>
      </c>
      <c r="C30" s="43">
        <f>SUM(C11,C16,C18,C19,C22)</f>
        <v>26590</v>
      </c>
      <c r="E30" s="27"/>
      <c r="F30" s="27"/>
      <c r="G30" s="66"/>
      <c r="H30" s="67"/>
    </row>
    <row r="31" spans="1:11" ht="16.5" customHeight="1" x14ac:dyDescent="0.35">
      <c r="B31" s="28" t="s">
        <v>54</v>
      </c>
      <c r="C31" s="44">
        <f>SUM(C12,C14,C20,C21)</f>
        <v>19135</v>
      </c>
      <c r="E31" s="29"/>
      <c r="F31" s="29"/>
      <c r="G31" s="30" t="s">
        <v>55</v>
      </c>
      <c r="H31" s="31"/>
    </row>
    <row r="32" spans="1:11" ht="24" customHeight="1" x14ac:dyDescent="0.45">
      <c r="B32" s="32" t="s">
        <v>199</v>
      </c>
      <c r="C32" s="45">
        <f>SUM(C13,C15)</f>
        <v>116500</v>
      </c>
      <c r="E32" s="33" t="s">
        <v>57</v>
      </c>
      <c r="F32" s="34"/>
      <c r="G32" s="35"/>
      <c r="H32" s="36"/>
      <c r="I32" s="35"/>
      <c r="J32" s="37"/>
    </row>
    <row r="33" spans="2:10" ht="24" customHeight="1" x14ac:dyDescent="0.45">
      <c r="B33" s="32" t="s">
        <v>287</v>
      </c>
      <c r="C33" s="45">
        <f>SUM(C17)</f>
        <v>2850</v>
      </c>
      <c r="E33" s="53"/>
      <c r="F33" s="34"/>
      <c r="G33" s="35"/>
      <c r="H33" s="36"/>
      <c r="I33" s="35"/>
      <c r="J33" s="37"/>
    </row>
    <row r="34" spans="2:10" ht="18.75" customHeight="1" x14ac:dyDescent="0.35">
      <c r="B34" s="38" t="s">
        <v>20</v>
      </c>
      <c r="C34" s="46">
        <f>SUM(C30:C33)</f>
        <v>165075</v>
      </c>
      <c r="G34" s="30"/>
      <c r="H34" s="31"/>
      <c r="I34" s="30"/>
      <c r="J34" s="30"/>
    </row>
  </sheetData>
  <mergeCells count="6">
    <mergeCell ref="A1:K1"/>
    <mergeCell ref="A3:K3"/>
    <mergeCell ref="G30:H30"/>
    <mergeCell ref="A24:K24"/>
    <mergeCell ref="A2:K2"/>
    <mergeCell ref="A10:K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K27"/>
  <sheetViews>
    <sheetView topLeftCell="A7" workbookViewId="0">
      <selection activeCell="I28" sqref="I28"/>
    </sheetView>
  </sheetViews>
  <sheetFormatPr defaultRowHeight="14.4" x14ac:dyDescent="0.3"/>
  <cols>
    <col min="1" max="1" width="4.44140625" bestFit="1" customWidth="1"/>
    <col min="2" max="2" width="22.33203125" customWidth="1"/>
    <col min="3" max="3" width="12.6640625" bestFit="1" customWidth="1"/>
    <col min="4" max="4" width="13.88671875" bestFit="1" customWidth="1"/>
    <col min="5" max="5" width="11.44140625" bestFit="1" customWidth="1"/>
    <col min="6" max="6" width="9.44140625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6.332031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288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46254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46253</v>
      </c>
      <c r="K5" s="7"/>
    </row>
    <row r="6" spans="1:11" ht="15.75" customHeight="1" x14ac:dyDescent="0.3">
      <c r="A6" s="3">
        <v>2</v>
      </c>
      <c r="B6" s="3" t="s">
        <v>289</v>
      </c>
      <c r="C6" s="47">
        <v>49500</v>
      </c>
      <c r="D6" s="4">
        <v>46254</v>
      </c>
      <c r="E6" s="5">
        <v>0</v>
      </c>
      <c r="F6" s="3" t="s">
        <v>15</v>
      </c>
      <c r="G6" s="39">
        <v>8622</v>
      </c>
      <c r="H6" s="6">
        <v>0</v>
      </c>
      <c r="I6" s="3" t="s">
        <v>16</v>
      </c>
      <c r="J6" s="4">
        <f>+D6-1</f>
        <v>46253</v>
      </c>
      <c r="K6" s="7" t="s">
        <v>290</v>
      </c>
    </row>
    <row r="7" spans="1:11" ht="18.75" customHeight="1" x14ac:dyDescent="0.35">
      <c r="A7" s="8"/>
      <c r="B7" s="9" t="s">
        <v>20</v>
      </c>
      <c r="C7" s="48">
        <f>SUM(C5:C6)</f>
        <v>49500</v>
      </c>
      <c r="D7" s="3"/>
      <c r="E7" s="11"/>
      <c r="F7" s="8"/>
      <c r="G7" s="12"/>
      <c r="H7" s="10">
        <f>SUM(H5:H5)</f>
        <v>0</v>
      </c>
      <c r="I7" s="8"/>
      <c r="J7" s="8"/>
      <c r="K7" s="8"/>
    </row>
    <row r="9" spans="1:11" ht="24" customHeight="1" x14ac:dyDescent="0.45">
      <c r="A9" s="70" t="s">
        <v>21</v>
      </c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1" ht="15.75" customHeight="1" x14ac:dyDescent="0.3">
      <c r="A10" s="3">
        <v>1</v>
      </c>
      <c r="B10" s="3" t="s">
        <v>291</v>
      </c>
      <c r="C10" s="47">
        <v>1000</v>
      </c>
      <c r="D10" s="4">
        <v>46254</v>
      </c>
      <c r="E10" s="13">
        <v>0</v>
      </c>
      <c r="F10" s="12" t="s">
        <v>23</v>
      </c>
      <c r="G10" s="41">
        <v>8337</v>
      </c>
      <c r="H10" s="14">
        <v>0</v>
      </c>
      <c r="I10" s="3" t="s">
        <v>24</v>
      </c>
      <c r="J10" s="4">
        <f t="shared" ref="J10:J15" si="0">+D10+1</f>
        <v>46255</v>
      </c>
      <c r="K10" s="12" t="s">
        <v>292</v>
      </c>
    </row>
    <row r="11" spans="1:11" ht="15.75" customHeight="1" x14ac:dyDescent="0.3">
      <c r="A11" s="3">
        <v>2</v>
      </c>
      <c r="B11" s="3" t="s">
        <v>293</v>
      </c>
      <c r="C11" s="47">
        <v>1000</v>
      </c>
      <c r="D11" s="4">
        <f>+D10</f>
        <v>46254</v>
      </c>
      <c r="E11" s="13">
        <v>0</v>
      </c>
      <c r="F11" s="12" t="s">
        <v>23</v>
      </c>
      <c r="G11" s="41">
        <v>4981</v>
      </c>
      <c r="H11" s="14">
        <v>0</v>
      </c>
      <c r="I11" s="3" t="s">
        <v>16</v>
      </c>
      <c r="J11" s="4">
        <f t="shared" si="0"/>
        <v>46255</v>
      </c>
      <c r="K11" s="12" t="s">
        <v>70</v>
      </c>
    </row>
    <row r="12" spans="1:11" ht="15.75" customHeight="1" x14ac:dyDescent="0.3">
      <c r="A12" s="3">
        <v>3</v>
      </c>
      <c r="B12" s="3" t="s">
        <v>294</v>
      </c>
      <c r="C12" s="47">
        <v>270</v>
      </c>
      <c r="D12" s="4">
        <f>+D11</f>
        <v>46254</v>
      </c>
      <c r="E12" s="13">
        <v>0</v>
      </c>
      <c r="F12" s="12" t="s">
        <v>23</v>
      </c>
      <c r="G12" s="41">
        <v>6269</v>
      </c>
      <c r="H12" s="14">
        <v>0</v>
      </c>
      <c r="I12" s="3" t="s">
        <v>16</v>
      </c>
      <c r="J12" s="4">
        <f t="shared" si="0"/>
        <v>46255</v>
      </c>
      <c r="K12" s="12" t="s">
        <v>25</v>
      </c>
    </row>
    <row r="13" spans="1:11" ht="15.75" customHeight="1" x14ac:dyDescent="0.3">
      <c r="A13" s="3">
        <v>4</v>
      </c>
      <c r="B13" s="3" t="s">
        <v>295</v>
      </c>
      <c r="C13" s="47">
        <v>1420</v>
      </c>
      <c r="D13" s="4">
        <f>+D12</f>
        <v>46254</v>
      </c>
      <c r="E13" s="13">
        <v>0</v>
      </c>
      <c r="F13" s="12" t="s">
        <v>23</v>
      </c>
      <c r="G13" s="41">
        <v>4924</v>
      </c>
      <c r="H13" s="14">
        <v>0</v>
      </c>
      <c r="I13" s="3" t="s">
        <v>16</v>
      </c>
      <c r="J13" s="4">
        <f t="shared" si="0"/>
        <v>46255</v>
      </c>
      <c r="K13" s="12" t="s">
        <v>28</v>
      </c>
    </row>
    <row r="14" spans="1:11" ht="15.75" customHeight="1" x14ac:dyDescent="0.3">
      <c r="A14" s="3">
        <v>5</v>
      </c>
      <c r="B14" s="3" t="s">
        <v>296</v>
      </c>
      <c r="C14" s="47">
        <v>1070</v>
      </c>
      <c r="D14" s="4">
        <f>+D13</f>
        <v>46254</v>
      </c>
      <c r="E14" s="13">
        <v>0</v>
      </c>
      <c r="F14" s="12" t="s">
        <v>23</v>
      </c>
      <c r="G14" s="41">
        <v>9733</v>
      </c>
      <c r="H14" s="14">
        <v>0</v>
      </c>
      <c r="I14" s="3" t="s">
        <v>16</v>
      </c>
      <c r="J14" s="4">
        <f t="shared" si="0"/>
        <v>46255</v>
      </c>
      <c r="K14" s="12" t="s">
        <v>28</v>
      </c>
    </row>
    <row r="15" spans="1:11" ht="15.75" customHeight="1" x14ac:dyDescent="0.3">
      <c r="A15" s="3">
        <v>6</v>
      </c>
      <c r="B15" s="3" t="s">
        <v>215</v>
      </c>
      <c r="C15" s="47">
        <v>2700</v>
      </c>
      <c r="D15" s="4">
        <f>+D14</f>
        <v>46254</v>
      </c>
      <c r="E15" s="13">
        <v>0</v>
      </c>
      <c r="F15" s="12" t="s">
        <v>23</v>
      </c>
      <c r="G15" s="41">
        <v>5182</v>
      </c>
      <c r="H15" s="14">
        <v>0</v>
      </c>
      <c r="I15" s="3" t="s">
        <v>16</v>
      </c>
      <c r="J15" s="4">
        <f t="shared" si="0"/>
        <v>46255</v>
      </c>
      <c r="K15" s="12" t="s">
        <v>163</v>
      </c>
    </row>
    <row r="16" spans="1:11" ht="18.75" customHeight="1" x14ac:dyDescent="0.35">
      <c r="A16" s="3"/>
      <c r="B16" s="15" t="s">
        <v>20</v>
      </c>
      <c r="C16" s="49">
        <f>SUM(C10:C15)</f>
        <v>7460</v>
      </c>
      <c r="D16" s="3"/>
      <c r="E16" s="3"/>
      <c r="F16" s="12"/>
      <c r="G16" s="12"/>
      <c r="H16" s="10"/>
      <c r="I16" s="3"/>
      <c r="J16" s="3"/>
      <c r="K16" s="3"/>
    </row>
    <row r="17" spans="1:11" ht="24.75" customHeight="1" x14ac:dyDescent="0.6">
      <c r="A17" s="71" t="s">
        <v>39</v>
      </c>
      <c r="B17" s="63"/>
      <c r="C17" s="63"/>
      <c r="D17" s="63"/>
      <c r="E17" s="63"/>
      <c r="F17" s="63"/>
      <c r="G17" s="63"/>
      <c r="H17" s="63"/>
      <c r="I17" s="63"/>
      <c r="J17" s="63"/>
      <c r="K17" s="64"/>
    </row>
    <row r="18" spans="1:11" ht="18.75" customHeight="1" x14ac:dyDescent="0.35">
      <c r="A18" s="16" t="s">
        <v>3</v>
      </c>
      <c r="B18" s="16" t="s">
        <v>40</v>
      </c>
      <c r="C18" s="40" t="s">
        <v>5</v>
      </c>
      <c r="D18" s="1" t="s">
        <v>41</v>
      </c>
      <c r="E18" s="16" t="s">
        <v>7</v>
      </c>
      <c r="F18" s="16" t="s">
        <v>8</v>
      </c>
      <c r="G18" s="16" t="s">
        <v>42</v>
      </c>
      <c r="H18" s="17" t="s">
        <v>43</v>
      </c>
      <c r="I18" s="16" t="s">
        <v>11</v>
      </c>
      <c r="J18" s="16" t="s">
        <v>44</v>
      </c>
      <c r="K18" s="18" t="s">
        <v>45</v>
      </c>
    </row>
    <row r="19" spans="1:11" ht="15.75" customHeight="1" x14ac:dyDescent="0.3">
      <c r="A19" s="7">
        <v>1</v>
      </c>
      <c r="B19" s="7" t="s">
        <v>297</v>
      </c>
      <c r="C19" s="42">
        <v>17000</v>
      </c>
      <c r="D19" s="4">
        <v>46254</v>
      </c>
      <c r="E19" s="7"/>
      <c r="F19" s="7"/>
      <c r="G19" s="19">
        <v>5265</v>
      </c>
      <c r="H19" s="20"/>
      <c r="I19" s="21"/>
      <c r="J19" s="4">
        <v>46254</v>
      </c>
      <c r="K19" s="12" t="s">
        <v>298</v>
      </c>
    </row>
    <row r="20" spans="1:11" ht="15.75" customHeight="1" x14ac:dyDescent="0.3">
      <c r="A20" s="7">
        <v>2</v>
      </c>
      <c r="B20" s="7" t="s">
        <v>299</v>
      </c>
      <c r="C20" s="42">
        <v>540</v>
      </c>
      <c r="D20" s="4">
        <v>46254</v>
      </c>
      <c r="E20" s="7"/>
      <c r="F20" s="7"/>
      <c r="G20" s="19">
        <v>8</v>
      </c>
      <c r="H20" s="20"/>
      <c r="I20" s="21"/>
      <c r="J20" s="4">
        <v>46254</v>
      </c>
      <c r="K20" s="12" t="s">
        <v>300</v>
      </c>
    </row>
    <row r="21" spans="1:11" ht="15.75" customHeight="1" x14ac:dyDescent="0.3">
      <c r="A21" s="7">
        <v>3</v>
      </c>
      <c r="B21" s="7" t="s">
        <v>297</v>
      </c>
      <c r="C21" s="42">
        <v>34000</v>
      </c>
      <c r="D21" s="4">
        <v>46254</v>
      </c>
      <c r="E21" s="7"/>
      <c r="F21" s="7"/>
      <c r="G21" s="19">
        <v>4788</v>
      </c>
      <c r="H21" s="20"/>
      <c r="I21" s="21"/>
      <c r="J21" s="4">
        <v>46254</v>
      </c>
      <c r="K21" s="12" t="s">
        <v>298</v>
      </c>
    </row>
    <row r="22" spans="1:11" ht="18.75" customHeight="1" x14ac:dyDescent="0.3">
      <c r="A22" s="7"/>
      <c r="B22" s="22" t="s">
        <v>52</v>
      </c>
      <c r="C22" s="50">
        <f>SUM(C19:C21)</f>
        <v>51540</v>
      </c>
      <c r="D22" s="3"/>
      <c r="E22" s="7"/>
      <c r="F22" s="7"/>
      <c r="G22" s="7"/>
      <c r="H22" s="23">
        <v>0</v>
      </c>
      <c r="I22" s="21"/>
      <c r="J22" s="3"/>
      <c r="K22" s="24"/>
    </row>
    <row r="23" spans="1:11" x14ac:dyDescent="0.3">
      <c r="C23" s="25"/>
      <c r="H23" s="25"/>
    </row>
    <row r="24" spans="1:11" ht="16.5" customHeight="1" x14ac:dyDescent="0.35">
      <c r="B24" s="26" t="s">
        <v>53</v>
      </c>
      <c r="C24" s="43">
        <f>SUM(C10,C11,C12)</f>
        <v>2270</v>
      </c>
      <c r="E24" s="27"/>
      <c r="F24" s="27"/>
      <c r="G24" s="66"/>
      <c r="H24" s="67"/>
    </row>
    <row r="25" spans="1:11" ht="16.5" customHeight="1" x14ac:dyDescent="0.35">
      <c r="B25" s="28" t="s">
        <v>54</v>
      </c>
      <c r="C25" s="44">
        <f>SUM(C13,C14)</f>
        <v>2490</v>
      </c>
      <c r="E25" s="29"/>
      <c r="F25" s="29"/>
      <c r="G25" s="30" t="s">
        <v>55</v>
      </c>
      <c r="H25" s="31"/>
    </row>
    <row r="26" spans="1:11" ht="24" customHeight="1" x14ac:dyDescent="0.45">
      <c r="B26" s="32" t="s">
        <v>163</v>
      </c>
      <c r="C26" s="45">
        <f>SUM(C15)</f>
        <v>2700</v>
      </c>
      <c r="E26" s="33" t="s">
        <v>57</v>
      </c>
      <c r="F26" s="34"/>
      <c r="G26" s="35"/>
      <c r="H26" s="36"/>
      <c r="I26" s="35"/>
      <c r="J26" s="37"/>
    </row>
    <row r="27" spans="1:11" ht="18.75" customHeight="1" x14ac:dyDescent="0.35">
      <c r="B27" s="38" t="s">
        <v>20</v>
      </c>
      <c r="C27" s="46">
        <f>SUM(C24:C26)</f>
        <v>7460</v>
      </c>
      <c r="G27" s="30"/>
      <c r="H27" s="31"/>
      <c r="I27" s="30"/>
      <c r="J27" s="30"/>
    </row>
  </sheetData>
  <mergeCells count="6">
    <mergeCell ref="A3:K3"/>
    <mergeCell ref="G24:H24"/>
    <mergeCell ref="A2:K2"/>
    <mergeCell ref="A1:K1"/>
    <mergeCell ref="A17:K17"/>
    <mergeCell ref="A9:K9"/>
  </mergeCells>
  <pageMargins left="0.59055118110236227" right="0" top="0.39370078740157483" bottom="0" header="0" footer="0"/>
  <pageSetup scale="8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K27"/>
  <sheetViews>
    <sheetView topLeftCell="A2" workbookViewId="0">
      <selection activeCell="J25" sqref="J25"/>
    </sheetView>
  </sheetViews>
  <sheetFormatPr defaultRowHeight="14.4" x14ac:dyDescent="0.3"/>
  <cols>
    <col min="1" max="1" width="4.44140625" bestFit="1" customWidth="1"/>
    <col min="2" max="2" width="22.1093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2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301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8.75" customHeight="1" x14ac:dyDescent="0.35">
      <c r="A5" s="3"/>
      <c r="B5" s="57"/>
      <c r="C5" s="58"/>
      <c r="D5" s="4"/>
      <c r="E5" s="5"/>
      <c r="F5" s="3"/>
      <c r="G5" s="39"/>
      <c r="H5" s="6"/>
      <c r="I5" s="3"/>
      <c r="J5" s="4"/>
      <c r="K5" s="7"/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59"/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302</v>
      </c>
      <c r="C9" s="47">
        <v>928</v>
      </c>
      <c r="D9" s="4">
        <v>46255</v>
      </c>
      <c r="E9" s="13">
        <v>0</v>
      </c>
      <c r="F9" s="12" t="s">
        <v>23</v>
      </c>
      <c r="G9" s="41">
        <v>4863</v>
      </c>
      <c r="H9" s="14">
        <v>0</v>
      </c>
      <c r="I9" s="3" t="s">
        <v>16</v>
      </c>
      <c r="J9" s="4">
        <f t="shared" ref="J9:J16" si="0">+D9+1</f>
        <v>46256</v>
      </c>
      <c r="K9" s="12" t="s">
        <v>76</v>
      </c>
    </row>
    <row r="10" spans="1:11" ht="15.75" customHeight="1" x14ac:dyDescent="0.3">
      <c r="A10" s="3">
        <v>2</v>
      </c>
      <c r="B10" s="3" t="s">
        <v>303</v>
      </c>
      <c r="C10" s="47">
        <v>1086</v>
      </c>
      <c r="D10" s="4">
        <f t="shared" ref="D10:D16" si="1">+D9</f>
        <v>46255</v>
      </c>
      <c r="E10" s="13">
        <v>0</v>
      </c>
      <c r="F10" s="12" t="s">
        <v>23</v>
      </c>
      <c r="G10" s="41">
        <v>6642</v>
      </c>
      <c r="H10" s="14">
        <v>0</v>
      </c>
      <c r="I10" s="3" t="s">
        <v>16</v>
      </c>
      <c r="J10" s="4">
        <f t="shared" si="0"/>
        <v>46256</v>
      </c>
      <c r="K10" s="12" t="s">
        <v>163</v>
      </c>
    </row>
    <row r="11" spans="1:11" ht="15.75" customHeight="1" x14ac:dyDescent="0.3">
      <c r="A11" s="3">
        <v>3</v>
      </c>
      <c r="B11" s="3" t="s">
        <v>304</v>
      </c>
      <c r="C11" s="47">
        <v>3855</v>
      </c>
      <c r="D11" s="4">
        <f t="shared" si="1"/>
        <v>46255</v>
      </c>
      <c r="E11" s="13">
        <v>0</v>
      </c>
      <c r="F11" s="12" t="s">
        <v>23</v>
      </c>
      <c r="G11" s="41">
        <v>8401</v>
      </c>
      <c r="H11" s="14">
        <v>0</v>
      </c>
      <c r="I11" s="3" t="s">
        <v>16</v>
      </c>
      <c r="J11" s="4">
        <f t="shared" si="0"/>
        <v>46256</v>
      </c>
      <c r="K11" s="12" t="s">
        <v>28</v>
      </c>
    </row>
    <row r="12" spans="1:11" ht="15.75" customHeight="1" x14ac:dyDescent="0.3">
      <c r="A12" s="3">
        <v>4</v>
      </c>
      <c r="B12" s="3" t="s">
        <v>282</v>
      </c>
      <c r="C12" s="47">
        <v>1355</v>
      </c>
      <c r="D12" s="4">
        <f t="shared" si="1"/>
        <v>46255</v>
      </c>
      <c r="E12" s="13">
        <v>0</v>
      </c>
      <c r="F12" s="12" t="s">
        <v>23</v>
      </c>
      <c r="G12" s="41">
        <v>6852</v>
      </c>
      <c r="H12" s="14">
        <v>0</v>
      </c>
      <c r="I12" s="3" t="s">
        <v>16</v>
      </c>
      <c r="J12" s="4">
        <f t="shared" si="0"/>
        <v>46256</v>
      </c>
      <c r="K12" s="12" t="s">
        <v>28</v>
      </c>
    </row>
    <row r="13" spans="1:11" ht="15.75" customHeight="1" x14ac:dyDescent="0.3">
      <c r="A13" s="3">
        <v>5</v>
      </c>
      <c r="B13" s="3" t="s">
        <v>305</v>
      </c>
      <c r="C13" s="47">
        <v>775</v>
      </c>
      <c r="D13" s="4">
        <f t="shared" si="1"/>
        <v>46255</v>
      </c>
      <c r="E13" s="13">
        <v>0</v>
      </c>
      <c r="F13" s="12" t="s">
        <v>23</v>
      </c>
      <c r="G13" s="41">
        <v>7646</v>
      </c>
      <c r="H13" s="14">
        <v>0</v>
      </c>
      <c r="I13" s="3" t="s">
        <v>16</v>
      </c>
      <c r="J13" s="4">
        <f t="shared" si="0"/>
        <v>46256</v>
      </c>
      <c r="K13" s="12" t="s">
        <v>73</v>
      </c>
    </row>
    <row r="14" spans="1:11" ht="15.75" customHeight="1" x14ac:dyDescent="0.3">
      <c r="A14" s="3">
        <v>6</v>
      </c>
      <c r="B14" s="3" t="s">
        <v>291</v>
      </c>
      <c r="C14" s="47">
        <v>2000</v>
      </c>
      <c r="D14" s="4">
        <f t="shared" si="1"/>
        <v>46255</v>
      </c>
      <c r="E14" s="13">
        <v>0</v>
      </c>
      <c r="F14" s="12" t="s">
        <v>23</v>
      </c>
      <c r="G14" s="41">
        <v>6238</v>
      </c>
      <c r="H14" s="14">
        <v>0</v>
      </c>
      <c r="I14" s="3" t="s">
        <v>16</v>
      </c>
      <c r="J14" s="4">
        <f t="shared" si="0"/>
        <v>46256</v>
      </c>
      <c r="K14" s="12" t="s">
        <v>70</v>
      </c>
    </row>
    <row r="15" spans="1:11" ht="15" customHeight="1" x14ac:dyDescent="0.3">
      <c r="A15" s="3">
        <v>7</v>
      </c>
      <c r="B15" s="3" t="s">
        <v>293</v>
      </c>
      <c r="C15" s="47">
        <v>220</v>
      </c>
      <c r="D15" s="4">
        <f t="shared" si="1"/>
        <v>46255</v>
      </c>
      <c r="E15" s="13">
        <v>0</v>
      </c>
      <c r="F15" s="12" t="s">
        <v>23</v>
      </c>
      <c r="G15" s="41">
        <v>1727</v>
      </c>
      <c r="H15" s="14">
        <v>0</v>
      </c>
      <c r="I15" s="3" t="s">
        <v>16</v>
      </c>
      <c r="J15" s="4">
        <f t="shared" si="0"/>
        <v>46256</v>
      </c>
      <c r="K15" s="12" t="s">
        <v>306</v>
      </c>
    </row>
    <row r="16" spans="1:11" ht="15" customHeight="1" x14ac:dyDescent="0.3">
      <c r="A16" s="3">
        <v>8</v>
      </c>
      <c r="B16" s="3" t="s">
        <v>307</v>
      </c>
      <c r="C16" s="47">
        <v>100</v>
      </c>
      <c r="D16" s="4">
        <f t="shared" si="1"/>
        <v>46255</v>
      </c>
      <c r="E16" s="13">
        <v>0</v>
      </c>
      <c r="F16" s="12" t="s">
        <v>23</v>
      </c>
      <c r="G16" s="41">
        <v>87</v>
      </c>
      <c r="H16" s="14">
        <v>0</v>
      </c>
      <c r="I16" s="3" t="s">
        <v>16</v>
      </c>
      <c r="J16" s="4">
        <f t="shared" si="0"/>
        <v>46256</v>
      </c>
      <c r="K16" s="12" t="s">
        <v>308</v>
      </c>
    </row>
    <row r="17" spans="1:11" ht="18.75" customHeight="1" x14ac:dyDescent="0.35">
      <c r="A17" s="3"/>
      <c r="B17" s="15" t="s">
        <v>20</v>
      </c>
      <c r="C17" s="49">
        <f>SUM(C9:C16)</f>
        <v>10319</v>
      </c>
      <c r="D17" s="3"/>
      <c r="E17" s="3"/>
      <c r="F17" s="12"/>
      <c r="G17" s="12"/>
      <c r="H17" s="10"/>
      <c r="I17" s="3"/>
      <c r="J17" s="3"/>
      <c r="K17" s="3"/>
    </row>
    <row r="18" spans="1:11" ht="24.75" customHeight="1" x14ac:dyDescent="0.6">
      <c r="A18" s="71" t="s">
        <v>39</v>
      </c>
      <c r="B18" s="63"/>
      <c r="C18" s="63"/>
      <c r="D18" s="63"/>
      <c r="E18" s="63"/>
      <c r="F18" s="63"/>
      <c r="G18" s="63"/>
      <c r="H18" s="63"/>
      <c r="I18" s="63"/>
      <c r="J18" s="63"/>
      <c r="K18" s="64"/>
    </row>
    <row r="19" spans="1:11" ht="18.75" customHeight="1" x14ac:dyDescent="0.35">
      <c r="A19" s="16" t="s">
        <v>3</v>
      </c>
      <c r="B19" s="16" t="s">
        <v>40</v>
      </c>
      <c r="C19" s="40" t="s">
        <v>5</v>
      </c>
      <c r="D19" s="1" t="s">
        <v>41</v>
      </c>
      <c r="E19" s="16" t="s">
        <v>7</v>
      </c>
      <c r="F19" s="16" t="s">
        <v>8</v>
      </c>
      <c r="G19" s="16" t="s">
        <v>42</v>
      </c>
      <c r="H19" s="17" t="s">
        <v>43</v>
      </c>
      <c r="I19" s="16" t="s">
        <v>11</v>
      </c>
      <c r="J19" s="16" t="s">
        <v>44</v>
      </c>
      <c r="K19" s="18" t="s">
        <v>45</v>
      </c>
    </row>
    <row r="20" spans="1:11" ht="15.75" customHeight="1" x14ac:dyDescent="0.3">
      <c r="A20" s="7">
        <v>1</v>
      </c>
      <c r="B20" s="7" t="s">
        <v>46</v>
      </c>
      <c r="C20" s="42">
        <v>34619</v>
      </c>
      <c r="D20" s="4">
        <v>46255</v>
      </c>
      <c r="E20" s="7"/>
      <c r="F20" s="7"/>
      <c r="G20" s="19">
        <v>4302</v>
      </c>
      <c r="H20" s="20"/>
      <c r="I20" s="21"/>
      <c r="J20" s="4">
        <v>46255</v>
      </c>
      <c r="K20" s="12" t="s">
        <v>28</v>
      </c>
    </row>
    <row r="21" spans="1:11" ht="18.75" customHeight="1" x14ac:dyDescent="0.3">
      <c r="A21" s="7"/>
      <c r="B21" s="22" t="s">
        <v>52</v>
      </c>
      <c r="C21" s="50">
        <f>SUM(C20:C20)</f>
        <v>34619</v>
      </c>
      <c r="D21" s="3"/>
      <c r="E21" s="7"/>
      <c r="F21" s="7"/>
      <c r="G21" s="7"/>
      <c r="H21" s="23">
        <v>0</v>
      </c>
      <c r="I21" s="21"/>
      <c r="J21" s="3"/>
      <c r="K21" s="24"/>
    </row>
    <row r="22" spans="1:11" x14ac:dyDescent="0.3">
      <c r="C22" s="25"/>
      <c r="H22" s="25"/>
    </row>
    <row r="23" spans="1:11" ht="16.5" customHeight="1" x14ac:dyDescent="0.35">
      <c r="B23" s="26" t="s">
        <v>53</v>
      </c>
      <c r="C23" s="43">
        <f>SUM(C9,C14,C13,C15)</f>
        <v>3923</v>
      </c>
      <c r="E23" s="27"/>
      <c r="F23" s="27"/>
      <c r="G23" s="66"/>
      <c r="H23" s="67"/>
    </row>
    <row r="24" spans="1:11" ht="16.5" customHeight="1" x14ac:dyDescent="0.35">
      <c r="B24" s="28" t="s">
        <v>54</v>
      </c>
      <c r="C24" s="44">
        <f>SUM(C12,C11)</f>
        <v>5210</v>
      </c>
      <c r="E24" s="29"/>
      <c r="F24" s="29"/>
      <c r="G24" s="30" t="s">
        <v>55</v>
      </c>
      <c r="H24" s="31"/>
    </row>
    <row r="25" spans="1:11" ht="24" customHeight="1" x14ac:dyDescent="0.45">
      <c r="B25" s="32" t="s">
        <v>163</v>
      </c>
      <c r="C25" s="45">
        <v>1086</v>
      </c>
      <c r="E25" s="33" t="s">
        <v>57</v>
      </c>
      <c r="F25" s="34"/>
      <c r="G25" s="35"/>
      <c r="H25" s="36"/>
      <c r="I25" s="35"/>
      <c r="J25" s="37"/>
    </row>
    <row r="26" spans="1:11" ht="24" customHeight="1" x14ac:dyDescent="0.45">
      <c r="B26" s="32" t="s">
        <v>308</v>
      </c>
      <c r="C26" s="45">
        <v>100</v>
      </c>
      <c r="E26" s="53"/>
      <c r="F26" s="34"/>
      <c r="G26" s="35"/>
      <c r="H26" s="36"/>
      <c r="I26" s="35"/>
      <c r="J26" s="37"/>
    </row>
    <row r="27" spans="1:11" ht="18.75" customHeight="1" x14ac:dyDescent="0.35">
      <c r="B27" s="38" t="s">
        <v>20</v>
      </c>
      <c r="C27" s="46">
        <f>SUM(C23:C26)</f>
        <v>10319</v>
      </c>
      <c r="G27" s="30"/>
      <c r="H27" s="31"/>
      <c r="I27" s="30"/>
      <c r="J27" s="30"/>
    </row>
  </sheetData>
  <mergeCells count="6">
    <mergeCell ref="A18:K18"/>
    <mergeCell ref="A3:K3"/>
    <mergeCell ref="A2:K2"/>
    <mergeCell ref="G23:H23"/>
    <mergeCell ref="A1:K1"/>
    <mergeCell ref="A8:K8"/>
  </mergeCells>
  <pageMargins left="0.59055118110236215" right="0" top="0.39370078740157483" bottom="0" header="0" footer="0"/>
  <pageSetup scale="85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K30"/>
  <sheetViews>
    <sheetView topLeftCell="B7" workbookViewId="0">
      <selection activeCell="N18" sqref="N18"/>
    </sheetView>
  </sheetViews>
  <sheetFormatPr defaultRowHeight="14.4" x14ac:dyDescent="0.3"/>
  <cols>
    <col min="1" max="1" width="4.44140625" bestFit="1" customWidth="1"/>
    <col min="2" max="2" width="22.109375" bestFit="1" customWidth="1"/>
    <col min="3" max="3" width="12.6640625" bestFit="1" customWidth="1"/>
    <col min="4" max="4" width="13.88671875" bestFit="1" customWidth="1"/>
    <col min="5" max="5" width="9.44140625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886718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309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310</v>
      </c>
      <c r="C5" s="47">
        <v>98.7</v>
      </c>
      <c r="D5" s="4">
        <v>46256</v>
      </c>
      <c r="E5" s="5">
        <v>0</v>
      </c>
      <c r="F5" s="3" t="s">
        <v>15</v>
      </c>
      <c r="G5" s="39">
        <v>0</v>
      </c>
      <c r="H5" s="56">
        <v>1.3</v>
      </c>
      <c r="I5" s="3" t="s">
        <v>16</v>
      </c>
      <c r="J5" s="4">
        <f>+D5-1</f>
        <v>46255</v>
      </c>
      <c r="K5" s="7" t="s">
        <v>311</v>
      </c>
    </row>
    <row r="6" spans="1:11" ht="15.75" customHeight="1" x14ac:dyDescent="0.3">
      <c r="A6" s="3">
        <v>2</v>
      </c>
      <c r="B6" s="3" t="s">
        <v>169</v>
      </c>
      <c r="C6" s="47">
        <v>3000</v>
      </c>
      <c r="D6" s="4">
        <v>46256</v>
      </c>
      <c r="E6" s="5">
        <v>0</v>
      </c>
      <c r="F6" s="3" t="s">
        <v>15</v>
      </c>
      <c r="G6" s="39">
        <v>8627</v>
      </c>
      <c r="H6" s="56"/>
      <c r="I6" s="3" t="s">
        <v>16</v>
      </c>
      <c r="J6" s="4">
        <f>+D6-1</f>
        <v>46255</v>
      </c>
      <c r="K6" s="7" t="s">
        <v>312</v>
      </c>
    </row>
    <row r="7" spans="1:11" ht="17.25" customHeight="1" x14ac:dyDescent="0.35">
      <c r="A7" s="3"/>
      <c r="B7" s="60" t="s">
        <v>313</v>
      </c>
      <c r="C7" s="58">
        <v>1.3</v>
      </c>
      <c r="D7" s="4"/>
      <c r="E7" s="5"/>
      <c r="F7" s="3"/>
      <c r="G7" s="39"/>
      <c r="H7" s="56"/>
      <c r="I7" s="3"/>
      <c r="J7" s="4"/>
      <c r="K7" s="7"/>
    </row>
    <row r="8" spans="1:11" ht="18.75" customHeight="1" x14ac:dyDescent="0.35">
      <c r="A8" s="8"/>
      <c r="B8" s="61" t="s">
        <v>20</v>
      </c>
      <c r="C8" s="48">
        <f>SUM(C5:C7)</f>
        <v>3100</v>
      </c>
      <c r="D8" s="3"/>
      <c r="E8" s="11"/>
      <c r="F8" s="8"/>
      <c r="G8" s="12"/>
      <c r="H8" s="59">
        <f>SUM(H5:H5)</f>
        <v>1.3</v>
      </c>
      <c r="I8" s="8"/>
      <c r="J8" s="8"/>
      <c r="K8" s="8"/>
    </row>
    <row r="10" spans="1:11" ht="24" customHeight="1" x14ac:dyDescent="0.45">
      <c r="A10" s="70" t="s">
        <v>21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</row>
    <row r="11" spans="1:11" ht="15.75" customHeight="1" x14ac:dyDescent="0.3">
      <c r="A11" s="3">
        <v>1</v>
      </c>
      <c r="B11" s="3" t="s">
        <v>314</v>
      </c>
      <c r="C11" s="47">
        <v>725</v>
      </c>
      <c r="D11" s="4">
        <v>46256</v>
      </c>
      <c r="E11" s="13">
        <v>0</v>
      </c>
      <c r="F11" s="12" t="s">
        <v>23</v>
      </c>
      <c r="G11" s="41">
        <v>8130</v>
      </c>
      <c r="H11" s="14">
        <v>0</v>
      </c>
      <c r="I11" s="3" t="s">
        <v>24</v>
      </c>
      <c r="J11" s="4">
        <f t="shared" ref="J11:J19" si="0">+D11+1</f>
        <v>46257</v>
      </c>
      <c r="K11" s="12" t="s">
        <v>28</v>
      </c>
    </row>
    <row r="12" spans="1:11" ht="15.75" customHeight="1" x14ac:dyDescent="0.3">
      <c r="A12" s="3">
        <v>2</v>
      </c>
      <c r="B12" s="3" t="s">
        <v>218</v>
      </c>
      <c r="C12" s="47">
        <v>4760</v>
      </c>
      <c r="D12" s="4">
        <f t="shared" ref="D12:D19" si="1">+D11</f>
        <v>46256</v>
      </c>
      <c r="E12" s="13">
        <v>0</v>
      </c>
      <c r="F12" s="12" t="s">
        <v>23</v>
      </c>
      <c r="G12" s="41">
        <v>3687</v>
      </c>
      <c r="H12" s="14">
        <v>0</v>
      </c>
      <c r="I12" s="3" t="s">
        <v>16</v>
      </c>
      <c r="J12" s="4">
        <f t="shared" si="0"/>
        <v>46257</v>
      </c>
      <c r="K12" s="12" t="s">
        <v>28</v>
      </c>
    </row>
    <row r="13" spans="1:11" ht="15.75" customHeight="1" x14ac:dyDescent="0.3">
      <c r="A13" s="3">
        <v>3</v>
      </c>
      <c r="B13" s="3" t="s">
        <v>315</v>
      </c>
      <c r="C13" s="47">
        <v>670</v>
      </c>
      <c r="D13" s="4">
        <f t="shared" si="1"/>
        <v>46256</v>
      </c>
      <c r="E13" s="13">
        <v>0</v>
      </c>
      <c r="F13" s="12" t="s">
        <v>23</v>
      </c>
      <c r="G13" s="41">
        <v>5569</v>
      </c>
      <c r="H13" s="14">
        <v>0</v>
      </c>
      <c r="I13" s="3" t="s">
        <v>16</v>
      </c>
      <c r="J13" s="4">
        <f t="shared" si="0"/>
        <v>46257</v>
      </c>
      <c r="K13" s="12" t="s">
        <v>28</v>
      </c>
    </row>
    <row r="14" spans="1:11" ht="15.75" customHeight="1" x14ac:dyDescent="0.3">
      <c r="A14" s="3">
        <v>4</v>
      </c>
      <c r="B14" s="3" t="s">
        <v>316</v>
      </c>
      <c r="C14" s="47">
        <v>1015</v>
      </c>
      <c r="D14" s="4">
        <f t="shared" si="1"/>
        <v>46256</v>
      </c>
      <c r="E14" s="13">
        <v>0</v>
      </c>
      <c r="F14" s="12" t="s">
        <v>23</v>
      </c>
      <c r="G14" s="41">
        <v>9273</v>
      </c>
      <c r="H14" s="14">
        <v>0</v>
      </c>
      <c r="I14" s="3" t="s">
        <v>16</v>
      </c>
      <c r="J14" s="4">
        <f t="shared" si="0"/>
        <v>46257</v>
      </c>
      <c r="K14" s="12" t="s">
        <v>28</v>
      </c>
    </row>
    <row r="15" spans="1:11" ht="15.75" customHeight="1" x14ac:dyDescent="0.3">
      <c r="A15" s="3">
        <v>5</v>
      </c>
      <c r="B15" s="3" t="s">
        <v>317</v>
      </c>
      <c r="C15" s="47">
        <v>2000</v>
      </c>
      <c r="D15" s="4">
        <f t="shared" si="1"/>
        <v>46256</v>
      </c>
      <c r="E15" s="13">
        <v>0</v>
      </c>
      <c r="F15" s="12" t="s">
        <v>23</v>
      </c>
      <c r="G15" s="41">
        <v>458</v>
      </c>
      <c r="H15" s="14">
        <v>0</v>
      </c>
      <c r="I15" s="3" t="s">
        <v>16</v>
      </c>
      <c r="J15" s="4">
        <f t="shared" si="0"/>
        <v>46257</v>
      </c>
      <c r="K15" s="12" t="s">
        <v>73</v>
      </c>
    </row>
    <row r="16" spans="1:11" ht="15.75" customHeight="1" x14ac:dyDescent="0.3">
      <c r="A16" s="3">
        <v>6</v>
      </c>
      <c r="B16" s="3" t="s">
        <v>318</v>
      </c>
      <c r="C16" s="47">
        <v>2265</v>
      </c>
      <c r="D16" s="4">
        <f t="shared" si="1"/>
        <v>46256</v>
      </c>
      <c r="E16" s="13">
        <v>0</v>
      </c>
      <c r="F16" s="12" t="s">
        <v>23</v>
      </c>
      <c r="G16" s="41">
        <v>7488</v>
      </c>
      <c r="H16" s="14">
        <v>0</v>
      </c>
      <c r="I16" s="3" t="s">
        <v>16</v>
      </c>
      <c r="J16" s="4">
        <f t="shared" si="0"/>
        <v>46257</v>
      </c>
      <c r="K16" s="12" t="s">
        <v>28</v>
      </c>
    </row>
    <row r="17" spans="1:11" ht="15.75" customHeight="1" x14ac:dyDescent="0.3">
      <c r="A17" s="3">
        <v>7</v>
      </c>
      <c r="B17" s="3" t="s">
        <v>319</v>
      </c>
      <c r="C17" s="47">
        <v>2000</v>
      </c>
      <c r="D17" s="4">
        <f t="shared" si="1"/>
        <v>46256</v>
      </c>
      <c r="E17" s="13">
        <v>0</v>
      </c>
      <c r="F17" s="12" t="s">
        <v>23</v>
      </c>
      <c r="G17" s="41">
        <v>9345</v>
      </c>
      <c r="H17" s="14">
        <v>0</v>
      </c>
      <c r="I17" s="3" t="s">
        <v>16</v>
      </c>
      <c r="J17" s="4">
        <f t="shared" si="0"/>
        <v>46257</v>
      </c>
      <c r="K17" s="12" t="s">
        <v>73</v>
      </c>
    </row>
    <row r="18" spans="1:11" ht="15.75" customHeight="1" x14ac:dyDescent="0.3">
      <c r="A18" s="3">
        <v>8</v>
      </c>
      <c r="B18" s="3" t="s">
        <v>320</v>
      </c>
      <c r="C18" s="47">
        <v>1270</v>
      </c>
      <c r="D18" s="4">
        <f t="shared" si="1"/>
        <v>46256</v>
      </c>
      <c r="E18" s="13">
        <v>0</v>
      </c>
      <c r="F18" s="12" t="s">
        <v>23</v>
      </c>
      <c r="G18" s="41">
        <v>747</v>
      </c>
      <c r="H18" s="14">
        <v>0</v>
      </c>
      <c r="I18" s="3" t="s">
        <v>16</v>
      </c>
      <c r="J18" s="4">
        <f t="shared" si="0"/>
        <v>46257</v>
      </c>
      <c r="K18" s="12" t="s">
        <v>28</v>
      </c>
    </row>
    <row r="19" spans="1:11" ht="15.75" customHeight="1" x14ac:dyDescent="0.3">
      <c r="A19" s="3">
        <v>9</v>
      </c>
      <c r="B19" s="3" t="s">
        <v>321</v>
      </c>
      <c r="C19" s="47">
        <v>3250</v>
      </c>
      <c r="D19" s="4">
        <f t="shared" si="1"/>
        <v>46256</v>
      </c>
      <c r="E19" s="13">
        <v>0</v>
      </c>
      <c r="F19" s="12" t="s">
        <v>23</v>
      </c>
      <c r="G19" s="41">
        <v>6760</v>
      </c>
      <c r="H19" s="14">
        <v>0</v>
      </c>
      <c r="I19" s="3" t="s">
        <v>16</v>
      </c>
      <c r="J19" s="4">
        <f t="shared" si="0"/>
        <v>46257</v>
      </c>
      <c r="K19" s="12" t="s">
        <v>322</v>
      </c>
    </row>
    <row r="20" spans="1:11" ht="18.75" customHeight="1" x14ac:dyDescent="0.35">
      <c r="A20" s="3"/>
      <c r="B20" s="15" t="s">
        <v>20</v>
      </c>
      <c r="C20" s="49">
        <f>SUM(C11:C19)</f>
        <v>17955</v>
      </c>
      <c r="D20" s="3"/>
      <c r="E20" s="3"/>
      <c r="F20" s="12"/>
      <c r="G20" s="12"/>
      <c r="H20" s="10"/>
      <c r="I20" s="3"/>
      <c r="J20" s="3"/>
      <c r="K20" s="3"/>
    </row>
    <row r="21" spans="1:11" ht="24.75" customHeight="1" x14ac:dyDescent="0.6">
      <c r="A21" s="71" t="s">
        <v>39</v>
      </c>
      <c r="B21" s="63"/>
      <c r="C21" s="63"/>
      <c r="D21" s="63"/>
      <c r="E21" s="63"/>
      <c r="F21" s="63"/>
      <c r="G21" s="63"/>
      <c r="H21" s="63"/>
      <c r="I21" s="63"/>
      <c r="J21" s="63"/>
      <c r="K21" s="64"/>
    </row>
    <row r="22" spans="1:11" ht="18.75" customHeight="1" x14ac:dyDescent="0.35">
      <c r="A22" s="16" t="s">
        <v>3</v>
      </c>
      <c r="B22" s="16" t="s">
        <v>40</v>
      </c>
      <c r="C22" s="40" t="s">
        <v>5</v>
      </c>
      <c r="D22" s="1" t="s">
        <v>41</v>
      </c>
      <c r="E22" s="16" t="s">
        <v>7</v>
      </c>
      <c r="F22" s="16" t="s">
        <v>8</v>
      </c>
      <c r="G22" s="16" t="s">
        <v>42</v>
      </c>
      <c r="H22" s="17" t="s">
        <v>43</v>
      </c>
      <c r="I22" s="16" t="s">
        <v>11</v>
      </c>
      <c r="J22" s="16" t="s">
        <v>44</v>
      </c>
      <c r="K22" s="18" t="s">
        <v>45</v>
      </c>
    </row>
    <row r="23" spans="1:11" ht="15.75" customHeight="1" x14ac:dyDescent="0.3">
      <c r="A23" s="7">
        <v>1</v>
      </c>
      <c r="B23" s="7" t="s">
        <v>262</v>
      </c>
      <c r="C23" s="42">
        <v>1000</v>
      </c>
      <c r="D23" s="4">
        <v>46256</v>
      </c>
      <c r="E23" s="7"/>
      <c r="F23" s="7"/>
      <c r="G23" s="19">
        <v>6673</v>
      </c>
      <c r="H23" s="20"/>
      <c r="I23" s="21"/>
      <c r="J23" s="4">
        <v>46256</v>
      </c>
      <c r="K23" s="12" t="s">
        <v>323</v>
      </c>
    </row>
    <row r="24" spans="1:11" ht="15.75" customHeight="1" x14ac:dyDescent="0.3">
      <c r="A24" s="7">
        <v>2</v>
      </c>
      <c r="B24" s="7" t="s">
        <v>324</v>
      </c>
      <c r="C24" s="42">
        <v>22000</v>
      </c>
      <c r="D24" s="4">
        <v>46256</v>
      </c>
      <c r="E24" s="7"/>
      <c r="F24" s="7"/>
      <c r="G24" s="19">
        <v>7156</v>
      </c>
      <c r="H24" s="20"/>
      <c r="I24" s="21"/>
      <c r="J24" s="4">
        <v>46256</v>
      </c>
      <c r="K24" s="12" t="s">
        <v>325</v>
      </c>
    </row>
    <row r="25" spans="1:11" ht="18.75" customHeight="1" x14ac:dyDescent="0.3">
      <c r="A25" s="7"/>
      <c r="B25" s="22" t="s">
        <v>52</v>
      </c>
      <c r="C25" s="50">
        <f>SUM(C23:C24)</f>
        <v>23000</v>
      </c>
      <c r="D25" s="3"/>
      <c r="E25" s="7"/>
      <c r="F25" s="7"/>
      <c r="G25" s="7"/>
      <c r="H25" s="23">
        <v>0</v>
      </c>
      <c r="I25" s="21"/>
      <c r="J25" s="3"/>
      <c r="K25" s="24"/>
    </row>
    <row r="26" spans="1:11" x14ac:dyDescent="0.3">
      <c r="C26" s="25"/>
      <c r="H26" s="25"/>
    </row>
    <row r="27" spans="1:11" ht="16.5" customHeight="1" x14ac:dyDescent="0.35">
      <c r="B27" s="26" t="s">
        <v>53</v>
      </c>
      <c r="C27" s="43">
        <f>SUM(C15,C17,C19)</f>
        <v>7250</v>
      </c>
      <c r="E27" s="27"/>
      <c r="F27" s="27"/>
      <c r="G27" s="66"/>
      <c r="H27" s="67"/>
    </row>
    <row r="28" spans="1:11" ht="16.5" customHeight="1" x14ac:dyDescent="0.35">
      <c r="B28" s="28" t="s">
        <v>54</v>
      </c>
      <c r="C28" s="44">
        <f>SUM(C18,C16,C14,C13,C12,C11)</f>
        <v>10705</v>
      </c>
      <c r="E28" s="29"/>
      <c r="F28" s="29"/>
      <c r="G28" s="30" t="s">
        <v>55</v>
      </c>
      <c r="H28" s="31"/>
    </row>
    <row r="29" spans="1:11" ht="24" customHeight="1" x14ac:dyDescent="0.45">
      <c r="B29" s="32" t="s">
        <v>63</v>
      </c>
      <c r="C29" s="45"/>
      <c r="E29" s="33" t="s">
        <v>57</v>
      </c>
      <c r="F29" s="34"/>
      <c r="G29" s="35"/>
      <c r="H29" s="36"/>
      <c r="I29" s="35"/>
      <c r="J29" s="37"/>
    </row>
    <row r="30" spans="1:11" ht="18.75" customHeight="1" x14ac:dyDescent="0.35">
      <c r="B30" s="38" t="s">
        <v>20</v>
      </c>
      <c r="C30" s="46">
        <f>SUM(C27:C29)</f>
        <v>17955</v>
      </c>
      <c r="G30" s="30"/>
      <c r="H30" s="31"/>
      <c r="I30" s="30"/>
      <c r="J30" s="30"/>
    </row>
  </sheetData>
  <mergeCells count="6">
    <mergeCell ref="A1:K1"/>
    <mergeCell ref="A3:K3"/>
    <mergeCell ref="A21:K21"/>
    <mergeCell ref="G27:H27"/>
    <mergeCell ref="A2:K2"/>
    <mergeCell ref="A10:K10"/>
  </mergeCells>
  <pageMargins left="0.59055118110236215" right="0" top="0.39370078740157483" bottom="0" header="0" footer="0"/>
  <pageSetup scale="8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24"/>
  <sheetViews>
    <sheetView topLeftCell="A4" workbookViewId="0">
      <selection activeCell="A2" sqref="A2:K24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332031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326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46257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46256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327</v>
      </c>
      <c r="C9" s="47">
        <v>2030</v>
      </c>
      <c r="D9" s="4">
        <v>46257</v>
      </c>
      <c r="E9" s="13">
        <v>0</v>
      </c>
      <c r="F9" s="12" t="s">
        <v>23</v>
      </c>
      <c r="G9" s="41">
        <v>2547</v>
      </c>
      <c r="H9" s="14">
        <v>0</v>
      </c>
      <c r="I9" s="3" t="s">
        <v>24</v>
      </c>
      <c r="J9" s="4">
        <f>+D9+1</f>
        <v>46258</v>
      </c>
      <c r="K9" s="12" t="s">
        <v>73</v>
      </c>
    </row>
    <row r="10" spans="1:11" ht="15.75" customHeight="1" x14ac:dyDescent="0.3">
      <c r="A10" s="3">
        <v>2</v>
      </c>
      <c r="B10" s="3" t="s">
        <v>328</v>
      </c>
      <c r="C10" s="47">
        <v>645</v>
      </c>
      <c r="D10" s="4">
        <f>+D9</f>
        <v>46257</v>
      </c>
      <c r="E10" s="13">
        <v>0</v>
      </c>
      <c r="F10" s="12" t="s">
        <v>23</v>
      </c>
      <c r="G10" s="41">
        <v>4339</v>
      </c>
      <c r="H10" s="14">
        <v>0</v>
      </c>
      <c r="I10" s="3" t="s">
        <v>16</v>
      </c>
      <c r="J10" s="4">
        <f>+D10+1</f>
        <v>46258</v>
      </c>
      <c r="K10" s="12" t="s">
        <v>28</v>
      </c>
    </row>
    <row r="11" spans="1:11" ht="15.75" customHeight="1" x14ac:dyDescent="0.3">
      <c r="A11" s="3">
        <v>3</v>
      </c>
      <c r="B11" s="3" t="s">
        <v>329</v>
      </c>
      <c r="C11" s="47">
        <v>380</v>
      </c>
      <c r="D11" s="4">
        <f>+D10</f>
        <v>46257</v>
      </c>
      <c r="E11" s="13">
        <v>0</v>
      </c>
      <c r="F11" s="12" t="s">
        <v>23</v>
      </c>
      <c r="G11" s="41">
        <v>1036</v>
      </c>
      <c r="H11" s="14">
        <v>0</v>
      </c>
      <c r="I11" s="3" t="s">
        <v>16</v>
      </c>
      <c r="J11" s="4">
        <f>+D11+1</f>
        <v>46258</v>
      </c>
      <c r="K11" s="12" t="s">
        <v>28</v>
      </c>
    </row>
    <row r="12" spans="1:11" ht="18.75" customHeight="1" x14ac:dyDescent="0.35">
      <c r="A12" s="3"/>
      <c r="B12" s="15" t="s">
        <v>20</v>
      </c>
      <c r="C12" s="49">
        <f>SUM(C9:C11)</f>
        <v>3055</v>
      </c>
      <c r="D12" s="3"/>
      <c r="E12" s="3"/>
      <c r="F12" s="12"/>
      <c r="G12" s="12"/>
      <c r="H12" s="10"/>
      <c r="I12" s="3"/>
      <c r="J12" s="3"/>
      <c r="K12" s="3"/>
    </row>
    <row r="13" spans="1:11" ht="24.75" customHeight="1" x14ac:dyDescent="0.6">
      <c r="A13" s="71" t="s">
        <v>39</v>
      </c>
      <c r="B13" s="63"/>
      <c r="C13" s="63"/>
      <c r="D13" s="63"/>
      <c r="E13" s="63"/>
      <c r="F13" s="63"/>
      <c r="G13" s="63"/>
      <c r="H13" s="63"/>
      <c r="I13" s="63"/>
      <c r="J13" s="63"/>
      <c r="K13" s="64"/>
    </row>
    <row r="14" spans="1:11" ht="18.75" customHeight="1" x14ac:dyDescent="0.35">
      <c r="A14" s="16" t="s">
        <v>3</v>
      </c>
      <c r="B14" s="16" t="s">
        <v>40</v>
      </c>
      <c r="C14" s="40" t="s">
        <v>5</v>
      </c>
      <c r="D14" s="1" t="s">
        <v>41</v>
      </c>
      <c r="E14" s="16" t="s">
        <v>7</v>
      </c>
      <c r="F14" s="16" t="s">
        <v>8</v>
      </c>
      <c r="G14" s="16" t="s">
        <v>42</v>
      </c>
      <c r="H14" s="17" t="s">
        <v>43</v>
      </c>
      <c r="I14" s="16" t="s">
        <v>11</v>
      </c>
      <c r="J14" s="16" t="s">
        <v>44</v>
      </c>
      <c r="K14" s="18" t="s">
        <v>45</v>
      </c>
    </row>
    <row r="15" spans="1:11" ht="15.75" customHeight="1" x14ac:dyDescent="0.3">
      <c r="A15" s="7">
        <v>1</v>
      </c>
      <c r="B15" s="7" t="s">
        <v>262</v>
      </c>
      <c r="C15" s="42">
        <v>1500</v>
      </c>
      <c r="D15" s="4">
        <v>46257</v>
      </c>
      <c r="E15" s="7"/>
      <c r="F15" s="7"/>
      <c r="G15" s="19">
        <v>4348</v>
      </c>
      <c r="H15" s="20"/>
      <c r="I15" s="21"/>
      <c r="J15" s="4">
        <v>46257</v>
      </c>
      <c r="K15" s="12" t="s">
        <v>330</v>
      </c>
    </row>
    <row r="16" spans="1:11" ht="15.75" customHeight="1" x14ac:dyDescent="0.3">
      <c r="A16" s="7">
        <v>2</v>
      </c>
      <c r="B16" s="7" t="s">
        <v>331</v>
      </c>
      <c r="C16" s="42">
        <v>264</v>
      </c>
      <c r="D16" s="4">
        <v>46257</v>
      </c>
      <c r="E16" s="7"/>
      <c r="F16" s="7"/>
      <c r="G16" s="19">
        <v>3745</v>
      </c>
      <c r="H16" s="20"/>
      <c r="I16" s="21"/>
      <c r="J16" s="4">
        <v>46257</v>
      </c>
      <c r="K16" s="12" t="s">
        <v>332</v>
      </c>
    </row>
    <row r="17" spans="1:11" ht="15.75" customHeight="1" x14ac:dyDescent="0.3">
      <c r="A17" s="7">
        <v>3</v>
      </c>
      <c r="B17" s="7" t="s">
        <v>333</v>
      </c>
      <c r="C17" s="42">
        <v>1600</v>
      </c>
      <c r="D17" s="4">
        <v>46257</v>
      </c>
      <c r="E17" s="7"/>
      <c r="F17" s="7"/>
      <c r="G17" s="19">
        <v>8796</v>
      </c>
      <c r="H17" s="20"/>
      <c r="I17" s="21"/>
      <c r="J17" s="4">
        <v>46257</v>
      </c>
      <c r="K17" s="12" t="s">
        <v>334</v>
      </c>
    </row>
    <row r="18" spans="1:11" ht="15.75" customHeight="1" x14ac:dyDescent="0.3">
      <c r="A18" s="7">
        <v>4</v>
      </c>
      <c r="B18" s="7" t="s">
        <v>335</v>
      </c>
      <c r="C18" s="42">
        <v>2000</v>
      </c>
      <c r="D18" s="4">
        <v>46257</v>
      </c>
      <c r="E18" s="7"/>
      <c r="F18" s="7"/>
      <c r="G18" s="19">
        <v>2249</v>
      </c>
      <c r="H18" s="20"/>
      <c r="I18" s="21"/>
      <c r="J18" s="4">
        <v>46257</v>
      </c>
      <c r="K18" s="12" t="s">
        <v>336</v>
      </c>
    </row>
    <row r="19" spans="1:11" ht="18.75" customHeight="1" x14ac:dyDescent="0.3">
      <c r="A19" s="7"/>
      <c r="B19" s="22" t="s">
        <v>52</v>
      </c>
      <c r="C19" s="50">
        <f>SUM(C15:C18)</f>
        <v>5364</v>
      </c>
      <c r="D19" s="3"/>
      <c r="E19" s="7"/>
      <c r="F19" s="7"/>
      <c r="G19" s="7"/>
      <c r="H19" s="23">
        <v>0</v>
      </c>
      <c r="I19" s="21"/>
      <c r="J19" s="3"/>
      <c r="K19" s="24"/>
    </row>
    <row r="20" spans="1:11" x14ac:dyDescent="0.3">
      <c r="C20" s="25"/>
      <c r="H20" s="25"/>
    </row>
    <row r="21" spans="1:11" ht="16.5" customHeight="1" x14ac:dyDescent="0.35">
      <c r="B21" s="26" t="s">
        <v>53</v>
      </c>
      <c r="C21" s="43">
        <f>SUM(C9)</f>
        <v>2030</v>
      </c>
      <c r="E21" s="27"/>
      <c r="F21" s="27"/>
      <c r="G21" s="66"/>
      <c r="H21" s="67"/>
    </row>
    <row r="22" spans="1:11" ht="16.5" customHeight="1" x14ac:dyDescent="0.35">
      <c r="B22" s="28" t="s">
        <v>54</v>
      </c>
      <c r="C22" s="44">
        <f>SUM(C10,C11)</f>
        <v>1025</v>
      </c>
      <c r="E22" s="29"/>
      <c r="F22" s="29"/>
      <c r="G22" s="30" t="s">
        <v>55</v>
      </c>
      <c r="H22" s="31"/>
    </row>
    <row r="23" spans="1:11" ht="24" customHeight="1" x14ac:dyDescent="0.45">
      <c r="B23" s="32" t="s">
        <v>63</v>
      </c>
      <c r="C23" s="45"/>
      <c r="E23" s="33" t="s">
        <v>57</v>
      </c>
      <c r="F23" s="34"/>
      <c r="G23" s="35"/>
      <c r="H23" s="36"/>
      <c r="I23" s="35"/>
      <c r="J23" s="37"/>
    </row>
    <row r="24" spans="1:11" ht="18.75" customHeight="1" x14ac:dyDescent="0.35">
      <c r="B24" s="38" t="s">
        <v>20</v>
      </c>
      <c r="C24" s="46">
        <f>SUM(C21:C23)</f>
        <v>3055</v>
      </c>
      <c r="G24" s="30"/>
      <c r="H24" s="31"/>
      <c r="I24" s="30"/>
      <c r="J24" s="30"/>
    </row>
  </sheetData>
  <mergeCells count="6">
    <mergeCell ref="G21:H21"/>
    <mergeCell ref="A3:K3"/>
    <mergeCell ref="A2:K2"/>
    <mergeCell ref="A13:K13"/>
    <mergeCell ref="A1:K1"/>
    <mergeCell ref="A8:K8"/>
  </mergeCells>
  <pageMargins left="0.59055118110236215" right="0" top="0.39370078740157483" bottom="0" header="0" footer="0"/>
  <pageSetup scale="8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K26"/>
  <sheetViews>
    <sheetView workbookViewId="0">
      <selection activeCell="L14" sqref="L14"/>
    </sheetView>
  </sheetViews>
  <sheetFormatPr defaultRowHeight="14.4" x14ac:dyDescent="0.3"/>
  <cols>
    <col min="1" max="1" width="4.44140625" bestFit="1" customWidth="1"/>
    <col min="2" max="2" width="25.6640625" bestFit="1" customWidth="1"/>
    <col min="3" max="3" width="12.6640625" bestFit="1" customWidth="1"/>
    <col min="4" max="4" width="13.88671875" bestFit="1" customWidth="1"/>
    <col min="5" max="5" width="11.88671875" customWidth="1"/>
    <col min="6" max="6" width="6.88671875" bestFit="1" customWidth="1"/>
    <col min="7" max="7" width="12.88671875" bestFit="1" customWidth="1"/>
    <col min="8" max="8" width="10.33203125" bestFit="1" customWidth="1"/>
    <col min="9" max="9" width="10.33203125" customWidth="1"/>
    <col min="10" max="10" width="17.109375" customWidth="1"/>
    <col min="11" max="11" width="28.109375" bestFit="1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337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46258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46257</v>
      </c>
      <c r="K5" s="7"/>
    </row>
    <row r="6" spans="1:11" ht="15.75" customHeight="1" x14ac:dyDescent="0.3">
      <c r="A6" s="3">
        <v>2</v>
      </c>
      <c r="B6" s="3" t="s">
        <v>289</v>
      </c>
      <c r="C6" s="47">
        <v>57000</v>
      </c>
      <c r="D6" s="4">
        <v>46258</v>
      </c>
      <c r="E6" s="5">
        <v>0</v>
      </c>
      <c r="F6" s="3" t="s">
        <v>15</v>
      </c>
      <c r="G6" s="39">
        <v>8987</v>
      </c>
      <c r="H6" s="6">
        <v>0</v>
      </c>
      <c r="I6" s="3" t="s">
        <v>16</v>
      </c>
      <c r="J6" s="4">
        <f>+D6-1</f>
        <v>46257</v>
      </c>
      <c r="K6" s="7" t="s">
        <v>338</v>
      </c>
    </row>
    <row r="7" spans="1:11" ht="15.75" customHeight="1" x14ac:dyDescent="0.3">
      <c r="A7" s="3">
        <v>3</v>
      </c>
      <c r="B7" s="3">
        <v>9260990252</v>
      </c>
      <c r="C7" s="47">
        <v>1345</v>
      </c>
      <c r="D7" s="4">
        <v>46258</v>
      </c>
      <c r="E7" s="5">
        <v>0</v>
      </c>
      <c r="F7" s="3" t="s">
        <v>15</v>
      </c>
      <c r="G7" s="39">
        <v>7937</v>
      </c>
      <c r="H7" s="6">
        <v>0</v>
      </c>
      <c r="I7" s="3" t="s">
        <v>16</v>
      </c>
      <c r="J7" s="4">
        <f>+D7-1</f>
        <v>46257</v>
      </c>
      <c r="K7" s="7" t="s">
        <v>28</v>
      </c>
    </row>
    <row r="8" spans="1:11" ht="18.75" customHeight="1" x14ac:dyDescent="0.35">
      <c r="A8" s="8"/>
      <c r="B8" s="9" t="s">
        <v>20</v>
      </c>
      <c r="C8" s="48">
        <f>SUM(C5:C7)</f>
        <v>58345</v>
      </c>
      <c r="D8" s="3"/>
      <c r="E8" s="11"/>
      <c r="F8" s="8"/>
      <c r="G8" s="12"/>
      <c r="H8" s="10">
        <f>SUM(H5:H5)</f>
        <v>0</v>
      </c>
      <c r="I8" s="8"/>
      <c r="J8" s="8"/>
      <c r="K8" s="8"/>
    </row>
    <row r="10" spans="1:11" ht="24" customHeight="1" x14ac:dyDescent="0.45">
      <c r="A10" s="70" t="s">
        <v>21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</row>
    <row r="11" spans="1:11" ht="15.75" customHeight="1" x14ac:dyDescent="0.3">
      <c r="A11" s="3">
        <v>1</v>
      </c>
      <c r="B11" s="3" t="s">
        <v>339</v>
      </c>
      <c r="C11" s="47">
        <v>855</v>
      </c>
      <c r="D11" s="4">
        <v>46258</v>
      </c>
      <c r="E11" s="13">
        <v>0</v>
      </c>
      <c r="F11" s="12" t="s">
        <v>23</v>
      </c>
      <c r="G11" s="41">
        <v>8424</v>
      </c>
      <c r="H11" s="14">
        <v>0</v>
      </c>
      <c r="I11" s="3" t="s">
        <v>24</v>
      </c>
      <c r="J11" s="4">
        <f>+D11+1</f>
        <v>46259</v>
      </c>
      <c r="K11" s="12" t="s">
        <v>28</v>
      </c>
    </row>
    <row r="12" spans="1:11" ht="15.75" customHeight="1" x14ac:dyDescent="0.3">
      <c r="A12" s="3">
        <v>2</v>
      </c>
      <c r="B12" s="3" t="s">
        <v>340</v>
      </c>
      <c r="C12" s="47">
        <v>1865</v>
      </c>
      <c r="D12" s="4">
        <f>+D11</f>
        <v>46258</v>
      </c>
      <c r="E12" s="13">
        <v>0</v>
      </c>
      <c r="F12" s="12" t="s">
        <v>23</v>
      </c>
      <c r="G12" s="41">
        <v>9928</v>
      </c>
      <c r="H12" s="14">
        <v>0</v>
      </c>
      <c r="I12" s="3" t="s">
        <v>16</v>
      </c>
      <c r="J12" s="4">
        <f>+D12+1</f>
        <v>46259</v>
      </c>
      <c r="K12" s="12" t="s">
        <v>25</v>
      </c>
    </row>
    <row r="13" spans="1:11" ht="15.75" customHeight="1" x14ac:dyDescent="0.3">
      <c r="A13" s="3">
        <v>3</v>
      </c>
      <c r="B13" s="3" t="s">
        <v>341</v>
      </c>
      <c r="C13" s="47">
        <v>500</v>
      </c>
      <c r="D13" s="4">
        <f>+D12</f>
        <v>46258</v>
      </c>
      <c r="E13" s="13">
        <v>0</v>
      </c>
      <c r="F13" s="12" t="s">
        <v>23</v>
      </c>
      <c r="G13" s="41">
        <v>7587</v>
      </c>
      <c r="H13" s="14">
        <v>0</v>
      </c>
      <c r="I13" s="3" t="s">
        <v>16</v>
      </c>
      <c r="J13" s="4">
        <f>+D13+1</f>
        <v>46259</v>
      </c>
      <c r="K13" s="12" t="s">
        <v>28</v>
      </c>
    </row>
    <row r="14" spans="1:11" ht="15.75" customHeight="1" x14ac:dyDescent="0.3">
      <c r="A14" s="3">
        <v>4</v>
      </c>
      <c r="B14" s="3" t="s">
        <v>33</v>
      </c>
      <c r="C14" s="47">
        <v>1925</v>
      </c>
      <c r="D14" s="4">
        <f>+D13</f>
        <v>46258</v>
      </c>
      <c r="E14" s="13">
        <v>0</v>
      </c>
      <c r="F14" s="12" t="s">
        <v>23</v>
      </c>
      <c r="G14" s="41">
        <v>8101</v>
      </c>
      <c r="H14" s="14">
        <v>0</v>
      </c>
      <c r="I14" s="3" t="s">
        <v>16</v>
      </c>
      <c r="J14" s="4">
        <f>+D14+1</f>
        <v>46259</v>
      </c>
      <c r="K14" s="12" t="s">
        <v>28</v>
      </c>
    </row>
    <row r="15" spans="1:11" ht="15.75" customHeight="1" x14ac:dyDescent="0.3">
      <c r="A15" s="3">
        <v>5</v>
      </c>
      <c r="B15" s="3" t="s">
        <v>342</v>
      </c>
      <c r="C15" s="47">
        <v>3410</v>
      </c>
      <c r="D15" s="4">
        <f>+D14</f>
        <v>46258</v>
      </c>
      <c r="E15" s="13">
        <v>0</v>
      </c>
      <c r="F15" s="12" t="s">
        <v>23</v>
      </c>
      <c r="G15" s="41">
        <v>6653</v>
      </c>
      <c r="H15" s="14">
        <v>0</v>
      </c>
      <c r="I15" s="3" t="s">
        <v>16</v>
      </c>
      <c r="J15" s="4">
        <f>+D15+1</f>
        <v>46259</v>
      </c>
      <c r="K15" s="12" t="s">
        <v>28</v>
      </c>
    </row>
    <row r="16" spans="1:11" ht="18.75" customHeight="1" x14ac:dyDescent="0.35">
      <c r="A16" s="3"/>
      <c r="B16" s="15" t="s">
        <v>20</v>
      </c>
      <c r="C16" s="49">
        <f>SUM(C11:C15)</f>
        <v>8555</v>
      </c>
      <c r="D16" s="3"/>
      <c r="E16" s="3"/>
      <c r="F16" s="12"/>
      <c r="G16" s="12"/>
      <c r="H16" s="10"/>
      <c r="I16" s="3"/>
      <c r="J16" s="3"/>
      <c r="K16" s="3"/>
    </row>
    <row r="17" spans="1:11" ht="24.75" customHeight="1" x14ac:dyDescent="0.6">
      <c r="A17" s="71" t="s">
        <v>39</v>
      </c>
      <c r="B17" s="63"/>
      <c r="C17" s="63"/>
      <c r="D17" s="63"/>
      <c r="E17" s="63"/>
      <c r="F17" s="63"/>
      <c r="G17" s="63"/>
      <c r="H17" s="63"/>
      <c r="I17" s="63"/>
      <c r="J17" s="63"/>
      <c r="K17" s="64"/>
    </row>
    <row r="18" spans="1:11" ht="18.75" customHeight="1" x14ac:dyDescent="0.35">
      <c r="A18" s="16" t="s">
        <v>3</v>
      </c>
      <c r="B18" s="16" t="s">
        <v>40</v>
      </c>
      <c r="C18" s="40" t="s">
        <v>5</v>
      </c>
      <c r="D18" s="1" t="s">
        <v>41</v>
      </c>
      <c r="E18" s="16" t="s">
        <v>7</v>
      </c>
      <c r="F18" s="16" t="s">
        <v>8</v>
      </c>
      <c r="G18" s="16" t="s">
        <v>42</v>
      </c>
      <c r="H18" s="17" t="s">
        <v>43</v>
      </c>
      <c r="I18" s="16" t="s">
        <v>11</v>
      </c>
      <c r="J18" s="16" t="s">
        <v>44</v>
      </c>
      <c r="K18" s="18" t="s">
        <v>45</v>
      </c>
    </row>
    <row r="19" spans="1:11" ht="15.75" customHeight="1" x14ac:dyDescent="0.3">
      <c r="A19" s="7">
        <v>1</v>
      </c>
      <c r="B19" s="7" t="s">
        <v>343</v>
      </c>
      <c r="C19" s="42">
        <v>2985</v>
      </c>
      <c r="D19" s="4">
        <v>46258</v>
      </c>
      <c r="E19" s="7"/>
      <c r="F19" s="7"/>
      <c r="G19" s="19">
        <v>212</v>
      </c>
      <c r="H19" s="20"/>
      <c r="I19" s="21"/>
      <c r="J19" s="4">
        <v>46258</v>
      </c>
      <c r="K19" s="12" t="s">
        <v>344</v>
      </c>
    </row>
    <row r="20" spans="1:11" ht="17.25" customHeight="1" x14ac:dyDescent="0.3">
      <c r="A20" s="7">
        <v>2</v>
      </c>
      <c r="B20" s="7" t="s">
        <v>105</v>
      </c>
      <c r="C20" s="42">
        <v>60000</v>
      </c>
      <c r="D20" s="4">
        <v>46258</v>
      </c>
      <c r="E20" s="7"/>
      <c r="F20" s="7"/>
      <c r="G20" s="19">
        <v>9162</v>
      </c>
      <c r="H20" s="20"/>
      <c r="I20" s="21"/>
      <c r="J20" s="4">
        <v>46258</v>
      </c>
      <c r="K20" s="12" t="s">
        <v>345</v>
      </c>
    </row>
    <row r="21" spans="1:11" ht="18.75" customHeight="1" x14ac:dyDescent="0.3">
      <c r="A21" s="7"/>
      <c r="B21" s="22" t="s">
        <v>52</v>
      </c>
      <c r="C21" s="50">
        <f>SUM(C19:C20)</f>
        <v>62985</v>
      </c>
      <c r="D21" s="3"/>
      <c r="E21" s="7"/>
      <c r="F21" s="7"/>
      <c r="G21" s="7"/>
      <c r="H21" s="23">
        <v>0</v>
      </c>
      <c r="I21" s="21"/>
      <c r="J21" s="3"/>
      <c r="K21" s="24"/>
    </row>
    <row r="22" spans="1:11" x14ac:dyDescent="0.3">
      <c r="C22" s="25"/>
      <c r="H22" s="25"/>
    </row>
    <row r="23" spans="1:11" ht="16.5" customHeight="1" x14ac:dyDescent="0.35">
      <c r="B23" s="26" t="s">
        <v>53</v>
      </c>
      <c r="C23" s="43">
        <f>SUM(C12)</f>
        <v>1865</v>
      </c>
      <c r="E23" s="27"/>
      <c r="F23" s="27"/>
      <c r="G23" s="66"/>
      <c r="H23" s="67"/>
    </row>
    <row r="24" spans="1:11" ht="16.5" customHeight="1" x14ac:dyDescent="0.35">
      <c r="B24" s="28" t="s">
        <v>54</v>
      </c>
      <c r="C24" s="44">
        <f>SUM(C11,C13,C14:C15)</f>
        <v>6690</v>
      </c>
      <c r="E24" s="29"/>
      <c r="F24" s="29"/>
      <c r="G24" s="30" t="s">
        <v>55</v>
      </c>
      <c r="H24" s="31"/>
    </row>
    <row r="25" spans="1:11" ht="24" customHeight="1" x14ac:dyDescent="0.45">
      <c r="B25" s="32" t="s">
        <v>63</v>
      </c>
      <c r="C25" s="45"/>
      <c r="E25" s="33" t="s">
        <v>57</v>
      </c>
      <c r="F25" s="34"/>
      <c r="G25" s="35"/>
      <c r="H25" s="36"/>
      <c r="I25" s="35"/>
      <c r="J25" s="37"/>
    </row>
    <row r="26" spans="1:11" ht="18.75" customHeight="1" x14ac:dyDescent="0.35">
      <c r="B26" s="38" t="s">
        <v>20</v>
      </c>
      <c r="C26" s="46">
        <f>SUM(C23:C25)</f>
        <v>8555</v>
      </c>
      <c r="G26" s="30"/>
      <c r="H26" s="31"/>
      <c r="I26" s="30"/>
      <c r="J26" s="30"/>
    </row>
  </sheetData>
  <mergeCells count="6">
    <mergeCell ref="A3:K3"/>
    <mergeCell ref="A2:K2"/>
    <mergeCell ref="A10:K10"/>
    <mergeCell ref="G23:H23"/>
    <mergeCell ref="A1:K1"/>
    <mergeCell ref="A17:K17"/>
  </mergeCells>
  <pageMargins left="0.59055118110236215" right="0" top="0.39370078740157483" bottom="0" header="0" footer="0"/>
  <pageSetup scale="84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7"/>
  <sheetViews>
    <sheetView topLeftCell="A13" workbookViewId="0">
      <selection activeCell="E10" sqref="E10"/>
    </sheetView>
  </sheetViews>
  <sheetFormatPr defaultRowHeight="14.4" x14ac:dyDescent="0.3"/>
  <cols>
    <col min="1" max="1" width="4.44140625" bestFit="1" customWidth="1"/>
    <col min="2" max="2" width="27.332031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3.88671875" bestFit="1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346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46259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46258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347</v>
      </c>
      <c r="C9" s="47">
        <v>135</v>
      </c>
      <c r="D9" s="4">
        <v>46259</v>
      </c>
      <c r="E9" s="13">
        <v>0</v>
      </c>
      <c r="F9" s="12" t="s">
        <v>23</v>
      </c>
      <c r="G9" s="41">
        <v>3669</v>
      </c>
      <c r="H9" s="14">
        <v>0</v>
      </c>
      <c r="I9" s="3" t="s">
        <v>24</v>
      </c>
      <c r="J9" s="4">
        <f t="shared" ref="J9:J16" si="0">+D9+1</f>
        <v>46260</v>
      </c>
      <c r="K9" s="12" t="s">
        <v>28</v>
      </c>
    </row>
    <row r="10" spans="1:11" ht="15.75" customHeight="1" x14ac:dyDescent="0.3">
      <c r="A10" s="3">
        <v>2</v>
      </c>
      <c r="B10" s="3" t="s">
        <v>123</v>
      </c>
      <c r="C10" s="47">
        <v>520</v>
      </c>
      <c r="D10" s="4">
        <f t="shared" ref="D10:D16" si="1">+D9</f>
        <v>46259</v>
      </c>
      <c r="E10" s="13">
        <v>0</v>
      </c>
      <c r="F10" s="12" t="s">
        <v>23</v>
      </c>
      <c r="G10" s="41">
        <v>455</v>
      </c>
      <c r="H10" s="14">
        <v>0</v>
      </c>
      <c r="I10" s="3" t="s">
        <v>16</v>
      </c>
      <c r="J10" s="4">
        <f t="shared" si="0"/>
        <v>46260</v>
      </c>
      <c r="K10" s="12" t="s">
        <v>348</v>
      </c>
    </row>
    <row r="11" spans="1:11" ht="15.75" customHeight="1" x14ac:dyDescent="0.3">
      <c r="A11" s="3">
        <v>3</v>
      </c>
      <c r="B11" s="3" t="s">
        <v>349</v>
      </c>
      <c r="C11" s="47">
        <v>2800</v>
      </c>
      <c r="D11" s="4">
        <f t="shared" si="1"/>
        <v>46259</v>
      </c>
      <c r="E11" s="13">
        <v>0</v>
      </c>
      <c r="F11" s="12" t="s">
        <v>23</v>
      </c>
      <c r="G11" s="41">
        <v>3042</v>
      </c>
      <c r="H11" s="14">
        <v>0</v>
      </c>
      <c r="I11" s="3" t="s">
        <v>16</v>
      </c>
      <c r="J11" s="4">
        <f t="shared" si="0"/>
        <v>46260</v>
      </c>
      <c r="K11" s="12" t="s">
        <v>28</v>
      </c>
    </row>
    <row r="12" spans="1:11" ht="15.75" customHeight="1" x14ac:dyDescent="0.3">
      <c r="A12" s="3">
        <v>4</v>
      </c>
      <c r="B12" s="3" t="s">
        <v>350</v>
      </c>
      <c r="C12" s="47">
        <v>8840</v>
      </c>
      <c r="D12" s="4">
        <f t="shared" si="1"/>
        <v>46259</v>
      </c>
      <c r="E12" s="13">
        <v>0</v>
      </c>
      <c r="F12" s="12" t="s">
        <v>23</v>
      </c>
      <c r="G12" s="41">
        <v>4329</v>
      </c>
      <c r="H12" s="14">
        <v>0</v>
      </c>
      <c r="I12" s="3" t="s">
        <v>16</v>
      </c>
      <c r="J12" s="4">
        <f t="shared" si="0"/>
        <v>46260</v>
      </c>
      <c r="K12" s="12" t="s">
        <v>28</v>
      </c>
    </row>
    <row r="13" spans="1:11" ht="15.75" customHeight="1" x14ac:dyDescent="0.3">
      <c r="A13" s="3">
        <v>5</v>
      </c>
      <c r="B13" s="3" t="s">
        <v>351</v>
      </c>
      <c r="C13" s="47">
        <v>980</v>
      </c>
      <c r="D13" s="4">
        <f t="shared" si="1"/>
        <v>46259</v>
      </c>
      <c r="E13" s="13">
        <v>0</v>
      </c>
      <c r="F13" s="12" t="s">
        <v>23</v>
      </c>
      <c r="G13" s="41">
        <v>4843</v>
      </c>
      <c r="H13" s="14">
        <v>0</v>
      </c>
      <c r="I13" s="3" t="s">
        <v>16</v>
      </c>
      <c r="J13" s="4">
        <f t="shared" si="0"/>
        <v>46260</v>
      </c>
      <c r="K13" s="12" t="s">
        <v>28</v>
      </c>
    </row>
    <row r="14" spans="1:11" ht="15.75" customHeight="1" x14ac:dyDescent="0.3">
      <c r="A14" s="3">
        <v>6</v>
      </c>
      <c r="B14" s="3" t="s">
        <v>352</v>
      </c>
      <c r="C14" s="47">
        <v>1120</v>
      </c>
      <c r="D14" s="4">
        <f t="shared" si="1"/>
        <v>46259</v>
      </c>
      <c r="E14" s="13">
        <v>0</v>
      </c>
      <c r="F14" s="12" t="s">
        <v>23</v>
      </c>
      <c r="G14" s="41">
        <v>738</v>
      </c>
      <c r="H14" s="14">
        <v>0</v>
      </c>
      <c r="I14" s="3" t="s">
        <v>16</v>
      </c>
      <c r="J14" s="4">
        <f t="shared" si="0"/>
        <v>46260</v>
      </c>
      <c r="K14" s="12" t="s">
        <v>28</v>
      </c>
    </row>
    <row r="15" spans="1:11" ht="15.75" customHeight="1" x14ac:dyDescent="0.3">
      <c r="A15" s="3">
        <v>7</v>
      </c>
      <c r="B15" s="3" t="s">
        <v>353</v>
      </c>
      <c r="C15" s="47">
        <v>13770</v>
      </c>
      <c r="D15" s="4">
        <f t="shared" si="1"/>
        <v>46259</v>
      </c>
      <c r="E15" s="13">
        <v>0</v>
      </c>
      <c r="F15" s="12" t="s">
        <v>23</v>
      </c>
      <c r="G15" s="41">
        <v>5258</v>
      </c>
      <c r="H15" s="14">
        <v>0</v>
      </c>
      <c r="I15" s="3" t="s">
        <v>16</v>
      </c>
      <c r="J15" s="4">
        <f t="shared" si="0"/>
        <v>46260</v>
      </c>
      <c r="K15" s="12" t="s">
        <v>28</v>
      </c>
    </row>
    <row r="16" spans="1:11" ht="15.75" customHeight="1" x14ac:dyDescent="0.3">
      <c r="A16" s="3">
        <v>8</v>
      </c>
      <c r="B16" s="3" t="s">
        <v>354</v>
      </c>
      <c r="C16" s="47">
        <v>1470</v>
      </c>
      <c r="D16" s="4">
        <f t="shared" si="1"/>
        <v>46259</v>
      </c>
      <c r="E16" s="13">
        <v>0</v>
      </c>
      <c r="F16" s="12" t="s">
        <v>23</v>
      </c>
      <c r="G16" s="41">
        <v>6930</v>
      </c>
      <c r="H16" s="14">
        <v>0</v>
      </c>
      <c r="I16" s="3" t="s">
        <v>16</v>
      </c>
      <c r="J16" s="4">
        <f t="shared" si="0"/>
        <v>46260</v>
      </c>
      <c r="K16" s="12" t="s">
        <v>73</v>
      </c>
    </row>
    <row r="17" spans="1:11" ht="18.75" customHeight="1" x14ac:dyDescent="0.35">
      <c r="A17" s="3"/>
      <c r="B17" s="15" t="s">
        <v>20</v>
      </c>
      <c r="C17" s="49">
        <f>SUM(C9:C16)</f>
        <v>29635</v>
      </c>
      <c r="D17" s="3"/>
      <c r="E17" s="3"/>
      <c r="F17" s="12"/>
      <c r="G17" s="12"/>
      <c r="H17" s="10"/>
      <c r="I17" s="3"/>
      <c r="J17" s="3"/>
      <c r="K17" s="3"/>
    </row>
    <row r="18" spans="1:11" ht="24.75" customHeight="1" x14ac:dyDescent="0.6">
      <c r="A18" s="71" t="s">
        <v>39</v>
      </c>
      <c r="B18" s="63"/>
      <c r="C18" s="63"/>
      <c r="D18" s="63"/>
      <c r="E18" s="63"/>
      <c r="F18" s="63"/>
      <c r="G18" s="63"/>
      <c r="H18" s="63"/>
      <c r="I18" s="63"/>
      <c r="J18" s="63"/>
      <c r="K18" s="64"/>
    </row>
    <row r="19" spans="1:11" ht="18.75" customHeight="1" x14ac:dyDescent="0.35">
      <c r="A19" s="16" t="s">
        <v>3</v>
      </c>
      <c r="B19" s="16" t="s">
        <v>40</v>
      </c>
      <c r="C19" s="40" t="s">
        <v>5</v>
      </c>
      <c r="D19" s="1" t="s">
        <v>41</v>
      </c>
      <c r="E19" s="16" t="s">
        <v>7</v>
      </c>
      <c r="F19" s="16" t="s">
        <v>8</v>
      </c>
      <c r="G19" s="16" t="s">
        <v>42</v>
      </c>
      <c r="H19" s="17" t="s">
        <v>43</v>
      </c>
      <c r="I19" s="16" t="s">
        <v>11</v>
      </c>
      <c r="J19" s="16" t="s">
        <v>44</v>
      </c>
      <c r="K19" s="18" t="s">
        <v>45</v>
      </c>
    </row>
    <row r="20" spans="1:11" ht="15.75" customHeight="1" x14ac:dyDescent="0.3">
      <c r="A20" s="7">
        <v>1</v>
      </c>
      <c r="B20" s="7" t="s">
        <v>331</v>
      </c>
      <c r="C20" s="42">
        <v>629</v>
      </c>
      <c r="D20" s="4">
        <v>46259</v>
      </c>
      <c r="E20" s="7"/>
      <c r="F20" s="7"/>
      <c r="G20" s="19">
        <v>4283</v>
      </c>
      <c r="H20" s="20"/>
      <c r="I20" s="21"/>
      <c r="J20" s="4">
        <v>46259</v>
      </c>
      <c r="K20" s="12" t="s">
        <v>355</v>
      </c>
    </row>
    <row r="21" spans="1:11" ht="15.75" customHeight="1" x14ac:dyDescent="0.3">
      <c r="A21" s="7">
        <v>2</v>
      </c>
      <c r="B21" s="7" t="s">
        <v>356</v>
      </c>
      <c r="C21" s="42">
        <v>1540</v>
      </c>
      <c r="D21" s="4">
        <v>46259</v>
      </c>
      <c r="E21" s="7"/>
      <c r="F21" s="7"/>
      <c r="G21" s="19">
        <v>8025</v>
      </c>
      <c r="H21" s="20"/>
      <c r="I21" s="21"/>
      <c r="J21" s="4">
        <v>46259</v>
      </c>
      <c r="K21" s="12" t="s">
        <v>357</v>
      </c>
    </row>
    <row r="22" spans="1:11" ht="18.75" customHeight="1" x14ac:dyDescent="0.3">
      <c r="A22" s="7"/>
      <c r="B22" s="22" t="s">
        <v>52</v>
      </c>
      <c r="C22" s="50">
        <f>SUM(C20:C21)</f>
        <v>2169</v>
      </c>
      <c r="D22" s="3"/>
      <c r="E22" s="7"/>
      <c r="F22" s="7"/>
      <c r="G22" s="7"/>
      <c r="H22" s="23">
        <v>0</v>
      </c>
      <c r="I22" s="21"/>
      <c r="J22" s="3"/>
      <c r="K22" s="24"/>
    </row>
    <row r="23" spans="1:11" x14ac:dyDescent="0.3">
      <c r="C23" s="25"/>
      <c r="H23" s="25"/>
    </row>
    <row r="24" spans="1:11" ht="16.5" customHeight="1" x14ac:dyDescent="0.35">
      <c r="B24" s="26" t="s">
        <v>53</v>
      </c>
      <c r="C24" s="43">
        <f>SUM(C10,C16)</f>
        <v>1990</v>
      </c>
      <c r="E24" s="27"/>
      <c r="F24" s="27"/>
      <c r="G24" s="66"/>
      <c r="H24" s="67"/>
    </row>
    <row r="25" spans="1:11" ht="16.5" customHeight="1" x14ac:dyDescent="0.35">
      <c r="B25" s="28" t="s">
        <v>54</v>
      </c>
      <c r="C25" s="44">
        <f>SUM(C9,C11,C12,C13,C14,C15)</f>
        <v>27645</v>
      </c>
      <c r="E25" s="29"/>
      <c r="F25" s="29"/>
      <c r="G25" s="30" t="s">
        <v>55</v>
      </c>
      <c r="H25" s="31"/>
    </row>
    <row r="26" spans="1:11" ht="24" customHeight="1" x14ac:dyDescent="0.45">
      <c r="B26" s="32" t="s">
        <v>63</v>
      </c>
      <c r="C26" s="45"/>
      <c r="E26" s="33" t="s">
        <v>57</v>
      </c>
      <c r="F26" s="34"/>
      <c r="G26" s="35"/>
      <c r="H26" s="36"/>
      <c r="I26" s="35"/>
      <c r="J26" s="37"/>
    </row>
    <row r="27" spans="1:11" ht="18.75" customHeight="1" x14ac:dyDescent="0.35">
      <c r="B27" s="38" t="s">
        <v>20</v>
      </c>
      <c r="C27" s="46">
        <f>SUM(C24:C26)</f>
        <v>29635</v>
      </c>
      <c r="G27" s="30"/>
      <c r="H27" s="31"/>
      <c r="I27" s="30"/>
      <c r="J27" s="30"/>
    </row>
  </sheetData>
  <mergeCells count="6">
    <mergeCell ref="A18:K18"/>
    <mergeCell ref="A3:K3"/>
    <mergeCell ref="G24:H24"/>
    <mergeCell ref="A2:K2"/>
    <mergeCell ref="A1:K1"/>
    <mergeCell ref="A8:K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K27"/>
  <sheetViews>
    <sheetView topLeftCell="A15" workbookViewId="0">
      <selection sqref="A1:K27"/>
    </sheetView>
  </sheetViews>
  <sheetFormatPr defaultRowHeight="14.4" x14ac:dyDescent="0.3"/>
  <cols>
    <col min="1" max="1" width="4.44140625" bestFit="1" customWidth="1"/>
    <col min="2" max="2" width="22.554687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441406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358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46260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46259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359</v>
      </c>
      <c r="C9" s="47">
        <v>15400</v>
      </c>
      <c r="D9" s="4">
        <v>46260</v>
      </c>
      <c r="E9" s="13">
        <v>0</v>
      </c>
      <c r="F9" s="12" t="s">
        <v>23</v>
      </c>
      <c r="G9" s="41">
        <v>1985</v>
      </c>
      <c r="H9" s="14">
        <v>0</v>
      </c>
      <c r="I9" s="3" t="s">
        <v>24</v>
      </c>
      <c r="J9" s="4">
        <f t="shared" ref="J9:J16" si="0">+D9+1</f>
        <v>46261</v>
      </c>
      <c r="K9" s="12" t="s">
        <v>76</v>
      </c>
    </row>
    <row r="10" spans="1:11" ht="15.75" customHeight="1" x14ac:dyDescent="0.3">
      <c r="A10" s="3">
        <v>2</v>
      </c>
      <c r="B10" s="3" t="s">
        <v>360</v>
      </c>
      <c r="C10" s="47">
        <v>32800</v>
      </c>
      <c r="D10" s="4">
        <v>46260</v>
      </c>
      <c r="E10" s="13">
        <v>0</v>
      </c>
      <c r="F10" s="12" t="s">
        <v>23</v>
      </c>
      <c r="G10" s="41">
        <v>9194</v>
      </c>
      <c r="H10" s="14">
        <v>0</v>
      </c>
      <c r="I10" s="3" t="s">
        <v>16</v>
      </c>
      <c r="J10" s="4">
        <f t="shared" si="0"/>
        <v>46261</v>
      </c>
      <c r="K10" s="12" t="s">
        <v>361</v>
      </c>
    </row>
    <row r="11" spans="1:11" ht="15.75" customHeight="1" x14ac:dyDescent="0.3">
      <c r="A11" s="3">
        <v>3</v>
      </c>
      <c r="B11" s="3" t="s">
        <v>362</v>
      </c>
      <c r="C11" s="47">
        <v>23500</v>
      </c>
      <c r="D11" s="4">
        <f t="shared" ref="D11:D16" si="1">+D10</f>
        <v>46260</v>
      </c>
      <c r="E11" s="13">
        <v>0</v>
      </c>
      <c r="F11" s="12" t="s">
        <v>23</v>
      </c>
      <c r="G11" s="41">
        <v>3955</v>
      </c>
      <c r="H11" s="14">
        <v>0</v>
      </c>
      <c r="I11" s="3" t="s">
        <v>16</v>
      </c>
      <c r="J11" s="4">
        <f t="shared" si="0"/>
        <v>46261</v>
      </c>
      <c r="K11" s="12" t="s">
        <v>76</v>
      </c>
    </row>
    <row r="12" spans="1:11" ht="15.75" customHeight="1" x14ac:dyDescent="0.3">
      <c r="A12" s="3">
        <v>4</v>
      </c>
      <c r="B12" s="3" t="s">
        <v>363</v>
      </c>
      <c r="C12" s="47">
        <v>2800</v>
      </c>
      <c r="D12" s="4">
        <f t="shared" si="1"/>
        <v>46260</v>
      </c>
      <c r="E12" s="13">
        <v>0</v>
      </c>
      <c r="F12" s="12" t="s">
        <v>23</v>
      </c>
      <c r="G12" s="41">
        <v>2036</v>
      </c>
      <c r="H12" s="14">
        <v>0</v>
      </c>
      <c r="I12" s="3" t="s">
        <v>16</v>
      </c>
      <c r="J12" s="4">
        <f t="shared" si="0"/>
        <v>46261</v>
      </c>
      <c r="K12" s="12" t="s">
        <v>76</v>
      </c>
    </row>
    <row r="13" spans="1:11" ht="15.75" customHeight="1" x14ac:dyDescent="0.3">
      <c r="A13" s="3">
        <v>5</v>
      </c>
      <c r="B13" s="3" t="s">
        <v>33</v>
      </c>
      <c r="C13" s="47">
        <v>715</v>
      </c>
      <c r="D13" s="4">
        <f t="shared" si="1"/>
        <v>46260</v>
      </c>
      <c r="E13" s="13">
        <v>0</v>
      </c>
      <c r="F13" s="12" t="s">
        <v>23</v>
      </c>
      <c r="G13" s="41">
        <v>2644</v>
      </c>
      <c r="H13" s="14">
        <v>0</v>
      </c>
      <c r="I13" s="3" t="s">
        <v>16</v>
      </c>
      <c r="J13" s="4">
        <f t="shared" si="0"/>
        <v>46261</v>
      </c>
      <c r="K13" s="12" t="s">
        <v>28</v>
      </c>
    </row>
    <row r="14" spans="1:11" ht="15.75" customHeight="1" x14ac:dyDescent="0.3">
      <c r="A14" s="3">
        <v>6</v>
      </c>
      <c r="B14" s="3" t="s">
        <v>364</v>
      </c>
      <c r="C14" s="47">
        <v>1480</v>
      </c>
      <c r="D14" s="4">
        <f t="shared" si="1"/>
        <v>46260</v>
      </c>
      <c r="E14" s="13">
        <v>0</v>
      </c>
      <c r="F14" s="12" t="s">
        <v>23</v>
      </c>
      <c r="G14" s="41">
        <v>3140</v>
      </c>
      <c r="H14" s="14">
        <v>0</v>
      </c>
      <c r="I14" s="3" t="s">
        <v>16</v>
      </c>
      <c r="J14" s="4">
        <f t="shared" si="0"/>
        <v>46261</v>
      </c>
      <c r="K14" s="12" t="s">
        <v>28</v>
      </c>
    </row>
    <row r="15" spans="1:11" ht="15.75" customHeight="1" x14ac:dyDescent="0.3">
      <c r="A15" s="3">
        <v>7</v>
      </c>
      <c r="B15" s="3" t="s">
        <v>364</v>
      </c>
      <c r="C15" s="47">
        <v>2000</v>
      </c>
      <c r="D15" s="4">
        <f t="shared" si="1"/>
        <v>46260</v>
      </c>
      <c r="E15" s="13">
        <v>0</v>
      </c>
      <c r="F15" s="12" t="s">
        <v>23</v>
      </c>
      <c r="G15" s="41">
        <v>294</v>
      </c>
      <c r="H15" s="14">
        <v>0</v>
      </c>
      <c r="I15" s="3" t="s">
        <v>16</v>
      </c>
      <c r="J15" s="4">
        <f t="shared" si="0"/>
        <v>46261</v>
      </c>
      <c r="K15" s="12" t="s">
        <v>28</v>
      </c>
    </row>
    <row r="16" spans="1:11" ht="15.75" customHeight="1" x14ac:dyDescent="0.3">
      <c r="A16" s="3">
        <v>8</v>
      </c>
      <c r="B16" s="3" t="s">
        <v>122</v>
      </c>
      <c r="C16" s="47">
        <v>2900</v>
      </c>
      <c r="D16" s="4">
        <f t="shared" si="1"/>
        <v>46260</v>
      </c>
      <c r="E16" s="13">
        <v>0</v>
      </c>
      <c r="F16" s="12" t="s">
        <v>23</v>
      </c>
      <c r="G16" s="41">
        <v>4340</v>
      </c>
      <c r="H16" s="14">
        <v>0</v>
      </c>
      <c r="I16" s="3" t="s">
        <v>16</v>
      </c>
      <c r="J16" s="4">
        <f t="shared" si="0"/>
        <v>46261</v>
      </c>
      <c r="K16" s="12" t="s">
        <v>365</v>
      </c>
    </row>
    <row r="17" spans="1:11" ht="18.75" customHeight="1" x14ac:dyDescent="0.35">
      <c r="A17" s="3"/>
      <c r="B17" s="15" t="s">
        <v>20</v>
      </c>
      <c r="C17" s="49">
        <f>SUM(C9:C16)</f>
        <v>81595</v>
      </c>
      <c r="D17" s="3"/>
      <c r="E17" s="3"/>
      <c r="F17" s="12"/>
      <c r="G17" s="12"/>
      <c r="H17" s="10"/>
      <c r="I17" s="3"/>
      <c r="J17" s="3"/>
      <c r="K17" s="3"/>
    </row>
    <row r="18" spans="1:11" ht="24.75" customHeight="1" x14ac:dyDescent="0.6">
      <c r="A18" s="71" t="s">
        <v>39</v>
      </c>
      <c r="B18" s="63"/>
      <c r="C18" s="63"/>
      <c r="D18" s="63"/>
      <c r="E18" s="63"/>
      <c r="F18" s="63"/>
      <c r="G18" s="63"/>
      <c r="H18" s="63"/>
      <c r="I18" s="63"/>
      <c r="J18" s="63"/>
      <c r="K18" s="64"/>
    </row>
    <row r="19" spans="1:11" ht="18.75" customHeight="1" x14ac:dyDescent="0.35">
      <c r="A19" s="16" t="s">
        <v>3</v>
      </c>
      <c r="B19" s="16" t="s">
        <v>40</v>
      </c>
      <c r="C19" s="40" t="s">
        <v>5</v>
      </c>
      <c r="D19" s="1" t="s">
        <v>41</v>
      </c>
      <c r="E19" s="16" t="s">
        <v>7</v>
      </c>
      <c r="F19" s="16" t="s">
        <v>8</v>
      </c>
      <c r="G19" s="16" t="s">
        <v>42</v>
      </c>
      <c r="H19" s="17" t="s">
        <v>43</v>
      </c>
      <c r="I19" s="16" t="s">
        <v>11</v>
      </c>
      <c r="J19" s="16" t="s">
        <v>44</v>
      </c>
      <c r="K19" s="18" t="s">
        <v>45</v>
      </c>
    </row>
    <row r="20" spans="1:11" ht="15.75" customHeight="1" x14ac:dyDescent="0.3">
      <c r="A20" s="7">
        <v>1</v>
      </c>
      <c r="B20" s="7" t="s">
        <v>46</v>
      </c>
      <c r="C20" s="42">
        <v>26230</v>
      </c>
      <c r="D20" s="4">
        <v>46260</v>
      </c>
      <c r="E20" s="7"/>
      <c r="F20" s="7"/>
      <c r="G20" s="19">
        <v>7107</v>
      </c>
      <c r="H20" s="20"/>
      <c r="I20" s="21"/>
      <c r="J20" s="4">
        <v>46260</v>
      </c>
      <c r="K20" s="12" t="s">
        <v>28</v>
      </c>
    </row>
    <row r="21" spans="1:11" ht="15.75" customHeight="1" x14ac:dyDescent="0.3">
      <c r="A21" s="7">
        <v>2</v>
      </c>
      <c r="B21" s="7" t="s">
        <v>262</v>
      </c>
      <c r="C21" s="42">
        <v>3000</v>
      </c>
      <c r="D21" s="4">
        <v>46260</v>
      </c>
      <c r="E21" s="7"/>
      <c r="F21" s="7"/>
      <c r="G21" s="19">
        <v>1985</v>
      </c>
      <c r="H21" s="20"/>
      <c r="I21" s="21"/>
      <c r="J21" s="4">
        <v>46260</v>
      </c>
      <c r="K21" s="12" t="s">
        <v>366</v>
      </c>
    </row>
    <row r="22" spans="1:11" ht="18.75" customHeight="1" x14ac:dyDescent="0.3">
      <c r="A22" s="7"/>
      <c r="B22" s="22" t="s">
        <v>52</v>
      </c>
      <c r="C22" s="50">
        <f>SUM(C20:C21)</f>
        <v>29230</v>
      </c>
      <c r="D22" s="3"/>
      <c r="E22" s="7"/>
      <c r="F22" s="7"/>
      <c r="G22" s="7"/>
      <c r="H22" s="23">
        <v>0</v>
      </c>
      <c r="I22" s="21"/>
      <c r="J22" s="3"/>
      <c r="K22" s="24"/>
    </row>
    <row r="23" spans="1:11" x14ac:dyDescent="0.3">
      <c r="C23" s="25"/>
      <c r="H23" s="25"/>
    </row>
    <row r="24" spans="1:11" ht="16.5" customHeight="1" x14ac:dyDescent="0.35">
      <c r="B24" s="26" t="s">
        <v>53</v>
      </c>
      <c r="C24" s="43">
        <f>SUM(C9,C10,C11,C12)</f>
        <v>74500</v>
      </c>
      <c r="E24" s="27"/>
      <c r="F24" s="27"/>
      <c r="G24" s="66"/>
      <c r="H24" s="67"/>
    </row>
    <row r="25" spans="1:11" ht="16.5" customHeight="1" x14ac:dyDescent="0.35">
      <c r="B25" s="28" t="s">
        <v>54</v>
      </c>
      <c r="C25" s="44">
        <f>SUM(C13,C14,C15)</f>
        <v>4195</v>
      </c>
      <c r="E25" s="29"/>
      <c r="F25" s="29"/>
      <c r="G25" s="30" t="s">
        <v>55</v>
      </c>
      <c r="H25" s="31"/>
    </row>
    <row r="26" spans="1:11" ht="24" customHeight="1" x14ac:dyDescent="0.45">
      <c r="B26" s="32" t="s">
        <v>63</v>
      </c>
      <c r="C26" s="45"/>
      <c r="E26" s="33" t="s">
        <v>57</v>
      </c>
      <c r="F26" s="34"/>
      <c r="G26" s="35"/>
      <c r="H26" s="36"/>
      <c r="I26" s="35"/>
      <c r="J26" s="37"/>
    </row>
    <row r="27" spans="1:11" ht="18.75" customHeight="1" x14ac:dyDescent="0.35">
      <c r="B27" s="38" t="s">
        <v>20</v>
      </c>
      <c r="C27" s="46">
        <f>SUM(C24:C26)</f>
        <v>78695</v>
      </c>
      <c r="G27" s="30"/>
      <c r="H27" s="31"/>
      <c r="I27" s="30"/>
      <c r="J27" s="30"/>
    </row>
  </sheetData>
  <mergeCells count="6">
    <mergeCell ref="A18:K18"/>
    <mergeCell ref="A3:K3"/>
    <mergeCell ref="G24:H24"/>
    <mergeCell ref="A2:K2"/>
    <mergeCell ref="A1:K1"/>
    <mergeCell ref="A8:K8"/>
  </mergeCells>
  <pageMargins left="0.59055118110236215" right="0" top="0.39370078740157483" bottom="0" header="0" footer="0"/>
  <pageSetup scale="85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K23"/>
  <sheetViews>
    <sheetView workbookViewId="0">
      <selection activeCell="O10" sqref="O10"/>
    </sheetView>
  </sheetViews>
  <sheetFormatPr defaultRowHeight="14.4" x14ac:dyDescent="0.3"/>
  <cols>
    <col min="1" max="1" width="4.44140625" bestFit="1" customWidth="1"/>
    <col min="2" max="2" width="1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7.33203125" bestFit="1" customWidth="1"/>
  </cols>
  <sheetData>
    <row r="1" spans="1:11" ht="24.75" customHeight="1" x14ac:dyDescent="0.3">
      <c r="A1" s="68" t="s">
        <v>55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367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46261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46260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368</v>
      </c>
      <c r="C9" s="47">
        <v>310</v>
      </c>
      <c r="D9" s="4">
        <v>46261</v>
      </c>
      <c r="E9" s="13">
        <v>0</v>
      </c>
      <c r="F9" s="12" t="s">
        <v>23</v>
      </c>
      <c r="G9" s="41">
        <v>8625</v>
      </c>
      <c r="H9" s="14">
        <v>0</v>
      </c>
      <c r="I9" s="3" t="s">
        <v>24</v>
      </c>
      <c r="J9" s="4">
        <f>+D9+1</f>
        <v>46262</v>
      </c>
      <c r="K9" s="12" t="s">
        <v>28</v>
      </c>
    </row>
    <row r="10" spans="1:11" ht="15.75" customHeight="1" x14ac:dyDescent="0.3">
      <c r="A10" s="3">
        <v>2</v>
      </c>
      <c r="B10" s="3" t="s">
        <v>368</v>
      </c>
      <c r="C10" s="47">
        <v>2000</v>
      </c>
      <c r="D10" s="4">
        <f>+D9</f>
        <v>46261</v>
      </c>
      <c r="E10" s="13">
        <v>0</v>
      </c>
      <c r="F10" s="12" t="s">
        <v>23</v>
      </c>
      <c r="G10" s="41">
        <v>7802</v>
      </c>
      <c r="H10" s="14">
        <v>0</v>
      </c>
      <c r="I10" s="3" t="s">
        <v>16</v>
      </c>
      <c r="J10" s="4">
        <f>+D10+1</f>
        <v>46262</v>
      </c>
      <c r="K10" s="12" t="s">
        <v>28</v>
      </c>
    </row>
    <row r="11" spans="1:11" ht="15.75" customHeight="1" x14ac:dyDescent="0.3">
      <c r="A11" s="3">
        <v>3</v>
      </c>
      <c r="B11" s="3" t="s">
        <v>369</v>
      </c>
      <c r="C11" s="47">
        <v>38000</v>
      </c>
      <c r="D11" s="4">
        <f>+D10</f>
        <v>46261</v>
      </c>
      <c r="E11" s="13">
        <v>0</v>
      </c>
      <c r="F11" s="12" t="s">
        <v>23</v>
      </c>
      <c r="G11" s="41">
        <v>5195</v>
      </c>
      <c r="H11" s="14">
        <v>0</v>
      </c>
      <c r="I11" s="3" t="s">
        <v>16</v>
      </c>
      <c r="J11" s="4">
        <f>+D11+1</f>
        <v>46262</v>
      </c>
      <c r="K11" s="12" t="s">
        <v>370</v>
      </c>
    </row>
    <row r="12" spans="1:11" ht="15.75" customHeight="1" x14ac:dyDescent="0.3">
      <c r="A12" s="3">
        <v>4</v>
      </c>
      <c r="B12" s="3" t="s">
        <v>371</v>
      </c>
      <c r="C12" s="47">
        <v>2050</v>
      </c>
      <c r="D12" s="4">
        <f>+D11</f>
        <v>46261</v>
      </c>
      <c r="E12" s="13">
        <v>0</v>
      </c>
      <c r="F12" s="12" t="s">
        <v>23</v>
      </c>
      <c r="G12" s="41">
        <v>373</v>
      </c>
      <c r="H12" s="14">
        <v>0</v>
      </c>
      <c r="I12" s="3" t="s">
        <v>16</v>
      </c>
      <c r="J12" s="4">
        <f>+D12+1</f>
        <v>46262</v>
      </c>
      <c r="K12" s="12" t="s">
        <v>28</v>
      </c>
    </row>
    <row r="13" spans="1:11" ht="18.75" customHeight="1" x14ac:dyDescent="0.35">
      <c r="A13" s="3"/>
      <c r="B13" s="15" t="s">
        <v>20</v>
      </c>
      <c r="C13" s="49">
        <f>SUM(C9:C12)</f>
        <v>42360</v>
      </c>
      <c r="D13" s="3"/>
      <c r="E13" s="3"/>
      <c r="F13" s="12"/>
      <c r="G13" s="12"/>
      <c r="H13" s="10"/>
      <c r="I13" s="3"/>
      <c r="J13" s="3"/>
      <c r="K13" s="3"/>
    </row>
    <row r="14" spans="1:11" ht="24.75" customHeight="1" x14ac:dyDescent="0.6">
      <c r="A14" s="71" t="s">
        <v>39</v>
      </c>
      <c r="B14" s="63"/>
      <c r="C14" s="63"/>
      <c r="D14" s="63"/>
      <c r="E14" s="63"/>
      <c r="F14" s="63"/>
      <c r="G14" s="63"/>
      <c r="H14" s="63"/>
      <c r="I14" s="63"/>
      <c r="J14" s="63"/>
      <c r="K14" s="64"/>
    </row>
    <row r="15" spans="1:11" ht="18.75" customHeight="1" x14ac:dyDescent="0.35">
      <c r="A15" s="16" t="s">
        <v>3</v>
      </c>
      <c r="B15" s="16" t="s">
        <v>40</v>
      </c>
      <c r="C15" s="40" t="s">
        <v>5</v>
      </c>
      <c r="D15" s="1" t="s">
        <v>41</v>
      </c>
      <c r="E15" s="16" t="s">
        <v>7</v>
      </c>
      <c r="F15" s="16" t="s">
        <v>8</v>
      </c>
      <c r="G15" s="16" t="s">
        <v>42</v>
      </c>
      <c r="H15" s="17" t="s">
        <v>43</v>
      </c>
      <c r="I15" s="16" t="s">
        <v>11</v>
      </c>
      <c r="J15" s="16" t="s">
        <v>44</v>
      </c>
      <c r="K15" s="18" t="s">
        <v>45</v>
      </c>
    </row>
    <row r="16" spans="1:11" ht="15.75" customHeight="1" x14ac:dyDescent="0.3">
      <c r="A16" s="7">
        <v>1</v>
      </c>
      <c r="B16" s="7" t="s">
        <v>50</v>
      </c>
      <c r="C16" s="42">
        <v>82245</v>
      </c>
      <c r="D16" s="4">
        <v>46261</v>
      </c>
      <c r="E16" s="7"/>
      <c r="F16" s="7"/>
      <c r="G16" s="19">
        <v>6404</v>
      </c>
      <c r="H16" s="20"/>
      <c r="I16" s="21"/>
      <c r="J16" s="4">
        <v>46261</v>
      </c>
      <c r="K16" s="12" t="s">
        <v>372</v>
      </c>
    </row>
    <row r="17" spans="1:11" ht="15.75" customHeight="1" x14ac:dyDescent="0.3">
      <c r="A17" s="7">
        <v>2</v>
      </c>
      <c r="B17" s="7" t="s">
        <v>253</v>
      </c>
      <c r="C17" s="42">
        <v>4500</v>
      </c>
      <c r="D17" s="4">
        <v>46261</v>
      </c>
      <c r="E17" s="7"/>
      <c r="F17" s="7"/>
      <c r="G17" s="19">
        <v>3574</v>
      </c>
      <c r="H17" s="20"/>
      <c r="I17" s="21"/>
      <c r="J17" s="4">
        <v>46261</v>
      </c>
      <c r="K17" s="12" t="s">
        <v>373</v>
      </c>
    </row>
    <row r="18" spans="1:11" ht="18.75" customHeight="1" x14ac:dyDescent="0.3">
      <c r="A18" s="7"/>
      <c r="B18" s="22" t="s">
        <v>52</v>
      </c>
      <c r="C18" s="50">
        <f>SUM(C16:C17)</f>
        <v>86745</v>
      </c>
      <c r="D18" s="3"/>
      <c r="E18" s="7"/>
      <c r="F18" s="7"/>
      <c r="G18" s="7"/>
      <c r="H18" s="23">
        <v>0</v>
      </c>
      <c r="I18" s="21"/>
      <c r="J18" s="3"/>
      <c r="K18" s="24"/>
    </row>
    <row r="19" spans="1:11" x14ac:dyDescent="0.3">
      <c r="C19" s="25"/>
      <c r="H19" s="25"/>
    </row>
    <row r="20" spans="1:11" ht="16.5" customHeight="1" x14ac:dyDescent="0.35">
      <c r="B20" s="26" t="s">
        <v>53</v>
      </c>
      <c r="C20" s="43">
        <f>SUM(C11)</f>
        <v>38000</v>
      </c>
      <c r="E20" s="27"/>
      <c r="F20" s="27"/>
      <c r="G20" s="66"/>
      <c r="H20" s="67"/>
    </row>
    <row r="21" spans="1:11" ht="16.5" customHeight="1" x14ac:dyDescent="0.35">
      <c r="B21" s="28" t="s">
        <v>54</v>
      </c>
      <c r="C21" s="44">
        <f>SUM(C12,C10,C9)</f>
        <v>4360</v>
      </c>
      <c r="E21" s="29"/>
      <c r="F21" s="29"/>
      <c r="G21" s="30" t="s">
        <v>55</v>
      </c>
      <c r="H21" s="31"/>
    </row>
    <row r="22" spans="1:11" ht="24" customHeight="1" x14ac:dyDescent="0.45">
      <c r="B22" s="32" t="s">
        <v>63</v>
      </c>
      <c r="C22" s="45"/>
      <c r="E22" s="33" t="s">
        <v>57</v>
      </c>
      <c r="F22" s="34"/>
      <c r="G22" s="35"/>
      <c r="H22" s="36"/>
      <c r="I22" s="35"/>
      <c r="J22" s="37"/>
    </row>
    <row r="23" spans="1:11" ht="18.75" customHeight="1" x14ac:dyDescent="0.35">
      <c r="B23" s="38" t="s">
        <v>20</v>
      </c>
      <c r="C23" s="46">
        <f>SUM(C20:C22)</f>
        <v>42360</v>
      </c>
      <c r="G23" s="30"/>
      <c r="H23" s="31"/>
      <c r="I23" s="30"/>
      <c r="J23" s="30"/>
    </row>
  </sheetData>
  <mergeCells count="6">
    <mergeCell ref="G20:H20"/>
    <mergeCell ref="A3:K3"/>
    <mergeCell ref="A2:K2"/>
    <mergeCell ref="A14:K14"/>
    <mergeCell ref="A1:K1"/>
    <mergeCell ref="A8:K8"/>
  </mergeCells>
  <pageMargins left="0.59055118110236215" right="0" top="0.39370078740157483" bottom="0" header="0" footer="0"/>
  <pageSetup scale="85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K31"/>
  <sheetViews>
    <sheetView topLeftCell="A4" workbookViewId="0">
      <selection activeCell="R22" sqref="R22"/>
    </sheetView>
  </sheetViews>
  <sheetFormatPr defaultRowHeight="14.4" x14ac:dyDescent="0.3"/>
  <cols>
    <col min="1" max="1" width="4.44140625" bestFit="1" customWidth="1"/>
    <col min="2" max="2" width="26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3.66406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374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46262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46261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375</v>
      </c>
      <c r="C9" s="47">
        <v>5600</v>
      </c>
      <c r="D9" s="4">
        <v>46262</v>
      </c>
      <c r="E9" s="13">
        <v>0</v>
      </c>
      <c r="F9" s="12" t="s">
        <v>23</v>
      </c>
      <c r="G9" s="41">
        <v>6444</v>
      </c>
      <c r="H9" s="14">
        <v>0</v>
      </c>
      <c r="I9" s="3" t="s">
        <v>24</v>
      </c>
      <c r="J9" s="4">
        <f t="shared" ref="J9:J16" si="0">+D9+1</f>
        <v>46263</v>
      </c>
      <c r="K9" s="12" t="s">
        <v>376</v>
      </c>
    </row>
    <row r="10" spans="1:11" ht="15.75" customHeight="1" x14ac:dyDescent="0.3">
      <c r="A10" s="3">
        <v>2</v>
      </c>
      <c r="B10" s="3" t="s">
        <v>377</v>
      </c>
      <c r="C10" s="47">
        <v>685</v>
      </c>
      <c r="D10" s="4">
        <f t="shared" ref="D10:D16" si="1">+D9</f>
        <v>46262</v>
      </c>
      <c r="E10" s="13">
        <v>0</v>
      </c>
      <c r="F10" s="12" t="s">
        <v>23</v>
      </c>
      <c r="G10" s="41">
        <v>1789</v>
      </c>
      <c r="H10" s="14">
        <v>0</v>
      </c>
      <c r="I10" s="3" t="s">
        <v>16</v>
      </c>
      <c r="J10" s="4">
        <f t="shared" si="0"/>
        <v>46263</v>
      </c>
      <c r="K10" s="12" t="s">
        <v>28</v>
      </c>
    </row>
    <row r="11" spans="1:11" ht="15.75" customHeight="1" x14ac:dyDescent="0.3">
      <c r="A11" s="3">
        <v>3</v>
      </c>
      <c r="B11" s="3" t="s">
        <v>378</v>
      </c>
      <c r="C11" s="47">
        <v>2570</v>
      </c>
      <c r="D11" s="4">
        <f t="shared" si="1"/>
        <v>46262</v>
      </c>
      <c r="E11" s="13">
        <v>0</v>
      </c>
      <c r="F11" s="12" t="s">
        <v>23</v>
      </c>
      <c r="G11" s="41">
        <v>1426</v>
      </c>
      <c r="H11" s="14">
        <v>0</v>
      </c>
      <c r="I11" s="3" t="s">
        <v>16</v>
      </c>
      <c r="J11" s="4">
        <f t="shared" si="0"/>
        <v>46263</v>
      </c>
      <c r="K11" s="12" t="s">
        <v>28</v>
      </c>
    </row>
    <row r="12" spans="1:11" ht="15.75" customHeight="1" x14ac:dyDescent="0.3">
      <c r="A12" s="3">
        <v>4</v>
      </c>
      <c r="B12" s="3" t="s">
        <v>379</v>
      </c>
      <c r="C12" s="47">
        <v>13080</v>
      </c>
      <c r="D12" s="4">
        <f t="shared" si="1"/>
        <v>46262</v>
      </c>
      <c r="E12" s="13">
        <v>0</v>
      </c>
      <c r="F12" s="12" t="s">
        <v>23</v>
      </c>
      <c r="G12" s="41">
        <v>2125</v>
      </c>
      <c r="H12" s="14">
        <v>0</v>
      </c>
      <c r="I12" s="3" t="s">
        <v>16</v>
      </c>
      <c r="J12" s="4">
        <f t="shared" si="0"/>
        <v>46263</v>
      </c>
      <c r="K12" s="12" t="s">
        <v>28</v>
      </c>
    </row>
    <row r="13" spans="1:11" ht="15.75" customHeight="1" x14ac:dyDescent="0.3">
      <c r="A13" s="3">
        <v>5</v>
      </c>
      <c r="B13" s="3" t="s">
        <v>380</v>
      </c>
      <c r="C13" s="47">
        <v>1785</v>
      </c>
      <c r="D13" s="4">
        <f t="shared" si="1"/>
        <v>46262</v>
      </c>
      <c r="E13" s="13">
        <v>0</v>
      </c>
      <c r="F13" s="12" t="s">
        <v>23</v>
      </c>
      <c r="G13" s="41">
        <v>7118</v>
      </c>
      <c r="H13" s="14">
        <v>0</v>
      </c>
      <c r="I13" s="3" t="s">
        <v>16</v>
      </c>
      <c r="J13" s="4">
        <f t="shared" si="0"/>
        <v>46263</v>
      </c>
      <c r="K13" s="12" t="s">
        <v>28</v>
      </c>
    </row>
    <row r="14" spans="1:11" ht="15.75" customHeight="1" x14ac:dyDescent="0.3">
      <c r="A14" s="3">
        <v>6</v>
      </c>
      <c r="B14" s="3" t="s">
        <v>381</v>
      </c>
      <c r="C14" s="47">
        <v>2660</v>
      </c>
      <c r="D14" s="4">
        <f t="shared" si="1"/>
        <v>46262</v>
      </c>
      <c r="E14" s="13">
        <v>0</v>
      </c>
      <c r="F14" s="12" t="s">
        <v>23</v>
      </c>
      <c r="G14" s="41">
        <v>3087</v>
      </c>
      <c r="H14" s="14">
        <v>0</v>
      </c>
      <c r="I14" s="3" t="s">
        <v>16</v>
      </c>
      <c r="J14" s="4">
        <f t="shared" si="0"/>
        <v>46263</v>
      </c>
      <c r="K14" s="12" t="s">
        <v>28</v>
      </c>
    </row>
    <row r="15" spans="1:11" ht="15.75" customHeight="1" x14ac:dyDescent="0.3">
      <c r="A15" s="3">
        <v>7</v>
      </c>
      <c r="B15" s="3" t="s">
        <v>382</v>
      </c>
      <c r="C15" s="47">
        <v>1470</v>
      </c>
      <c r="D15" s="4">
        <f t="shared" si="1"/>
        <v>46262</v>
      </c>
      <c r="E15" s="13">
        <v>0</v>
      </c>
      <c r="F15" s="12" t="s">
        <v>23</v>
      </c>
      <c r="G15" s="41">
        <v>9113</v>
      </c>
      <c r="H15" s="14">
        <v>0</v>
      </c>
      <c r="I15" s="3" t="s">
        <v>16</v>
      </c>
      <c r="J15" s="4">
        <f t="shared" si="0"/>
        <v>46263</v>
      </c>
      <c r="K15" s="12" t="s">
        <v>28</v>
      </c>
    </row>
    <row r="16" spans="1:11" ht="15.75" customHeight="1" x14ac:dyDescent="0.3">
      <c r="A16" s="3">
        <v>8</v>
      </c>
      <c r="B16" s="3" t="s">
        <v>383</v>
      </c>
      <c r="C16" s="47">
        <v>2200</v>
      </c>
      <c r="D16" s="4">
        <f t="shared" si="1"/>
        <v>46262</v>
      </c>
      <c r="E16" s="13">
        <v>0</v>
      </c>
      <c r="F16" s="12" t="s">
        <v>23</v>
      </c>
      <c r="G16" s="41">
        <v>3559</v>
      </c>
      <c r="H16" s="14">
        <v>0</v>
      </c>
      <c r="I16" s="3" t="s">
        <v>16</v>
      </c>
      <c r="J16" s="4">
        <f t="shared" si="0"/>
        <v>46263</v>
      </c>
      <c r="K16" s="12" t="s">
        <v>73</v>
      </c>
    </row>
    <row r="17" spans="1:11" ht="18.75" customHeight="1" x14ac:dyDescent="0.35">
      <c r="A17" s="3"/>
      <c r="B17" s="15" t="s">
        <v>20</v>
      </c>
      <c r="C17" s="49">
        <f>SUM(C9:C16)</f>
        <v>30050</v>
      </c>
      <c r="D17" s="3"/>
      <c r="E17" s="3"/>
      <c r="F17" s="12"/>
      <c r="G17" s="12"/>
      <c r="H17" s="10"/>
      <c r="I17" s="3"/>
      <c r="J17" s="3"/>
      <c r="K17" s="3"/>
    </row>
    <row r="18" spans="1:11" ht="24.75" customHeight="1" x14ac:dyDescent="0.6">
      <c r="A18" s="71" t="s">
        <v>39</v>
      </c>
      <c r="B18" s="63"/>
      <c r="C18" s="63"/>
      <c r="D18" s="63"/>
      <c r="E18" s="63"/>
      <c r="F18" s="63"/>
      <c r="G18" s="63"/>
      <c r="H18" s="63"/>
      <c r="I18" s="63"/>
      <c r="J18" s="63"/>
      <c r="K18" s="64"/>
    </row>
    <row r="19" spans="1:11" ht="18.75" customHeight="1" x14ac:dyDescent="0.35">
      <c r="A19" s="16" t="s">
        <v>3</v>
      </c>
      <c r="B19" s="16" t="s">
        <v>40</v>
      </c>
      <c r="C19" s="40" t="s">
        <v>5</v>
      </c>
      <c r="D19" s="1" t="s">
        <v>41</v>
      </c>
      <c r="E19" s="16" t="s">
        <v>7</v>
      </c>
      <c r="F19" s="16" t="s">
        <v>8</v>
      </c>
      <c r="G19" s="16" t="s">
        <v>42</v>
      </c>
      <c r="H19" s="17" t="s">
        <v>43</v>
      </c>
      <c r="I19" s="16" t="s">
        <v>11</v>
      </c>
      <c r="J19" s="16" t="s">
        <v>44</v>
      </c>
      <c r="K19" s="18" t="s">
        <v>45</v>
      </c>
    </row>
    <row r="20" spans="1:11" ht="15.75" customHeight="1" x14ac:dyDescent="0.3">
      <c r="A20" s="7">
        <v>1</v>
      </c>
      <c r="B20" s="7" t="s">
        <v>384</v>
      </c>
      <c r="C20" s="42">
        <v>10000</v>
      </c>
      <c r="D20" s="4">
        <v>46262</v>
      </c>
      <c r="E20" s="7"/>
      <c r="F20" s="7"/>
      <c r="G20" s="19">
        <v>3184</v>
      </c>
      <c r="H20" s="20"/>
      <c r="I20" s="21"/>
      <c r="J20" s="4">
        <v>46262</v>
      </c>
      <c r="K20" s="12" t="s">
        <v>385</v>
      </c>
    </row>
    <row r="21" spans="1:11" ht="15.75" customHeight="1" x14ac:dyDescent="0.3">
      <c r="A21" s="7">
        <v>2</v>
      </c>
      <c r="B21" s="7" t="s">
        <v>386</v>
      </c>
      <c r="C21" s="42">
        <v>1050</v>
      </c>
      <c r="D21" s="4">
        <v>46262</v>
      </c>
      <c r="E21" s="7"/>
      <c r="F21" s="7"/>
      <c r="G21" s="19">
        <v>6407</v>
      </c>
      <c r="H21" s="20"/>
      <c r="I21" s="21"/>
      <c r="J21" s="4">
        <v>46262</v>
      </c>
      <c r="K21" s="12" t="s">
        <v>387</v>
      </c>
    </row>
    <row r="22" spans="1:11" ht="15.75" customHeight="1" x14ac:dyDescent="0.3">
      <c r="A22" s="7">
        <v>3</v>
      </c>
      <c r="B22" s="7" t="s">
        <v>46</v>
      </c>
      <c r="C22" s="42">
        <v>17025</v>
      </c>
      <c r="D22" s="4">
        <v>46262</v>
      </c>
      <c r="E22" s="7"/>
      <c r="F22" s="7"/>
      <c r="G22" s="19">
        <v>7493</v>
      </c>
      <c r="H22" s="20"/>
      <c r="I22" s="21"/>
      <c r="J22" s="4">
        <v>46262</v>
      </c>
      <c r="K22" s="12" t="s">
        <v>28</v>
      </c>
    </row>
    <row r="23" spans="1:11" ht="15.75" customHeight="1" x14ac:dyDescent="0.3">
      <c r="A23" s="7">
        <v>4</v>
      </c>
      <c r="B23" s="7" t="s">
        <v>388</v>
      </c>
      <c r="C23" s="42">
        <v>10048</v>
      </c>
      <c r="D23" s="4">
        <v>46262</v>
      </c>
      <c r="E23" s="7"/>
      <c r="F23" s="7"/>
      <c r="G23" s="19">
        <v>857</v>
      </c>
      <c r="H23" s="20"/>
      <c r="I23" s="21"/>
      <c r="J23" s="4">
        <v>46262</v>
      </c>
      <c r="K23" s="12" t="s">
        <v>389</v>
      </c>
    </row>
    <row r="24" spans="1:11" ht="15.75" customHeight="1" x14ac:dyDescent="0.3">
      <c r="A24" s="7">
        <v>5</v>
      </c>
      <c r="B24" s="7" t="s">
        <v>46</v>
      </c>
      <c r="C24" s="42">
        <v>26500</v>
      </c>
      <c r="D24" s="4">
        <v>46262</v>
      </c>
      <c r="E24" s="7"/>
      <c r="F24" s="7"/>
      <c r="G24" s="19">
        <v>4569</v>
      </c>
      <c r="H24" s="20"/>
      <c r="I24" s="21"/>
      <c r="J24" s="4">
        <v>46262</v>
      </c>
      <c r="K24" s="12" t="s">
        <v>28</v>
      </c>
    </row>
    <row r="25" spans="1:11" ht="15.75" customHeight="1" x14ac:dyDescent="0.3">
      <c r="A25" s="7">
        <v>6</v>
      </c>
      <c r="B25" s="7" t="s">
        <v>262</v>
      </c>
      <c r="C25" s="42">
        <v>2300</v>
      </c>
      <c r="D25" s="4">
        <v>46262</v>
      </c>
      <c r="E25" s="7"/>
      <c r="F25" s="7"/>
      <c r="G25" s="19">
        <v>2767</v>
      </c>
      <c r="H25" s="20"/>
      <c r="I25" s="21"/>
      <c r="J25" s="4">
        <v>46262</v>
      </c>
      <c r="K25" s="12" t="s">
        <v>390</v>
      </c>
    </row>
    <row r="26" spans="1:11" ht="18.75" customHeight="1" x14ac:dyDescent="0.3">
      <c r="A26" s="7"/>
      <c r="B26" s="22" t="s">
        <v>52</v>
      </c>
      <c r="C26" s="50">
        <f>SUM(C20:C25)</f>
        <v>66923</v>
      </c>
      <c r="D26" s="3"/>
      <c r="E26" s="7"/>
      <c r="F26" s="7"/>
      <c r="G26" s="7"/>
      <c r="H26" s="23">
        <v>0</v>
      </c>
      <c r="I26" s="21"/>
      <c r="J26" s="3"/>
      <c r="K26" s="24"/>
    </row>
    <row r="27" spans="1:11" x14ac:dyDescent="0.3">
      <c r="C27" s="25"/>
      <c r="H27" s="25"/>
    </row>
    <row r="28" spans="1:11" ht="16.5" customHeight="1" x14ac:dyDescent="0.35">
      <c r="B28" s="26" t="s">
        <v>53</v>
      </c>
      <c r="C28" s="43">
        <f>SUM(C16)</f>
        <v>2200</v>
      </c>
      <c r="E28" s="27"/>
      <c r="F28" s="27"/>
      <c r="G28" s="66"/>
      <c r="H28" s="67"/>
    </row>
    <row r="29" spans="1:11" ht="16.5" customHeight="1" x14ac:dyDescent="0.35">
      <c r="B29" s="28" t="s">
        <v>54</v>
      </c>
      <c r="C29" s="44">
        <f>SUM(C10,C11,C12,C13,C14,C15)</f>
        <v>22250</v>
      </c>
      <c r="E29" s="29"/>
      <c r="F29" s="29"/>
      <c r="G29" s="30" t="s">
        <v>55</v>
      </c>
      <c r="H29" s="31"/>
    </row>
    <row r="30" spans="1:11" ht="24" customHeight="1" x14ac:dyDescent="0.45">
      <c r="B30" s="32" t="s">
        <v>391</v>
      </c>
      <c r="C30" s="45">
        <f>SUM(C9)</f>
        <v>5600</v>
      </c>
      <c r="E30" s="33" t="s">
        <v>57</v>
      </c>
      <c r="F30" s="34"/>
      <c r="G30" s="35"/>
      <c r="H30" s="36"/>
      <c r="I30" s="35"/>
      <c r="J30" s="37"/>
    </row>
    <row r="31" spans="1:11" ht="18.75" customHeight="1" x14ac:dyDescent="0.35">
      <c r="B31" s="38" t="s">
        <v>20</v>
      </c>
      <c r="C31" s="46">
        <f>SUM(C28:C30)</f>
        <v>30050</v>
      </c>
      <c r="G31" s="30"/>
      <c r="H31" s="31"/>
      <c r="I31" s="30"/>
      <c r="J31" s="30"/>
    </row>
  </sheetData>
  <mergeCells count="6">
    <mergeCell ref="A18:K18"/>
    <mergeCell ref="A3:K3"/>
    <mergeCell ref="A2:K2"/>
    <mergeCell ref="G28:H28"/>
    <mergeCell ref="A1:K1"/>
    <mergeCell ref="A8:K8"/>
  </mergeCells>
  <pageMargins left="0.59055118110236215" right="0" top="0.39370078740157483" bottom="0" header="0" footer="0"/>
  <pageSetup scale="82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K23"/>
  <sheetViews>
    <sheetView topLeftCell="A2" workbookViewId="0">
      <selection activeCell="K11" sqref="K11"/>
    </sheetView>
  </sheetViews>
  <sheetFormatPr defaultRowHeight="14.4" x14ac:dyDescent="0.3"/>
  <cols>
    <col min="1" max="1" width="4.44140625" bestFit="1" customWidth="1"/>
    <col min="2" max="2" width="20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1.886718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392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46263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46262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262</v>
      </c>
      <c r="C9" s="47">
        <v>1350</v>
      </c>
      <c r="D9" s="4">
        <v>46263</v>
      </c>
      <c r="E9" s="13">
        <v>0</v>
      </c>
      <c r="F9" s="12" t="s">
        <v>23</v>
      </c>
      <c r="G9" s="41">
        <v>8522</v>
      </c>
      <c r="H9" s="14">
        <v>0</v>
      </c>
      <c r="I9" s="3" t="s">
        <v>24</v>
      </c>
      <c r="J9" s="4">
        <f>+D9+1</f>
        <v>46264</v>
      </c>
      <c r="K9" s="12" t="s">
        <v>393</v>
      </c>
    </row>
    <row r="10" spans="1:11" ht="15.75" customHeight="1" x14ac:dyDescent="0.3">
      <c r="A10" s="3">
        <v>2</v>
      </c>
      <c r="B10" s="3" t="s">
        <v>394</v>
      </c>
      <c r="C10" s="47">
        <v>10000</v>
      </c>
      <c r="D10" s="4">
        <f>+D9</f>
        <v>46263</v>
      </c>
      <c r="E10" s="13">
        <v>0</v>
      </c>
      <c r="F10" s="12" t="s">
        <v>23</v>
      </c>
      <c r="G10" s="41">
        <v>7568</v>
      </c>
      <c r="H10" s="14">
        <v>0</v>
      </c>
      <c r="I10" s="3" t="s">
        <v>16</v>
      </c>
      <c r="J10" s="4">
        <f>+D10+1</f>
        <v>46264</v>
      </c>
      <c r="K10" s="12" t="s">
        <v>395</v>
      </c>
    </row>
    <row r="11" spans="1:11" ht="15.75" customHeight="1" x14ac:dyDescent="0.3">
      <c r="A11" s="3">
        <v>3</v>
      </c>
      <c r="B11" s="3" t="s">
        <v>396</v>
      </c>
      <c r="C11" s="47">
        <v>20000</v>
      </c>
      <c r="D11" s="4">
        <f>+D10</f>
        <v>46263</v>
      </c>
      <c r="E11" s="13">
        <v>0</v>
      </c>
      <c r="F11" s="12" t="s">
        <v>23</v>
      </c>
      <c r="G11" s="41">
        <v>7124</v>
      </c>
      <c r="H11" s="14">
        <v>0</v>
      </c>
      <c r="I11" s="3" t="s">
        <v>16</v>
      </c>
      <c r="J11" s="4">
        <f>+D11+1</f>
        <v>46264</v>
      </c>
      <c r="K11" s="12" t="s">
        <v>397</v>
      </c>
    </row>
    <row r="12" spans="1:11" ht="15.75" customHeight="1" x14ac:dyDescent="0.3">
      <c r="A12" s="3">
        <v>4</v>
      </c>
      <c r="B12" s="3" t="s">
        <v>33</v>
      </c>
      <c r="C12" s="47">
        <v>580</v>
      </c>
      <c r="D12" s="4">
        <f>+D11</f>
        <v>46263</v>
      </c>
      <c r="E12" s="13">
        <v>0</v>
      </c>
      <c r="F12" s="12" t="s">
        <v>23</v>
      </c>
      <c r="G12" s="41">
        <v>5211</v>
      </c>
      <c r="H12" s="14">
        <v>0</v>
      </c>
      <c r="I12" s="3" t="s">
        <v>16</v>
      </c>
      <c r="J12" s="4">
        <f>+D12+1</f>
        <v>46264</v>
      </c>
      <c r="K12" s="12" t="s">
        <v>73</v>
      </c>
    </row>
    <row r="13" spans="1:11" ht="18.75" customHeight="1" x14ac:dyDescent="0.35">
      <c r="A13" s="3"/>
      <c r="B13" s="15" t="s">
        <v>20</v>
      </c>
      <c r="C13" s="49">
        <f>SUM(C9:C12)</f>
        <v>31930</v>
      </c>
      <c r="D13" s="3"/>
      <c r="E13" s="3"/>
      <c r="F13" s="12"/>
      <c r="G13" s="12"/>
      <c r="H13" s="10"/>
      <c r="I13" s="3"/>
      <c r="J13" s="3"/>
      <c r="K13" s="3"/>
    </row>
    <row r="14" spans="1:11" ht="24.75" customHeight="1" x14ac:dyDescent="0.6">
      <c r="A14" s="71" t="s">
        <v>39</v>
      </c>
      <c r="B14" s="63"/>
      <c r="C14" s="63"/>
      <c r="D14" s="63"/>
      <c r="E14" s="63"/>
      <c r="F14" s="63"/>
      <c r="G14" s="63"/>
      <c r="H14" s="63"/>
      <c r="I14" s="63"/>
      <c r="J14" s="63"/>
      <c r="K14" s="64"/>
    </row>
    <row r="15" spans="1:11" ht="18.75" customHeight="1" x14ac:dyDescent="0.35">
      <c r="A15" s="16" t="s">
        <v>3</v>
      </c>
      <c r="B15" s="16" t="s">
        <v>40</v>
      </c>
      <c r="C15" s="40" t="s">
        <v>5</v>
      </c>
      <c r="D15" s="1" t="s">
        <v>41</v>
      </c>
      <c r="E15" s="16" t="s">
        <v>7</v>
      </c>
      <c r="F15" s="16" t="s">
        <v>8</v>
      </c>
      <c r="G15" s="16" t="s">
        <v>42</v>
      </c>
      <c r="H15" s="17" t="s">
        <v>43</v>
      </c>
      <c r="I15" s="16" t="s">
        <v>11</v>
      </c>
      <c r="J15" s="16" t="s">
        <v>44</v>
      </c>
      <c r="K15" s="18" t="s">
        <v>45</v>
      </c>
    </row>
    <row r="16" spans="1:11" ht="15.75" customHeight="1" x14ac:dyDescent="0.3">
      <c r="A16" s="7">
        <v>1</v>
      </c>
      <c r="B16" s="7" t="s">
        <v>173</v>
      </c>
      <c r="C16" s="42">
        <v>4800</v>
      </c>
      <c r="D16" s="4">
        <v>46263</v>
      </c>
      <c r="E16" s="7"/>
      <c r="F16" s="7"/>
      <c r="G16" s="19">
        <v>1954</v>
      </c>
      <c r="H16" s="20"/>
      <c r="I16" s="21"/>
      <c r="J16" s="4">
        <v>46263</v>
      </c>
      <c r="K16" s="12" t="s">
        <v>398</v>
      </c>
    </row>
    <row r="17" spans="1:11" ht="15.75" customHeight="1" x14ac:dyDescent="0.3">
      <c r="A17" s="7">
        <v>2</v>
      </c>
      <c r="B17" s="7" t="s">
        <v>262</v>
      </c>
      <c r="C17" s="42">
        <v>1500</v>
      </c>
      <c r="D17" s="4">
        <v>46263</v>
      </c>
      <c r="E17" s="7"/>
      <c r="F17" s="7"/>
      <c r="G17" s="19">
        <v>3603</v>
      </c>
      <c r="H17" s="20"/>
      <c r="I17" s="21"/>
      <c r="J17" s="4">
        <v>46263</v>
      </c>
      <c r="K17" s="12" t="s">
        <v>399</v>
      </c>
    </row>
    <row r="18" spans="1:11" ht="18.75" customHeight="1" x14ac:dyDescent="0.3">
      <c r="A18" s="7"/>
      <c r="B18" s="22" t="s">
        <v>52</v>
      </c>
      <c r="C18" s="50">
        <f>SUM(C16:C17)</f>
        <v>6300</v>
      </c>
      <c r="D18" s="3"/>
      <c r="E18" s="7"/>
      <c r="F18" s="7"/>
      <c r="G18" s="7"/>
      <c r="H18" s="23">
        <v>0</v>
      </c>
      <c r="I18" s="21"/>
      <c r="J18" s="3"/>
      <c r="K18" s="24"/>
    </row>
    <row r="19" spans="1:11" x14ac:dyDescent="0.3">
      <c r="C19" s="25"/>
      <c r="H19" s="25"/>
    </row>
    <row r="20" spans="1:11" ht="16.5" customHeight="1" x14ac:dyDescent="0.35">
      <c r="B20" s="26" t="s">
        <v>53</v>
      </c>
      <c r="C20" s="43">
        <f>SUM(C12)</f>
        <v>580</v>
      </c>
      <c r="E20" s="27"/>
      <c r="F20" s="27"/>
      <c r="G20" s="66"/>
      <c r="H20" s="67"/>
    </row>
    <row r="21" spans="1:11" ht="16.5" customHeight="1" x14ac:dyDescent="0.35">
      <c r="B21" s="28" t="s">
        <v>54</v>
      </c>
      <c r="C21" s="44">
        <f>SUM(C10,C11)</f>
        <v>30000</v>
      </c>
      <c r="E21" s="29"/>
      <c r="F21" s="29"/>
      <c r="G21" s="30" t="s">
        <v>55</v>
      </c>
      <c r="H21" s="31"/>
    </row>
    <row r="22" spans="1:11" ht="24" customHeight="1" x14ac:dyDescent="0.45">
      <c r="B22" s="32" t="s">
        <v>181</v>
      </c>
      <c r="C22" s="45">
        <f>SUM(C9)</f>
        <v>1350</v>
      </c>
      <c r="E22" s="33" t="s">
        <v>57</v>
      </c>
      <c r="F22" s="34"/>
      <c r="G22" s="35"/>
      <c r="H22" s="36"/>
      <c r="I22" s="35"/>
      <c r="J22" s="37"/>
    </row>
    <row r="23" spans="1:11" ht="18.75" customHeight="1" x14ac:dyDescent="0.35">
      <c r="B23" s="38" t="s">
        <v>20</v>
      </c>
      <c r="C23" s="46">
        <f>SUM(C20:C22)</f>
        <v>31930</v>
      </c>
      <c r="G23" s="30"/>
      <c r="H23" s="31"/>
      <c r="I23" s="30"/>
      <c r="J23" s="30"/>
    </row>
  </sheetData>
  <mergeCells count="6">
    <mergeCell ref="G20:H20"/>
    <mergeCell ref="A3:K3"/>
    <mergeCell ref="A2:K2"/>
    <mergeCell ref="A14:K14"/>
    <mergeCell ref="A1:K1"/>
    <mergeCell ref="A8:K8"/>
  </mergeCells>
  <pageMargins left="0.59055118110236215" right="0" top="0.39370078740157483" bottom="0" header="0" footer="0"/>
  <pageSetup scale="86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K30"/>
  <sheetViews>
    <sheetView workbookViewId="0">
      <selection activeCell="M19" sqref="M19"/>
    </sheetView>
  </sheetViews>
  <sheetFormatPr defaultRowHeight="14.4" x14ac:dyDescent="0.3"/>
  <cols>
    <col min="1" max="1" width="4.44140625" bestFit="1" customWidth="1"/>
    <col min="2" max="2" width="24.332031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55468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400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46264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46263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401</v>
      </c>
      <c r="C9" s="47">
        <v>5</v>
      </c>
      <c r="D9" s="4">
        <v>46264</v>
      </c>
      <c r="E9" s="13">
        <v>0</v>
      </c>
      <c r="F9" s="12" t="s">
        <v>23</v>
      </c>
      <c r="G9" s="41">
        <v>247</v>
      </c>
      <c r="H9" s="14">
        <v>0</v>
      </c>
      <c r="I9" s="3" t="s">
        <v>24</v>
      </c>
      <c r="J9" s="4">
        <f t="shared" ref="J9:J18" si="0">+D9+1</f>
        <v>46265</v>
      </c>
      <c r="K9" s="12" t="s">
        <v>28</v>
      </c>
    </row>
    <row r="10" spans="1:11" ht="15.75" customHeight="1" x14ac:dyDescent="0.3">
      <c r="A10" s="3">
        <v>2</v>
      </c>
      <c r="B10" s="3" t="s">
        <v>401</v>
      </c>
      <c r="C10" s="47">
        <v>500</v>
      </c>
      <c r="D10" s="4">
        <f t="shared" ref="D10:D18" si="1">+D9</f>
        <v>46264</v>
      </c>
      <c r="E10" s="13">
        <v>0</v>
      </c>
      <c r="F10" s="12" t="s">
        <v>23</v>
      </c>
      <c r="G10" s="41">
        <v>8719</v>
      </c>
      <c r="H10" s="14">
        <v>0</v>
      </c>
      <c r="I10" s="3" t="s">
        <v>16</v>
      </c>
      <c r="J10" s="4">
        <f t="shared" si="0"/>
        <v>46265</v>
      </c>
      <c r="K10" s="12" t="s">
        <v>28</v>
      </c>
    </row>
    <row r="11" spans="1:11" ht="15.75" customHeight="1" x14ac:dyDescent="0.3">
      <c r="A11" s="3">
        <v>3</v>
      </c>
      <c r="B11" s="3" t="s">
        <v>396</v>
      </c>
      <c r="C11" s="47">
        <v>17800</v>
      </c>
      <c r="D11" s="4">
        <f t="shared" si="1"/>
        <v>46264</v>
      </c>
      <c r="E11" s="13">
        <v>0</v>
      </c>
      <c r="F11" s="12" t="s">
        <v>23</v>
      </c>
      <c r="G11" s="41">
        <v>1949</v>
      </c>
      <c r="H11" s="14">
        <v>0</v>
      </c>
      <c r="I11" s="3" t="s">
        <v>16</v>
      </c>
      <c r="J11" s="4">
        <f t="shared" si="0"/>
        <v>46265</v>
      </c>
      <c r="K11" s="12" t="s">
        <v>402</v>
      </c>
    </row>
    <row r="12" spans="1:11" ht="15.75" customHeight="1" x14ac:dyDescent="0.3">
      <c r="A12" s="3">
        <v>4</v>
      </c>
      <c r="B12" s="3" t="s">
        <v>403</v>
      </c>
      <c r="C12" s="47">
        <v>180</v>
      </c>
      <c r="D12" s="4">
        <f t="shared" si="1"/>
        <v>46264</v>
      </c>
      <c r="E12" s="13">
        <v>0</v>
      </c>
      <c r="F12" s="12" t="s">
        <v>23</v>
      </c>
      <c r="G12" s="41">
        <v>7596</v>
      </c>
      <c r="H12" s="14">
        <v>0</v>
      </c>
      <c r="I12" s="3" t="s">
        <v>16</v>
      </c>
      <c r="J12" s="4">
        <f t="shared" si="0"/>
        <v>46265</v>
      </c>
      <c r="K12" s="12" t="s">
        <v>28</v>
      </c>
    </row>
    <row r="13" spans="1:11" ht="15.75" customHeight="1" x14ac:dyDescent="0.3">
      <c r="A13" s="3">
        <v>5</v>
      </c>
      <c r="B13" s="3" t="s">
        <v>404</v>
      </c>
      <c r="C13" s="47">
        <v>1340</v>
      </c>
      <c r="D13" s="4">
        <f t="shared" si="1"/>
        <v>46264</v>
      </c>
      <c r="E13" s="13">
        <v>0</v>
      </c>
      <c r="F13" s="12" t="s">
        <v>23</v>
      </c>
      <c r="G13" s="41">
        <v>5841</v>
      </c>
      <c r="H13" s="14">
        <v>0</v>
      </c>
      <c r="I13" s="3" t="s">
        <v>16</v>
      </c>
      <c r="J13" s="4">
        <f t="shared" si="0"/>
        <v>46265</v>
      </c>
      <c r="K13" s="12" t="s">
        <v>70</v>
      </c>
    </row>
    <row r="14" spans="1:11" ht="15.75" customHeight="1" x14ac:dyDescent="0.3">
      <c r="A14" s="3">
        <v>6</v>
      </c>
      <c r="B14" s="3" t="s">
        <v>405</v>
      </c>
      <c r="C14" s="47">
        <v>1850</v>
      </c>
      <c r="D14" s="4">
        <f t="shared" si="1"/>
        <v>46264</v>
      </c>
      <c r="E14" s="13">
        <v>0</v>
      </c>
      <c r="F14" s="12" t="s">
        <v>23</v>
      </c>
      <c r="G14" s="41">
        <v>3176</v>
      </c>
      <c r="H14" s="14">
        <v>0</v>
      </c>
      <c r="I14" s="3" t="s">
        <v>16</v>
      </c>
      <c r="J14" s="4">
        <f t="shared" si="0"/>
        <v>46265</v>
      </c>
      <c r="K14" s="12" t="s">
        <v>73</v>
      </c>
    </row>
    <row r="15" spans="1:11" ht="15.75" customHeight="1" x14ac:dyDescent="0.3">
      <c r="A15" s="3">
        <v>7</v>
      </c>
      <c r="B15" s="3" t="s">
        <v>406</v>
      </c>
      <c r="C15" s="47">
        <v>77000</v>
      </c>
      <c r="D15" s="4">
        <f t="shared" si="1"/>
        <v>46264</v>
      </c>
      <c r="E15" s="13">
        <v>0</v>
      </c>
      <c r="F15" s="12" t="s">
        <v>23</v>
      </c>
      <c r="G15" s="41">
        <v>1303</v>
      </c>
      <c r="H15" s="14">
        <v>0</v>
      </c>
      <c r="I15" s="3" t="s">
        <v>16</v>
      </c>
      <c r="J15" s="4">
        <f t="shared" si="0"/>
        <v>46265</v>
      </c>
      <c r="K15" s="12" t="s">
        <v>407</v>
      </c>
    </row>
    <row r="16" spans="1:11" ht="15.75" customHeight="1" x14ac:dyDescent="0.3">
      <c r="A16" s="3">
        <v>8</v>
      </c>
      <c r="B16" s="3" t="s">
        <v>408</v>
      </c>
      <c r="C16" s="47">
        <v>1300</v>
      </c>
      <c r="D16" s="4">
        <f t="shared" si="1"/>
        <v>46264</v>
      </c>
      <c r="E16" s="13">
        <v>0</v>
      </c>
      <c r="F16" s="12" t="s">
        <v>23</v>
      </c>
      <c r="G16" s="41">
        <v>4989</v>
      </c>
      <c r="H16" s="14">
        <v>0</v>
      </c>
      <c r="I16" s="3" t="s">
        <v>16</v>
      </c>
      <c r="J16" s="4">
        <f t="shared" si="0"/>
        <v>46265</v>
      </c>
      <c r="K16" s="12" t="s">
        <v>73</v>
      </c>
    </row>
    <row r="17" spans="1:11" ht="15.75" customHeight="1" x14ac:dyDescent="0.3">
      <c r="A17" s="3">
        <v>9</v>
      </c>
      <c r="B17" s="3" t="s">
        <v>409</v>
      </c>
      <c r="C17" s="47">
        <v>1285</v>
      </c>
      <c r="D17" s="4">
        <f t="shared" si="1"/>
        <v>46264</v>
      </c>
      <c r="E17" s="13">
        <v>0</v>
      </c>
      <c r="F17" s="12" t="s">
        <v>23</v>
      </c>
      <c r="G17" s="41">
        <v>8757</v>
      </c>
      <c r="H17" s="14">
        <v>0</v>
      </c>
      <c r="I17" s="3" t="s">
        <v>16</v>
      </c>
      <c r="J17" s="4">
        <f t="shared" si="0"/>
        <v>46265</v>
      </c>
      <c r="K17" s="12" t="s">
        <v>410</v>
      </c>
    </row>
    <row r="18" spans="1:11" ht="15.75" customHeight="1" x14ac:dyDescent="0.3">
      <c r="A18" s="3">
        <v>10</v>
      </c>
      <c r="B18" s="3" t="s">
        <v>411</v>
      </c>
      <c r="C18" s="47">
        <v>1900</v>
      </c>
      <c r="D18" s="4">
        <f t="shared" si="1"/>
        <v>46264</v>
      </c>
      <c r="E18" s="13">
        <v>0</v>
      </c>
      <c r="F18" s="12" t="s">
        <v>23</v>
      </c>
      <c r="G18" s="41">
        <v>3354</v>
      </c>
      <c r="H18" s="14">
        <v>0</v>
      </c>
      <c r="I18" s="3" t="s">
        <v>16</v>
      </c>
      <c r="J18" s="4">
        <f t="shared" si="0"/>
        <v>46265</v>
      </c>
      <c r="K18" s="12" t="s">
        <v>28</v>
      </c>
    </row>
    <row r="19" spans="1:11" ht="18.75" customHeight="1" x14ac:dyDescent="0.35">
      <c r="A19" s="3"/>
      <c r="B19" s="15" t="s">
        <v>20</v>
      </c>
      <c r="C19" s="49">
        <f>SUM(C9:C18)</f>
        <v>103160</v>
      </c>
      <c r="D19" s="3"/>
      <c r="E19" s="3"/>
      <c r="F19" s="12"/>
      <c r="G19" s="12"/>
      <c r="H19" s="10"/>
      <c r="I19" s="3"/>
      <c r="J19" s="3"/>
      <c r="K19" s="3"/>
    </row>
    <row r="20" spans="1:11" ht="24.75" customHeight="1" x14ac:dyDescent="0.6">
      <c r="A20" s="71" t="s">
        <v>39</v>
      </c>
      <c r="B20" s="63"/>
      <c r="C20" s="63"/>
      <c r="D20" s="63"/>
      <c r="E20" s="63"/>
      <c r="F20" s="63"/>
      <c r="G20" s="63"/>
      <c r="H20" s="63"/>
      <c r="I20" s="63"/>
      <c r="J20" s="63"/>
      <c r="K20" s="64"/>
    </row>
    <row r="21" spans="1:11" ht="18.75" customHeight="1" x14ac:dyDescent="0.35">
      <c r="A21" s="16" t="s">
        <v>3</v>
      </c>
      <c r="B21" s="16" t="s">
        <v>40</v>
      </c>
      <c r="C21" s="40" t="s">
        <v>5</v>
      </c>
      <c r="D21" s="1" t="s">
        <v>41</v>
      </c>
      <c r="E21" s="16" t="s">
        <v>7</v>
      </c>
      <c r="F21" s="16" t="s">
        <v>8</v>
      </c>
      <c r="G21" s="16" t="s">
        <v>42</v>
      </c>
      <c r="H21" s="17" t="s">
        <v>43</v>
      </c>
      <c r="I21" s="16" t="s">
        <v>11</v>
      </c>
      <c r="J21" s="16" t="s">
        <v>44</v>
      </c>
      <c r="K21" s="18" t="s">
        <v>45</v>
      </c>
    </row>
    <row r="22" spans="1:11" ht="15.75" customHeight="1" x14ac:dyDescent="0.3">
      <c r="A22" s="7">
        <v>1</v>
      </c>
      <c r="B22" s="7" t="s">
        <v>412</v>
      </c>
      <c r="C22" s="42">
        <v>5600</v>
      </c>
      <c r="D22" s="4">
        <v>46264</v>
      </c>
      <c r="E22" s="7"/>
      <c r="F22" s="7"/>
      <c r="G22" s="19">
        <v>5426</v>
      </c>
      <c r="H22" s="20"/>
      <c r="I22" s="21"/>
      <c r="J22" s="4">
        <v>46264</v>
      </c>
      <c r="K22" s="12" t="s">
        <v>413</v>
      </c>
    </row>
    <row r="23" spans="1:11" ht="15.75" customHeight="1" x14ac:dyDescent="0.3">
      <c r="A23" s="7">
        <v>2</v>
      </c>
      <c r="B23" s="7" t="s">
        <v>47</v>
      </c>
      <c r="C23" s="42">
        <v>22126</v>
      </c>
      <c r="D23" s="4">
        <v>46264</v>
      </c>
      <c r="E23" s="7"/>
      <c r="F23" s="7"/>
      <c r="G23" s="19">
        <v>81</v>
      </c>
      <c r="H23" s="20"/>
      <c r="I23" s="21"/>
      <c r="J23" s="4">
        <v>46264</v>
      </c>
      <c r="K23" s="12" t="s">
        <v>28</v>
      </c>
    </row>
    <row r="24" spans="1:11" ht="15.75" customHeight="1" x14ac:dyDescent="0.3">
      <c r="A24" s="7">
        <v>3</v>
      </c>
      <c r="B24" s="7" t="s">
        <v>262</v>
      </c>
      <c r="C24" s="42">
        <v>1200</v>
      </c>
      <c r="D24" s="4">
        <v>46264</v>
      </c>
      <c r="E24" s="7"/>
      <c r="F24" s="7"/>
      <c r="G24" s="19">
        <v>977</v>
      </c>
      <c r="H24" s="20"/>
      <c r="I24" s="21"/>
      <c r="J24" s="4">
        <v>46264</v>
      </c>
      <c r="K24" s="12" t="s">
        <v>414</v>
      </c>
    </row>
    <row r="25" spans="1:11" ht="18.75" customHeight="1" x14ac:dyDescent="0.3">
      <c r="A25" s="7"/>
      <c r="B25" s="22" t="s">
        <v>52</v>
      </c>
      <c r="C25" s="50">
        <f>SUM(C22:C24)</f>
        <v>28926</v>
      </c>
      <c r="D25" s="3"/>
      <c r="E25" s="7"/>
      <c r="F25" s="7"/>
      <c r="G25" s="7"/>
      <c r="H25" s="23">
        <v>0</v>
      </c>
      <c r="I25" s="21"/>
      <c r="J25" s="3"/>
      <c r="K25" s="24"/>
    </row>
    <row r="26" spans="1:11" x14ac:dyDescent="0.3">
      <c r="C26" s="25"/>
      <c r="H26" s="25"/>
    </row>
    <row r="27" spans="1:11" ht="16.5" customHeight="1" x14ac:dyDescent="0.35">
      <c r="B27" s="26" t="s">
        <v>53</v>
      </c>
      <c r="C27" s="43">
        <f>SUM(C13,C14,C15,C16)</f>
        <v>81490</v>
      </c>
      <c r="E27" s="27"/>
      <c r="F27" s="27"/>
      <c r="G27" s="66"/>
      <c r="H27" s="67"/>
    </row>
    <row r="28" spans="1:11" ht="16.5" customHeight="1" x14ac:dyDescent="0.35">
      <c r="B28" s="28" t="s">
        <v>54</v>
      </c>
      <c r="C28" s="44">
        <f>SUM(C9,C10,C12,C17,C18)</f>
        <v>3870</v>
      </c>
      <c r="E28" s="29"/>
      <c r="F28" s="29"/>
      <c r="G28" s="30" t="s">
        <v>55</v>
      </c>
      <c r="H28" s="31"/>
    </row>
    <row r="29" spans="1:11" ht="24" customHeight="1" x14ac:dyDescent="0.45">
      <c r="B29" s="32" t="s">
        <v>415</v>
      </c>
      <c r="C29" s="45">
        <f>SUM(C11)</f>
        <v>17800</v>
      </c>
      <c r="E29" s="33" t="s">
        <v>57</v>
      </c>
      <c r="F29" s="34"/>
      <c r="G29" s="35"/>
      <c r="H29" s="36"/>
      <c r="I29" s="35"/>
      <c r="J29" s="37"/>
    </row>
    <row r="30" spans="1:11" ht="18.75" customHeight="1" x14ac:dyDescent="0.35">
      <c r="B30" s="38" t="s">
        <v>20</v>
      </c>
      <c r="C30" s="46">
        <f>SUM(C27:C29)</f>
        <v>103160</v>
      </c>
      <c r="G30" s="30"/>
      <c r="H30" s="31"/>
      <c r="I30" s="30"/>
      <c r="J30" s="30"/>
    </row>
  </sheetData>
  <mergeCells count="6">
    <mergeCell ref="A20:K20"/>
    <mergeCell ref="A3:K3"/>
    <mergeCell ref="G27:H27"/>
    <mergeCell ref="A2:K2"/>
    <mergeCell ref="A1:K1"/>
    <mergeCell ref="A8:K8"/>
  </mergeCells>
  <pageMargins left="0.59055118110236215" right="0" top="0.39370078740157483" bottom="0" header="0" footer="0"/>
  <pageSetup scale="83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7"/>
  <sheetViews>
    <sheetView topLeftCell="A21" workbookViewId="0">
      <selection activeCell="M26" sqref="M26"/>
    </sheetView>
  </sheetViews>
  <sheetFormatPr defaultRowHeight="14.4" x14ac:dyDescent="0.3"/>
  <cols>
    <col min="1" max="1" width="4.44140625" bestFit="1" customWidth="1"/>
    <col min="2" max="2" width="23.8867187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0.109375" bestFit="1" customWidth="1"/>
    <col min="15" max="15" width="13.109375" bestFit="1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416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417</v>
      </c>
      <c r="C5" s="47">
        <v>159415</v>
      </c>
      <c r="D5" s="4">
        <v>46265</v>
      </c>
      <c r="E5" s="5">
        <v>0</v>
      </c>
      <c r="F5" s="3" t="s">
        <v>15</v>
      </c>
      <c r="G5" s="39">
        <v>3721</v>
      </c>
      <c r="H5" s="6">
        <v>0</v>
      </c>
      <c r="I5" s="3" t="s">
        <v>16</v>
      </c>
      <c r="J5" s="4">
        <f>+D5-1</f>
        <v>46264</v>
      </c>
      <c r="K5" s="7" t="s">
        <v>418</v>
      </c>
    </row>
    <row r="6" spans="1:11" ht="15.75" customHeight="1" x14ac:dyDescent="0.3">
      <c r="A6" s="3">
        <v>2</v>
      </c>
      <c r="B6" s="3" t="s">
        <v>14</v>
      </c>
      <c r="C6" s="47">
        <v>41000</v>
      </c>
      <c r="D6" s="4">
        <v>46265</v>
      </c>
      <c r="E6" s="5">
        <v>0</v>
      </c>
      <c r="F6" s="3" t="s">
        <v>15</v>
      </c>
      <c r="G6" s="39">
        <v>9845</v>
      </c>
      <c r="H6" s="6">
        <v>0</v>
      </c>
      <c r="I6" s="3" t="s">
        <v>16</v>
      </c>
      <c r="J6" s="4">
        <f>+D6-1</f>
        <v>46264</v>
      </c>
      <c r="K6" s="7" t="s">
        <v>17</v>
      </c>
    </row>
    <row r="7" spans="1:11" ht="15.75" customHeight="1" x14ac:dyDescent="0.3">
      <c r="A7" s="3">
        <v>3</v>
      </c>
      <c r="B7" s="3" t="s">
        <v>14</v>
      </c>
      <c r="C7" s="47">
        <v>32500</v>
      </c>
      <c r="D7" s="4">
        <v>46265</v>
      </c>
      <c r="E7" s="5">
        <v>0</v>
      </c>
      <c r="F7" s="3" t="s">
        <v>15</v>
      </c>
      <c r="G7" s="39">
        <v>9914</v>
      </c>
      <c r="H7" s="6">
        <v>0</v>
      </c>
      <c r="I7" s="3" t="s">
        <v>16</v>
      </c>
      <c r="J7" s="4">
        <f>+D7-1</f>
        <v>46264</v>
      </c>
      <c r="K7" s="7" t="s">
        <v>17</v>
      </c>
    </row>
    <row r="8" spans="1:11" ht="18.75" customHeight="1" x14ac:dyDescent="0.35">
      <c r="A8" s="8"/>
      <c r="B8" s="9" t="s">
        <v>20</v>
      </c>
      <c r="C8" s="48">
        <f>SUM(C5:C7)</f>
        <v>232915</v>
      </c>
      <c r="D8" s="3"/>
      <c r="E8" s="11"/>
      <c r="F8" s="8"/>
      <c r="G8" s="12"/>
      <c r="H8" s="10">
        <f>SUM(H5:H5)</f>
        <v>0</v>
      </c>
      <c r="I8" s="8"/>
      <c r="J8" s="8"/>
      <c r="K8" s="8"/>
    </row>
    <row r="10" spans="1:11" ht="24" customHeight="1" x14ac:dyDescent="0.45">
      <c r="A10" s="70" t="s">
        <v>21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</row>
    <row r="11" spans="1:11" ht="15.75" customHeight="1" x14ac:dyDescent="0.3">
      <c r="A11" s="3">
        <v>1</v>
      </c>
      <c r="B11" s="3" t="s">
        <v>419</v>
      </c>
      <c r="C11" s="47">
        <v>535</v>
      </c>
      <c r="D11" s="4">
        <v>46265</v>
      </c>
      <c r="E11" s="13">
        <v>0</v>
      </c>
      <c r="F11" s="12" t="s">
        <v>23</v>
      </c>
      <c r="G11" s="41">
        <v>6686</v>
      </c>
      <c r="H11" s="14">
        <v>0</v>
      </c>
      <c r="I11" s="3" t="s">
        <v>24</v>
      </c>
      <c r="J11" s="4">
        <f t="shared" ref="J11:J22" si="0">+D11+1</f>
        <v>46266</v>
      </c>
      <c r="K11" s="12" t="s">
        <v>73</v>
      </c>
    </row>
    <row r="12" spans="1:11" ht="15.75" customHeight="1" x14ac:dyDescent="0.3">
      <c r="A12" s="3">
        <v>2</v>
      </c>
      <c r="B12" s="3" t="s">
        <v>420</v>
      </c>
      <c r="C12" s="47">
        <v>20</v>
      </c>
      <c r="D12" s="4">
        <f t="shared" ref="D12:D22" si="1">+D11</f>
        <v>46265</v>
      </c>
      <c r="E12" s="13">
        <v>0</v>
      </c>
      <c r="F12" s="12" t="s">
        <v>23</v>
      </c>
      <c r="G12" s="41">
        <v>3091</v>
      </c>
      <c r="H12" s="14">
        <v>0</v>
      </c>
      <c r="I12" s="3" t="s">
        <v>16</v>
      </c>
      <c r="J12" s="4">
        <f t="shared" si="0"/>
        <v>46266</v>
      </c>
      <c r="K12" s="12" t="s">
        <v>28</v>
      </c>
    </row>
    <row r="13" spans="1:11" ht="15.75" customHeight="1" x14ac:dyDescent="0.3">
      <c r="A13" s="3">
        <v>3</v>
      </c>
      <c r="B13" s="3" t="s">
        <v>421</v>
      </c>
      <c r="C13" s="47">
        <v>3848</v>
      </c>
      <c r="D13" s="4">
        <f t="shared" si="1"/>
        <v>46265</v>
      </c>
      <c r="E13" s="13">
        <v>0</v>
      </c>
      <c r="F13" s="12" t="s">
        <v>23</v>
      </c>
      <c r="G13" s="41">
        <v>9966</v>
      </c>
      <c r="H13" s="14">
        <v>0</v>
      </c>
      <c r="I13" s="3" t="s">
        <v>16</v>
      </c>
      <c r="J13" s="4">
        <f t="shared" si="0"/>
        <v>46266</v>
      </c>
      <c r="K13" s="12" t="s">
        <v>422</v>
      </c>
    </row>
    <row r="14" spans="1:11" ht="15.75" customHeight="1" x14ac:dyDescent="0.3">
      <c r="A14" s="3">
        <v>4</v>
      </c>
      <c r="B14" s="3" t="s">
        <v>423</v>
      </c>
      <c r="C14" s="47">
        <v>515</v>
      </c>
      <c r="D14" s="4">
        <f t="shared" si="1"/>
        <v>46265</v>
      </c>
      <c r="E14" s="13">
        <v>0</v>
      </c>
      <c r="F14" s="12" t="s">
        <v>23</v>
      </c>
      <c r="G14" s="41">
        <v>511</v>
      </c>
      <c r="H14" s="14">
        <v>0</v>
      </c>
      <c r="I14" s="3" t="s">
        <v>16</v>
      </c>
      <c r="J14" s="4">
        <f t="shared" si="0"/>
        <v>46266</v>
      </c>
      <c r="K14" s="12" t="s">
        <v>28</v>
      </c>
    </row>
    <row r="15" spans="1:11" ht="15.75" customHeight="1" x14ac:dyDescent="0.3">
      <c r="A15" s="3">
        <v>5</v>
      </c>
      <c r="B15" s="3" t="s">
        <v>424</v>
      </c>
      <c r="C15" s="47">
        <v>10</v>
      </c>
      <c r="D15" s="4">
        <f t="shared" si="1"/>
        <v>46265</v>
      </c>
      <c r="E15" s="13">
        <v>0</v>
      </c>
      <c r="F15" s="12" t="s">
        <v>23</v>
      </c>
      <c r="G15" s="41">
        <v>2154</v>
      </c>
      <c r="H15" s="14">
        <v>0</v>
      </c>
      <c r="I15" s="3" t="s">
        <v>16</v>
      </c>
      <c r="J15" s="4">
        <f t="shared" si="0"/>
        <v>46266</v>
      </c>
      <c r="K15" s="12" t="s">
        <v>28</v>
      </c>
    </row>
    <row r="16" spans="1:11" ht="15.75" customHeight="1" x14ac:dyDescent="0.3">
      <c r="A16" s="3">
        <v>6</v>
      </c>
      <c r="B16" s="3" t="s">
        <v>425</v>
      </c>
      <c r="C16" s="47">
        <v>1000</v>
      </c>
      <c r="D16" s="4">
        <f t="shared" si="1"/>
        <v>46265</v>
      </c>
      <c r="E16" s="13">
        <v>0</v>
      </c>
      <c r="F16" s="12" t="s">
        <v>23</v>
      </c>
      <c r="G16" s="41">
        <v>4819</v>
      </c>
      <c r="H16" s="14">
        <v>0</v>
      </c>
      <c r="I16" s="3" t="s">
        <v>16</v>
      </c>
      <c r="J16" s="4">
        <f t="shared" si="0"/>
        <v>46266</v>
      </c>
      <c r="K16" s="12" t="s">
        <v>426</v>
      </c>
    </row>
    <row r="17" spans="1:15" ht="15.75" customHeight="1" x14ac:dyDescent="0.3">
      <c r="A17" s="3">
        <v>7</v>
      </c>
      <c r="B17" s="3" t="s">
        <v>405</v>
      </c>
      <c r="C17" s="47">
        <v>5355</v>
      </c>
      <c r="D17" s="4">
        <f t="shared" si="1"/>
        <v>46265</v>
      </c>
      <c r="E17" s="13">
        <v>0</v>
      </c>
      <c r="F17" s="12" t="s">
        <v>23</v>
      </c>
      <c r="G17" s="41">
        <v>4385</v>
      </c>
      <c r="H17" s="14">
        <v>0</v>
      </c>
      <c r="I17" s="3" t="s">
        <v>16</v>
      </c>
      <c r="J17" s="4">
        <f t="shared" si="0"/>
        <v>46266</v>
      </c>
      <c r="K17" s="12" t="s">
        <v>28</v>
      </c>
      <c r="O17" s="51"/>
    </row>
    <row r="18" spans="1:15" ht="15.75" customHeight="1" x14ac:dyDescent="0.3">
      <c r="A18" s="3">
        <v>8</v>
      </c>
      <c r="B18" s="3" t="s">
        <v>33</v>
      </c>
      <c r="C18" s="47">
        <v>1700</v>
      </c>
      <c r="D18" s="4">
        <f t="shared" si="1"/>
        <v>46265</v>
      </c>
      <c r="E18" s="13">
        <v>0</v>
      </c>
      <c r="F18" s="12" t="s">
        <v>23</v>
      </c>
      <c r="G18" s="41">
        <v>512</v>
      </c>
      <c r="H18" s="14">
        <v>0</v>
      </c>
      <c r="I18" s="3" t="s">
        <v>16</v>
      </c>
      <c r="J18" s="4">
        <f t="shared" si="0"/>
        <v>46266</v>
      </c>
      <c r="K18" s="12" t="s">
        <v>427</v>
      </c>
    </row>
    <row r="19" spans="1:15" ht="15.75" customHeight="1" x14ac:dyDescent="0.3">
      <c r="A19" s="3">
        <v>9</v>
      </c>
      <c r="B19" s="3" t="s">
        <v>428</v>
      </c>
      <c r="C19" s="47">
        <v>3300</v>
      </c>
      <c r="D19" s="4">
        <f t="shared" si="1"/>
        <v>46265</v>
      </c>
      <c r="E19" s="13">
        <v>0</v>
      </c>
      <c r="F19" s="12" t="s">
        <v>23</v>
      </c>
      <c r="G19" s="41">
        <v>6684</v>
      </c>
      <c r="H19" s="14">
        <v>0</v>
      </c>
      <c r="I19" s="3" t="s">
        <v>16</v>
      </c>
      <c r="J19" s="4">
        <f t="shared" si="0"/>
        <v>46266</v>
      </c>
      <c r="K19" s="12" t="s">
        <v>28</v>
      </c>
    </row>
    <row r="20" spans="1:15" ht="15.75" customHeight="1" x14ac:dyDescent="0.3">
      <c r="A20" s="3">
        <v>10</v>
      </c>
      <c r="B20" s="3" t="s">
        <v>429</v>
      </c>
      <c r="C20" s="47">
        <v>5700</v>
      </c>
      <c r="D20" s="4">
        <f t="shared" si="1"/>
        <v>46265</v>
      </c>
      <c r="E20" s="13">
        <v>0</v>
      </c>
      <c r="F20" s="12" t="s">
        <v>23</v>
      </c>
      <c r="G20" s="41">
        <v>2611</v>
      </c>
      <c r="H20" s="14">
        <v>0</v>
      </c>
      <c r="I20" s="3" t="s">
        <v>16</v>
      </c>
      <c r="J20" s="4">
        <f t="shared" si="0"/>
        <v>46266</v>
      </c>
      <c r="K20" s="12" t="s">
        <v>76</v>
      </c>
    </row>
    <row r="21" spans="1:15" ht="15.75" customHeight="1" x14ac:dyDescent="0.3">
      <c r="A21" s="3">
        <v>11</v>
      </c>
      <c r="B21" s="3" t="s">
        <v>147</v>
      </c>
      <c r="C21" s="47">
        <v>1100</v>
      </c>
      <c r="D21" s="4">
        <f t="shared" si="1"/>
        <v>46265</v>
      </c>
      <c r="E21" s="13">
        <v>0</v>
      </c>
      <c r="F21" s="12" t="s">
        <v>23</v>
      </c>
      <c r="G21" s="41">
        <v>6600</v>
      </c>
      <c r="H21" s="14">
        <v>0</v>
      </c>
      <c r="I21" s="3" t="s">
        <v>16</v>
      </c>
      <c r="J21" s="4">
        <f t="shared" si="0"/>
        <v>46266</v>
      </c>
      <c r="K21" s="12" t="s">
        <v>70</v>
      </c>
    </row>
    <row r="22" spans="1:15" ht="15.75" customHeight="1" x14ac:dyDescent="0.3">
      <c r="A22" s="3">
        <v>12</v>
      </c>
      <c r="B22" s="3" t="s">
        <v>147</v>
      </c>
      <c r="C22" s="47">
        <v>2000</v>
      </c>
      <c r="D22" s="4">
        <f t="shared" si="1"/>
        <v>46265</v>
      </c>
      <c r="E22" s="13">
        <v>0</v>
      </c>
      <c r="F22" s="12" t="s">
        <v>23</v>
      </c>
      <c r="G22" s="41">
        <v>266</v>
      </c>
      <c r="H22" s="14">
        <v>0</v>
      </c>
      <c r="I22" s="3" t="s">
        <v>16</v>
      </c>
      <c r="J22" s="4">
        <f t="shared" si="0"/>
        <v>46266</v>
      </c>
      <c r="K22" s="12" t="s">
        <v>25</v>
      </c>
    </row>
    <row r="23" spans="1:15" ht="18.75" customHeight="1" x14ac:dyDescent="0.35">
      <c r="A23" s="3"/>
      <c r="B23" s="15" t="s">
        <v>20</v>
      </c>
      <c r="C23" s="49">
        <f>SUM(C11:C22)</f>
        <v>25083</v>
      </c>
      <c r="D23" s="3"/>
      <c r="E23" s="3"/>
      <c r="F23" s="12"/>
      <c r="G23" s="12"/>
      <c r="H23" s="10"/>
      <c r="I23" s="3"/>
      <c r="J23" s="3"/>
      <c r="K23" s="3"/>
    </row>
    <row r="24" spans="1:15" ht="24.75" customHeight="1" x14ac:dyDescent="0.6">
      <c r="A24" s="71" t="s">
        <v>39</v>
      </c>
      <c r="B24" s="63"/>
      <c r="C24" s="63"/>
      <c r="D24" s="63"/>
      <c r="E24" s="63"/>
      <c r="F24" s="63"/>
      <c r="G24" s="63"/>
      <c r="H24" s="63"/>
      <c r="I24" s="63"/>
      <c r="J24" s="63"/>
      <c r="K24" s="64"/>
    </row>
    <row r="25" spans="1:15" ht="18.75" customHeight="1" x14ac:dyDescent="0.35">
      <c r="A25" s="16" t="s">
        <v>3</v>
      </c>
      <c r="B25" s="16" t="s">
        <v>40</v>
      </c>
      <c r="C25" s="40" t="s">
        <v>5</v>
      </c>
      <c r="D25" s="1" t="s">
        <v>41</v>
      </c>
      <c r="E25" s="16" t="s">
        <v>7</v>
      </c>
      <c r="F25" s="16" t="s">
        <v>8</v>
      </c>
      <c r="G25" s="16" t="s">
        <v>42</v>
      </c>
      <c r="H25" s="17" t="s">
        <v>43</v>
      </c>
      <c r="I25" s="16" t="s">
        <v>11</v>
      </c>
      <c r="J25" s="16" t="s">
        <v>44</v>
      </c>
      <c r="K25" s="18" t="s">
        <v>45</v>
      </c>
    </row>
    <row r="26" spans="1:15" ht="15.75" customHeight="1" x14ac:dyDescent="0.3">
      <c r="A26" s="7">
        <v>1</v>
      </c>
      <c r="B26" s="7" t="s">
        <v>47</v>
      </c>
      <c r="C26" s="42">
        <v>30006</v>
      </c>
      <c r="D26" s="4">
        <v>46265</v>
      </c>
      <c r="E26" s="7"/>
      <c r="F26" s="7"/>
      <c r="G26" s="19">
        <v>29</v>
      </c>
      <c r="H26" s="20"/>
      <c r="I26" s="21"/>
      <c r="J26" s="4">
        <v>46265</v>
      </c>
      <c r="K26" s="12" t="s">
        <v>28</v>
      </c>
    </row>
    <row r="27" spans="1:15" ht="15.75" customHeight="1" x14ac:dyDescent="0.3">
      <c r="A27" s="7">
        <v>2</v>
      </c>
      <c r="B27" s="7" t="s">
        <v>430</v>
      </c>
      <c r="C27" s="42">
        <v>2810</v>
      </c>
      <c r="D27" s="4">
        <v>46265</v>
      </c>
      <c r="E27" s="7"/>
      <c r="F27" s="7"/>
      <c r="G27" s="19">
        <v>8459</v>
      </c>
      <c r="H27" s="20"/>
      <c r="I27" s="21"/>
      <c r="J27" s="4">
        <v>46265</v>
      </c>
      <c r="K27" s="12" t="s">
        <v>355</v>
      </c>
    </row>
    <row r="28" spans="1:15" ht="15.75" customHeight="1" x14ac:dyDescent="0.3">
      <c r="A28" s="7">
        <v>3</v>
      </c>
      <c r="B28" s="7" t="s">
        <v>431</v>
      </c>
      <c r="C28" s="42">
        <v>69550</v>
      </c>
      <c r="D28" s="4">
        <v>46265</v>
      </c>
      <c r="E28" s="7"/>
      <c r="F28" s="7"/>
      <c r="G28" s="19" t="s">
        <v>432</v>
      </c>
      <c r="H28" s="20"/>
      <c r="I28" s="21"/>
      <c r="J28" s="4">
        <v>46265</v>
      </c>
      <c r="K28" s="12" t="s">
        <v>433</v>
      </c>
    </row>
    <row r="29" spans="1:15" ht="15.75" customHeight="1" x14ac:dyDescent="0.3">
      <c r="A29" s="7">
        <v>4</v>
      </c>
      <c r="B29" s="7" t="s">
        <v>434</v>
      </c>
      <c r="C29" s="42">
        <v>99613</v>
      </c>
      <c r="D29" s="4">
        <v>46265</v>
      </c>
      <c r="E29" s="7"/>
      <c r="F29" s="7"/>
      <c r="G29" s="19">
        <v>121</v>
      </c>
      <c r="H29" s="20"/>
      <c r="I29" s="21"/>
      <c r="J29" s="4">
        <v>46265</v>
      </c>
      <c r="K29" s="12" t="s">
        <v>435</v>
      </c>
    </row>
    <row r="30" spans="1:15" ht="15.75" customHeight="1" x14ac:dyDescent="0.3">
      <c r="A30" s="7">
        <v>5</v>
      </c>
      <c r="B30" s="7" t="s">
        <v>46</v>
      </c>
      <c r="C30" s="42">
        <v>35000</v>
      </c>
      <c r="D30" s="4">
        <v>46265</v>
      </c>
      <c r="E30" s="7"/>
      <c r="F30" s="7"/>
      <c r="G30" s="19">
        <v>5208</v>
      </c>
      <c r="H30" s="20"/>
      <c r="I30" s="21"/>
      <c r="J30" s="4">
        <v>46265</v>
      </c>
      <c r="K30" s="12" t="s">
        <v>28</v>
      </c>
    </row>
    <row r="31" spans="1:15" ht="15.75" customHeight="1" x14ac:dyDescent="0.3">
      <c r="A31" s="7">
        <v>6</v>
      </c>
      <c r="B31" s="7" t="s">
        <v>436</v>
      </c>
      <c r="C31" s="42">
        <v>20000</v>
      </c>
      <c r="D31" s="4">
        <v>46265</v>
      </c>
      <c r="E31" s="7"/>
      <c r="F31" s="7"/>
      <c r="G31" s="19">
        <v>4212</v>
      </c>
      <c r="H31" s="20"/>
      <c r="I31" s="21"/>
      <c r="J31" s="4">
        <v>46265</v>
      </c>
      <c r="K31" s="12" t="s">
        <v>437</v>
      </c>
    </row>
    <row r="32" spans="1:15" ht="18.75" customHeight="1" x14ac:dyDescent="0.3">
      <c r="A32" s="7"/>
      <c r="B32" s="22" t="s">
        <v>52</v>
      </c>
      <c r="C32" s="50">
        <f>SUM(C26:C31)</f>
        <v>256979</v>
      </c>
      <c r="D32" s="3"/>
      <c r="E32" s="7"/>
      <c r="F32" s="7"/>
      <c r="G32" s="7"/>
      <c r="H32" s="23">
        <v>0</v>
      </c>
      <c r="I32" s="21"/>
      <c r="J32" s="3"/>
      <c r="K32" s="24"/>
    </row>
    <row r="33" spans="2:10" x14ac:dyDescent="0.3">
      <c r="C33" s="25"/>
      <c r="H33" s="25"/>
    </row>
    <row r="34" spans="2:10" ht="16.5" customHeight="1" x14ac:dyDescent="0.35">
      <c r="B34" s="26" t="s">
        <v>53</v>
      </c>
      <c r="C34" s="43">
        <f>SUM(C11,C13,C18,C20,C21,C22)</f>
        <v>14883</v>
      </c>
      <c r="E34" s="27"/>
      <c r="F34" s="27"/>
      <c r="G34" s="66"/>
      <c r="H34" s="67"/>
    </row>
    <row r="35" spans="2:10" ht="16.5" customHeight="1" x14ac:dyDescent="0.35">
      <c r="B35" s="28" t="s">
        <v>54</v>
      </c>
      <c r="C35" s="44">
        <f>SUM(C12,C14,C15,C17,C19)</f>
        <v>9200</v>
      </c>
      <c r="E35" s="29"/>
      <c r="F35" s="29"/>
      <c r="G35" s="30" t="s">
        <v>55</v>
      </c>
      <c r="H35" s="31"/>
    </row>
    <row r="36" spans="2:10" ht="24" customHeight="1" x14ac:dyDescent="0.45">
      <c r="B36" s="32" t="s">
        <v>426</v>
      </c>
      <c r="C36" s="45">
        <f>SUM(C16)</f>
        <v>1000</v>
      </c>
      <c r="E36" s="33" t="s">
        <v>57</v>
      </c>
      <c r="F36" s="34"/>
      <c r="G36" s="35"/>
      <c r="H36" s="36"/>
      <c r="I36" s="35"/>
      <c r="J36" s="37"/>
    </row>
    <row r="37" spans="2:10" ht="18.75" customHeight="1" x14ac:dyDescent="0.35">
      <c r="B37" s="38" t="s">
        <v>20</v>
      </c>
      <c r="C37" s="46">
        <f>SUM(C34:C36)</f>
        <v>25083</v>
      </c>
      <c r="G37" s="30"/>
      <c r="H37" s="31"/>
      <c r="I37" s="30"/>
      <c r="J37" s="30"/>
    </row>
  </sheetData>
  <mergeCells count="6">
    <mergeCell ref="A1:K1"/>
    <mergeCell ref="G34:H34"/>
    <mergeCell ref="A3:K3"/>
    <mergeCell ref="A24:K24"/>
    <mergeCell ref="A2:K2"/>
    <mergeCell ref="A10:K1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K31"/>
  <sheetViews>
    <sheetView topLeftCell="A14" workbookViewId="0">
      <selection activeCell="E16" sqref="E16"/>
    </sheetView>
  </sheetViews>
  <sheetFormatPr defaultRowHeight="14.4" x14ac:dyDescent="0.3"/>
  <cols>
    <col min="1" max="1" width="4.44140625" bestFit="1" customWidth="1"/>
    <col min="2" max="2" width="20.6640625" bestFit="1" customWidth="1"/>
    <col min="3" max="3" width="14.441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34.332031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438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84</v>
      </c>
      <c r="C5" s="47">
        <v>0</v>
      </c>
      <c r="D5" s="4">
        <v>46266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46265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439</v>
      </c>
      <c r="C9" s="47">
        <v>505</v>
      </c>
      <c r="D9" s="4">
        <v>46266</v>
      </c>
      <c r="E9" s="13">
        <v>0</v>
      </c>
      <c r="F9" s="12" t="s">
        <v>23</v>
      </c>
      <c r="G9" s="41">
        <v>4658</v>
      </c>
      <c r="H9" s="14">
        <v>0</v>
      </c>
      <c r="I9" s="3" t="s">
        <v>24</v>
      </c>
      <c r="J9" s="4">
        <f t="shared" ref="J9:J18" si="0">+D9+1</f>
        <v>46267</v>
      </c>
      <c r="K9" s="12" t="s">
        <v>28</v>
      </c>
    </row>
    <row r="10" spans="1:11" ht="15.75" customHeight="1" x14ac:dyDescent="0.3">
      <c r="A10" s="3">
        <v>2</v>
      </c>
      <c r="B10" s="3" t="s">
        <v>406</v>
      </c>
      <c r="C10" s="47">
        <v>2000</v>
      </c>
      <c r="D10" s="4">
        <f t="shared" ref="D10:D18" si="1">+D9</f>
        <v>46266</v>
      </c>
      <c r="E10" s="13">
        <v>0</v>
      </c>
      <c r="F10" s="12" t="s">
        <v>23</v>
      </c>
      <c r="G10" s="41">
        <v>7572</v>
      </c>
      <c r="H10" s="14">
        <v>0</v>
      </c>
      <c r="I10" s="3" t="s">
        <v>16</v>
      </c>
      <c r="J10" s="4">
        <f t="shared" si="0"/>
        <v>46267</v>
      </c>
      <c r="K10" s="12" t="s">
        <v>440</v>
      </c>
    </row>
    <row r="11" spans="1:11" ht="15.75" customHeight="1" x14ac:dyDescent="0.3">
      <c r="A11" s="3">
        <v>3</v>
      </c>
      <c r="B11" s="3" t="s">
        <v>406</v>
      </c>
      <c r="C11" s="47">
        <v>2000</v>
      </c>
      <c r="D11" s="4">
        <f t="shared" si="1"/>
        <v>46266</v>
      </c>
      <c r="E11" s="13">
        <v>0</v>
      </c>
      <c r="F11" s="12" t="s">
        <v>23</v>
      </c>
      <c r="G11" s="41">
        <v>8770</v>
      </c>
      <c r="H11" s="14">
        <v>0</v>
      </c>
      <c r="I11" s="3" t="s">
        <v>16</v>
      </c>
      <c r="J11" s="4">
        <f t="shared" si="0"/>
        <v>46267</v>
      </c>
      <c r="K11" s="12" t="s">
        <v>440</v>
      </c>
    </row>
    <row r="12" spans="1:11" ht="15.75" customHeight="1" x14ac:dyDescent="0.3">
      <c r="A12" s="3">
        <v>4</v>
      </c>
      <c r="B12" s="3" t="s">
        <v>441</v>
      </c>
      <c r="C12" s="47">
        <v>2880</v>
      </c>
      <c r="D12" s="4">
        <f t="shared" si="1"/>
        <v>46266</v>
      </c>
      <c r="E12" s="13">
        <v>0</v>
      </c>
      <c r="F12" s="12" t="s">
        <v>23</v>
      </c>
      <c r="G12" s="41">
        <v>906</v>
      </c>
      <c r="H12" s="14">
        <v>0</v>
      </c>
      <c r="I12" s="3" t="s">
        <v>16</v>
      </c>
      <c r="J12" s="4">
        <f t="shared" si="0"/>
        <v>46267</v>
      </c>
      <c r="K12" s="12" t="s">
        <v>28</v>
      </c>
    </row>
    <row r="13" spans="1:11" ht="15.75" customHeight="1" x14ac:dyDescent="0.3">
      <c r="A13" s="3">
        <v>5</v>
      </c>
      <c r="B13" s="3" t="s">
        <v>442</v>
      </c>
      <c r="C13" s="47">
        <v>710</v>
      </c>
      <c r="D13" s="4">
        <f t="shared" si="1"/>
        <v>46266</v>
      </c>
      <c r="E13" s="13">
        <v>0</v>
      </c>
      <c r="F13" s="12" t="s">
        <v>23</v>
      </c>
      <c r="G13" s="41">
        <v>9258</v>
      </c>
      <c r="H13" s="14">
        <v>0</v>
      </c>
      <c r="I13" s="3" t="s">
        <v>16</v>
      </c>
      <c r="J13" s="4">
        <f t="shared" si="0"/>
        <v>46267</v>
      </c>
      <c r="K13" s="12" t="s">
        <v>443</v>
      </c>
    </row>
    <row r="14" spans="1:11" ht="15.75" customHeight="1" x14ac:dyDescent="0.3">
      <c r="A14" s="3">
        <v>6</v>
      </c>
      <c r="B14" s="3" t="s">
        <v>444</v>
      </c>
      <c r="C14" s="47">
        <v>465</v>
      </c>
      <c r="D14" s="4">
        <f t="shared" si="1"/>
        <v>46266</v>
      </c>
      <c r="E14" s="13">
        <v>0</v>
      </c>
      <c r="F14" s="12" t="s">
        <v>23</v>
      </c>
      <c r="G14" s="41">
        <v>5611</v>
      </c>
      <c r="H14" s="14">
        <v>0</v>
      </c>
      <c r="I14" s="3" t="s">
        <v>16</v>
      </c>
      <c r="J14" s="4">
        <f t="shared" si="0"/>
        <v>46267</v>
      </c>
      <c r="K14" s="12" t="s">
        <v>28</v>
      </c>
    </row>
    <row r="15" spans="1:11" ht="15.75" customHeight="1" x14ac:dyDescent="0.3">
      <c r="A15" s="3">
        <v>7</v>
      </c>
      <c r="B15" s="3" t="s">
        <v>445</v>
      </c>
      <c r="C15" s="47">
        <v>1200</v>
      </c>
      <c r="D15" s="4">
        <f t="shared" si="1"/>
        <v>46266</v>
      </c>
      <c r="E15" s="13">
        <v>0</v>
      </c>
      <c r="F15" s="12" t="s">
        <v>23</v>
      </c>
      <c r="G15" s="41">
        <v>3682</v>
      </c>
      <c r="H15" s="14">
        <v>0</v>
      </c>
      <c r="I15" s="3" t="s">
        <v>16</v>
      </c>
      <c r="J15" s="4">
        <f t="shared" si="0"/>
        <v>46267</v>
      </c>
      <c r="K15" s="12" t="s">
        <v>28</v>
      </c>
    </row>
    <row r="16" spans="1:11" ht="15.75" customHeight="1" x14ac:dyDescent="0.3">
      <c r="A16" s="3">
        <v>8</v>
      </c>
      <c r="B16" s="3" t="s">
        <v>446</v>
      </c>
      <c r="C16" s="47">
        <v>1950</v>
      </c>
      <c r="D16" s="4">
        <f t="shared" si="1"/>
        <v>46266</v>
      </c>
      <c r="E16" s="13">
        <v>0</v>
      </c>
      <c r="F16" s="12" t="s">
        <v>23</v>
      </c>
      <c r="G16" s="41">
        <v>8789</v>
      </c>
      <c r="H16" s="14">
        <v>0</v>
      </c>
      <c r="I16" s="3" t="s">
        <v>16</v>
      </c>
      <c r="J16" s="4">
        <f t="shared" si="0"/>
        <v>46267</v>
      </c>
      <c r="K16" s="12" t="s">
        <v>28</v>
      </c>
    </row>
    <row r="17" spans="1:11" ht="15.75" customHeight="1" x14ac:dyDescent="0.3">
      <c r="A17" s="3">
        <v>9</v>
      </c>
      <c r="B17" s="3" t="s">
        <v>447</v>
      </c>
      <c r="C17" s="47">
        <v>7050</v>
      </c>
      <c r="D17" s="4">
        <f t="shared" si="1"/>
        <v>46266</v>
      </c>
      <c r="E17" s="13">
        <v>0</v>
      </c>
      <c r="F17" s="12" t="s">
        <v>23</v>
      </c>
      <c r="G17" s="41">
        <v>7957</v>
      </c>
      <c r="H17" s="14">
        <v>0</v>
      </c>
      <c r="I17" s="3" t="s">
        <v>16</v>
      </c>
      <c r="J17" s="4">
        <f t="shared" si="0"/>
        <v>46267</v>
      </c>
      <c r="K17" s="12" t="s">
        <v>28</v>
      </c>
    </row>
    <row r="18" spans="1:11" ht="15.75" customHeight="1" x14ac:dyDescent="0.3">
      <c r="A18" s="3">
        <v>10</v>
      </c>
      <c r="B18" s="3" t="s">
        <v>448</v>
      </c>
      <c r="C18" s="47">
        <v>500</v>
      </c>
      <c r="D18" s="4">
        <f t="shared" si="1"/>
        <v>46266</v>
      </c>
      <c r="E18" s="13">
        <v>0</v>
      </c>
      <c r="F18" s="12" t="s">
        <v>23</v>
      </c>
      <c r="G18" s="41">
        <v>5505</v>
      </c>
      <c r="H18" s="14">
        <v>0</v>
      </c>
      <c r="I18" s="3" t="s">
        <v>16</v>
      </c>
      <c r="J18" s="4">
        <f t="shared" si="0"/>
        <v>46267</v>
      </c>
      <c r="K18" s="12" t="s">
        <v>28</v>
      </c>
    </row>
    <row r="19" spans="1:11" ht="18.75" customHeight="1" x14ac:dyDescent="0.35">
      <c r="A19" s="3"/>
      <c r="B19" s="15" t="s">
        <v>20</v>
      </c>
      <c r="C19" s="49">
        <f>SUM(C9:C18)</f>
        <v>19260</v>
      </c>
      <c r="D19" s="3"/>
      <c r="E19" s="3"/>
      <c r="F19" s="12"/>
      <c r="G19" s="12"/>
      <c r="H19" s="10"/>
      <c r="I19" s="3"/>
      <c r="J19" s="3"/>
      <c r="K19" s="3"/>
    </row>
    <row r="20" spans="1:11" ht="24.75" customHeight="1" x14ac:dyDescent="0.6">
      <c r="A20" s="71" t="s">
        <v>39</v>
      </c>
      <c r="B20" s="63"/>
      <c r="C20" s="63"/>
      <c r="D20" s="63"/>
      <c r="E20" s="63"/>
      <c r="F20" s="63"/>
      <c r="G20" s="63"/>
      <c r="H20" s="63"/>
      <c r="I20" s="63"/>
      <c r="J20" s="63"/>
      <c r="K20" s="64"/>
    </row>
    <row r="21" spans="1:11" ht="18.75" customHeight="1" x14ac:dyDescent="0.35">
      <c r="A21" s="16" t="s">
        <v>3</v>
      </c>
      <c r="B21" s="16" t="s">
        <v>40</v>
      </c>
      <c r="C21" s="40" t="s">
        <v>5</v>
      </c>
      <c r="D21" s="1" t="s">
        <v>41</v>
      </c>
      <c r="E21" s="16" t="s">
        <v>7</v>
      </c>
      <c r="F21" s="16" t="s">
        <v>8</v>
      </c>
      <c r="G21" s="16" t="s">
        <v>42</v>
      </c>
      <c r="H21" s="17" t="s">
        <v>43</v>
      </c>
      <c r="I21" s="16" t="s">
        <v>11</v>
      </c>
      <c r="J21" s="16" t="s">
        <v>44</v>
      </c>
      <c r="K21" s="18" t="s">
        <v>45</v>
      </c>
    </row>
    <row r="22" spans="1:11" ht="15.75" customHeight="1" x14ac:dyDescent="0.3">
      <c r="A22" s="7">
        <v>1</v>
      </c>
      <c r="B22" s="7" t="s">
        <v>262</v>
      </c>
      <c r="C22" s="42">
        <v>1000</v>
      </c>
      <c r="D22" s="4">
        <v>46266</v>
      </c>
      <c r="E22" s="7"/>
      <c r="F22" s="7"/>
      <c r="G22" s="19">
        <v>5683</v>
      </c>
      <c r="H22" s="20"/>
      <c r="I22" s="21"/>
      <c r="J22" s="4">
        <v>46266</v>
      </c>
      <c r="K22" s="12" t="s">
        <v>449</v>
      </c>
    </row>
    <row r="23" spans="1:11" ht="15.75" customHeight="1" x14ac:dyDescent="0.3">
      <c r="A23" s="7">
        <v>2</v>
      </c>
      <c r="B23" s="7" t="s">
        <v>450</v>
      </c>
      <c r="C23" s="42">
        <v>100000</v>
      </c>
      <c r="D23" s="4">
        <v>46266</v>
      </c>
      <c r="E23" s="7"/>
      <c r="F23" s="7"/>
      <c r="G23" s="19">
        <v>7749</v>
      </c>
      <c r="H23" s="20"/>
      <c r="I23" s="21"/>
      <c r="J23" s="4">
        <v>46266</v>
      </c>
      <c r="K23" s="12" t="s">
        <v>345</v>
      </c>
    </row>
    <row r="24" spans="1:11" ht="15.75" customHeight="1" x14ac:dyDescent="0.3">
      <c r="A24" s="7">
        <v>3</v>
      </c>
      <c r="B24" s="7" t="s">
        <v>47</v>
      </c>
      <c r="C24" s="42">
        <v>14351</v>
      </c>
      <c r="D24" s="4">
        <v>46266</v>
      </c>
      <c r="E24" s="7"/>
      <c r="F24" s="7"/>
      <c r="G24" s="19">
        <v>163</v>
      </c>
      <c r="H24" s="20"/>
      <c r="I24" s="21"/>
      <c r="J24" s="4">
        <v>46266</v>
      </c>
      <c r="K24" s="12" t="s">
        <v>28</v>
      </c>
    </row>
    <row r="25" spans="1:11" ht="15.75" customHeight="1" x14ac:dyDescent="0.3">
      <c r="A25" s="7">
        <v>4</v>
      </c>
      <c r="B25" s="7" t="s">
        <v>451</v>
      </c>
      <c r="C25" s="42">
        <v>1000</v>
      </c>
      <c r="D25" s="4">
        <v>46266</v>
      </c>
      <c r="E25" s="7"/>
      <c r="F25" s="7"/>
      <c r="G25" s="19">
        <v>9077</v>
      </c>
      <c r="H25" s="20"/>
      <c r="I25" s="21"/>
      <c r="J25" s="4">
        <v>46266</v>
      </c>
      <c r="K25" s="12" t="s">
        <v>452</v>
      </c>
    </row>
    <row r="26" spans="1:11" ht="18.75" customHeight="1" x14ac:dyDescent="0.3">
      <c r="A26" s="7"/>
      <c r="B26" s="22" t="s">
        <v>52</v>
      </c>
      <c r="C26" s="50">
        <f>SUM(C22:C25)</f>
        <v>116351</v>
      </c>
      <c r="D26" s="3"/>
      <c r="E26" s="7"/>
      <c r="F26" s="7"/>
      <c r="G26" s="7"/>
      <c r="H26" s="23">
        <v>0</v>
      </c>
      <c r="I26" s="21"/>
      <c r="J26" s="3"/>
      <c r="K26" s="24"/>
    </row>
    <row r="27" spans="1:11" x14ac:dyDescent="0.3">
      <c r="C27" s="25"/>
      <c r="H27" s="25"/>
    </row>
    <row r="28" spans="1:11" ht="16.5" customHeight="1" x14ac:dyDescent="0.35">
      <c r="B28" s="26" t="s">
        <v>53</v>
      </c>
      <c r="C28" s="43">
        <f>SUM(C11,C10,C13)</f>
        <v>4710</v>
      </c>
      <c r="E28" s="27"/>
      <c r="F28" s="27"/>
      <c r="G28" s="66"/>
      <c r="H28" s="67"/>
    </row>
    <row r="29" spans="1:11" ht="16.5" customHeight="1" x14ac:dyDescent="0.35">
      <c r="B29" s="28" t="s">
        <v>54</v>
      </c>
      <c r="C29" s="44">
        <f>SUM(C9,C12,C14,C15,C16,C17,C18)</f>
        <v>14550</v>
      </c>
      <c r="E29" s="29"/>
      <c r="F29" s="29"/>
      <c r="G29" s="30" t="s">
        <v>55</v>
      </c>
      <c r="H29" s="31"/>
    </row>
    <row r="30" spans="1:11" ht="24" customHeight="1" x14ac:dyDescent="0.45">
      <c r="B30" s="32" t="s">
        <v>63</v>
      </c>
      <c r="C30" s="45"/>
      <c r="E30" s="33" t="s">
        <v>57</v>
      </c>
      <c r="F30" s="34"/>
      <c r="G30" s="35"/>
      <c r="H30" s="36"/>
      <c r="I30" s="35"/>
      <c r="J30" s="37"/>
    </row>
    <row r="31" spans="1:11" ht="18.75" customHeight="1" x14ac:dyDescent="0.35">
      <c r="B31" s="38" t="s">
        <v>20</v>
      </c>
      <c r="C31" s="46">
        <f>SUM(C28:C30)</f>
        <v>19260</v>
      </c>
      <c r="G31" s="30"/>
      <c r="H31" s="31"/>
      <c r="I31" s="30"/>
      <c r="J31" s="30"/>
    </row>
  </sheetData>
  <mergeCells count="6">
    <mergeCell ref="A20:K20"/>
    <mergeCell ref="A3:K3"/>
    <mergeCell ref="A2:K2"/>
    <mergeCell ref="G28:H28"/>
    <mergeCell ref="A1:K1"/>
    <mergeCell ref="A8:K8"/>
  </mergeCells>
  <pageMargins left="0.59055118110236215" right="0" top="0.39370078740157483" bottom="0" header="0" footer="0"/>
  <pageSetup scale="83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K29"/>
  <sheetViews>
    <sheetView topLeftCell="B1" workbookViewId="0">
      <selection activeCell="L5" sqref="L5"/>
    </sheetView>
  </sheetViews>
  <sheetFormatPr defaultRowHeight="14.4" x14ac:dyDescent="0.3"/>
  <cols>
    <col min="1" max="1" width="4.44140625" bestFit="1" customWidth="1"/>
    <col min="2" max="2" width="26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9.5546875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4.66406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453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289</v>
      </c>
      <c r="C5" s="47">
        <v>22000</v>
      </c>
      <c r="D5" s="4">
        <v>46267</v>
      </c>
      <c r="E5" s="5">
        <v>0</v>
      </c>
      <c r="F5" s="3" t="s">
        <v>15</v>
      </c>
      <c r="G5" s="39">
        <v>270</v>
      </c>
      <c r="H5" s="6">
        <v>0</v>
      </c>
      <c r="I5" s="3" t="s">
        <v>16</v>
      </c>
      <c r="J5" s="4">
        <f>+D5-1</f>
        <v>46266</v>
      </c>
      <c r="K5" s="7" t="s">
        <v>224</v>
      </c>
    </row>
    <row r="6" spans="1:11" ht="15.75" customHeight="1" x14ac:dyDescent="0.3">
      <c r="A6" s="3">
        <v>2</v>
      </c>
      <c r="B6" s="3" t="s">
        <v>454</v>
      </c>
      <c r="C6" s="47">
        <v>10000</v>
      </c>
      <c r="D6" s="4">
        <v>46267</v>
      </c>
      <c r="E6" s="5">
        <v>0</v>
      </c>
      <c r="F6" s="3" t="s">
        <v>15</v>
      </c>
      <c r="G6" s="39">
        <v>2943</v>
      </c>
      <c r="H6" s="6">
        <v>0</v>
      </c>
      <c r="I6" s="3" t="s">
        <v>16</v>
      </c>
      <c r="J6" s="4">
        <f>+D6-1</f>
        <v>46266</v>
      </c>
      <c r="K6" s="7" t="s">
        <v>455</v>
      </c>
    </row>
    <row r="7" spans="1:11" ht="15.75" customHeight="1" x14ac:dyDescent="0.3">
      <c r="A7" s="3">
        <v>3</v>
      </c>
      <c r="B7" s="3"/>
      <c r="C7" s="47">
        <v>0</v>
      </c>
      <c r="D7" s="4"/>
      <c r="E7" s="5"/>
      <c r="F7" s="3"/>
      <c r="G7" s="39"/>
      <c r="H7" s="6"/>
      <c r="I7" s="3"/>
      <c r="J7" s="4"/>
      <c r="K7" s="7"/>
    </row>
    <row r="8" spans="1:11" ht="18.75" customHeight="1" x14ac:dyDescent="0.35">
      <c r="A8" s="8"/>
      <c r="B8" s="9" t="s">
        <v>20</v>
      </c>
      <c r="C8" s="48">
        <f>SUM(C5:C7)</f>
        <v>32000</v>
      </c>
      <c r="D8" s="3"/>
      <c r="E8" s="11"/>
      <c r="F8" s="8"/>
      <c r="G8" s="12"/>
      <c r="H8" s="10">
        <f>SUM(H5:H5)</f>
        <v>0</v>
      </c>
      <c r="I8" s="8"/>
      <c r="J8" s="8"/>
      <c r="K8" s="8"/>
    </row>
    <row r="10" spans="1:11" ht="24" customHeight="1" x14ac:dyDescent="0.45">
      <c r="A10" s="70" t="s">
        <v>21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</row>
    <row r="11" spans="1:11" ht="15.75" customHeight="1" x14ac:dyDescent="0.3">
      <c r="A11" s="3">
        <v>1</v>
      </c>
      <c r="B11" s="3" t="s">
        <v>456</v>
      </c>
      <c r="C11" s="47">
        <v>2100</v>
      </c>
      <c r="D11" s="4">
        <v>46267</v>
      </c>
      <c r="E11" s="13">
        <v>0</v>
      </c>
      <c r="F11" s="12" t="s">
        <v>23</v>
      </c>
      <c r="G11" s="41">
        <v>5309</v>
      </c>
      <c r="H11" s="14">
        <v>0</v>
      </c>
      <c r="I11" s="3" t="s">
        <v>24</v>
      </c>
      <c r="J11" s="4">
        <f t="shared" ref="J11:J19" si="0">+D11+1</f>
        <v>46268</v>
      </c>
      <c r="K11" s="12" t="s">
        <v>28</v>
      </c>
    </row>
    <row r="12" spans="1:11" ht="15.75" customHeight="1" x14ac:dyDescent="0.3">
      <c r="A12" s="3">
        <v>2</v>
      </c>
      <c r="B12" s="3" t="s">
        <v>457</v>
      </c>
      <c r="C12" s="47">
        <v>1000</v>
      </c>
      <c r="D12" s="4">
        <f t="shared" ref="D12:D19" si="1">+D11</f>
        <v>46267</v>
      </c>
      <c r="E12" s="13">
        <v>0</v>
      </c>
      <c r="F12" s="12" t="s">
        <v>23</v>
      </c>
      <c r="G12" s="41">
        <v>4781</v>
      </c>
      <c r="H12" s="14">
        <v>0</v>
      </c>
      <c r="I12" s="3" t="s">
        <v>16</v>
      </c>
      <c r="J12" s="4">
        <f t="shared" si="0"/>
        <v>46268</v>
      </c>
      <c r="K12" s="12" t="s">
        <v>73</v>
      </c>
    </row>
    <row r="13" spans="1:11" ht="15.75" customHeight="1" x14ac:dyDescent="0.3">
      <c r="A13" s="3">
        <v>3</v>
      </c>
      <c r="B13" s="3" t="s">
        <v>458</v>
      </c>
      <c r="C13" s="47">
        <v>1120</v>
      </c>
      <c r="D13" s="4">
        <f t="shared" si="1"/>
        <v>46267</v>
      </c>
      <c r="E13" s="13">
        <v>0</v>
      </c>
      <c r="F13" s="12" t="s">
        <v>23</v>
      </c>
      <c r="G13" s="41">
        <v>8606</v>
      </c>
      <c r="H13" s="14">
        <v>0</v>
      </c>
      <c r="I13" s="3" t="s">
        <v>16</v>
      </c>
      <c r="J13" s="4">
        <f t="shared" si="0"/>
        <v>46268</v>
      </c>
      <c r="K13" s="12" t="s">
        <v>73</v>
      </c>
    </row>
    <row r="14" spans="1:11" ht="15.75" customHeight="1" x14ac:dyDescent="0.3">
      <c r="A14" s="3">
        <v>4</v>
      </c>
      <c r="B14" s="3" t="s">
        <v>459</v>
      </c>
      <c r="C14" s="47">
        <v>3400</v>
      </c>
      <c r="D14" s="4">
        <f t="shared" si="1"/>
        <v>46267</v>
      </c>
      <c r="E14" s="13">
        <v>0</v>
      </c>
      <c r="F14" s="12" t="s">
        <v>23</v>
      </c>
      <c r="G14" s="41">
        <v>6328</v>
      </c>
      <c r="H14" s="14">
        <v>0</v>
      </c>
      <c r="I14" s="3" t="s">
        <v>16</v>
      </c>
      <c r="J14" s="4">
        <f t="shared" si="0"/>
        <v>46268</v>
      </c>
      <c r="K14" s="12" t="s">
        <v>28</v>
      </c>
    </row>
    <row r="15" spans="1:11" ht="15.75" customHeight="1" x14ac:dyDescent="0.3">
      <c r="A15" s="3">
        <v>5</v>
      </c>
      <c r="B15" s="3" t="s">
        <v>458</v>
      </c>
      <c r="C15" s="47">
        <v>1500</v>
      </c>
      <c r="D15" s="4">
        <f t="shared" si="1"/>
        <v>46267</v>
      </c>
      <c r="E15" s="13">
        <v>0</v>
      </c>
      <c r="F15" s="12" t="s">
        <v>23</v>
      </c>
      <c r="G15" s="41">
        <v>4392</v>
      </c>
      <c r="H15" s="14">
        <v>0</v>
      </c>
      <c r="I15" s="3" t="s">
        <v>16</v>
      </c>
      <c r="J15" s="4">
        <f t="shared" si="0"/>
        <v>46268</v>
      </c>
      <c r="K15" s="12" t="s">
        <v>25</v>
      </c>
    </row>
    <row r="16" spans="1:11" ht="15.75" customHeight="1" x14ac:dyDescent="0.3">
      <c r="A16" s="3">
        <v>6</v>
      </c>
      <c r="B16" s="3" t="s">
        <v>460</v>
      </c>
      <c r="C16" s="47">
        <v>10</v>
      </c>
      <c r="D16" s="4">
        <f t="shared" si="1"/>
        <v>46267</v>
      </c>
      <c r="E16" s="13">
        <v>0</v>
      </c>
      <c r="F16" s="12" t="s">
        <v>23</v>
      </c>
      <c r="G16" s="41">
        <v>2644</v>
      </c>
      <c r="H16" s="14">
        <v>0</v>
      </c>
      <c r="I16" s="3" t="s">
        <v>16</v>
      </c>
      <c r="J16" s="4">
        <f t="shared" si="0"/>
        <v>46268</v>
      </c>
      <c r="K16" s="12" t="s">
        <v>28</v>
      </c>
    </row>
    <row r="17" spans="1:11" ht="15.75" customHeight="1" x14ac:dyDescent="0.3">
      <c r="A17" s="3">
        <v>7</v>
      </c>
      <c r="B17" s="3" t="s">
        <v>461</v>
      </c>
      <c r="C17" s="47">
        <v>1290</v>
      </c>
      <c r="D17" s="4">
        <f t="shared" si="1"/>
        <v>46267</v>
      </c>
      <c r="E17" s="13">
        <v>0</v>
      </c>
      <c r="F17" s="12" t="s">
        <v>23</v>
      </c>
      <c r="G17" s="41">
        <v>1970</v>
      </c>
      <c r="H17" s="14">
        <v>0</v>
      </c>
      <c r="I17" s="3" t="s">
        <v>16</v>
      </c>
      <c r="J17" s="4">
        <f t="shared" si="0"/>
        <v>46268</v>
      </c>
      <c r="K17" s="12" t="s">
        <v>28</v>
      </c>
    </row>
    <row r="18" spans="1:11" ht="15.75" customHeight="1" x14ac:dyDescent="0.3">
      <c r="A18" s="3">
        <v>8</v>
      </c>
      <c r="B18" s="3" t="s">
        <v>462</v>
      </c>
      <c r="C18" s="47">
        <v>3840</v>
      </c>
      <c r="D18" s="4">
        <f t="shared" si="1"/>
        <v>46267</v>
      </c>
      <c r="E18" s="13">
        <v>0</v>
      </c>
      <c r="F18" s="12" t="s">
        <v>23</v>
      </c>
      <c r="G18" s="41">
        <v>2599</v>
      </c>
      <c r="H18" s="14">
        <v>0</v>
      </c>
      <c r="I18" s="3" t="s">
        <v>16</v>
      </c>
      <c r="J18" s="4">
        <f t="shared" si="0"/>
        <v>46268</v>
      </c>
      <c r="K18" s="12" t="s">
        <v>73</v>
      </c>
    </row>
    <row r="19" spans="1:11" ht="15.75" customHeight="1" x14ac:dyDescent="0.3">
      <c r="A19" s="3">
        <v>9</v>
      </c>
      <c r="B19" s="3" t="s">
        <v>102</v>
      </c>
      <c r="C19" s="47">
        <v>1300</v>
      </c>
      <c r="D19" s="4">
        <f t="shared" si="1"/>
        <v>46267</v>
      </c>
      <c r="E19" s="13">
        <v>0</v>
      </c>
      <c r="F19" s="12" t="s">
        <v>23</v>
      </c>
      <c r="G19" s="41">
        <v>4600</v>
      </c>
      <c r="H19" s="14">
        <v>0</v>
      </c>
      <c r="I19" s="3" t="s">
        <v>16</v>
      </c>
      <c r="J19" s="4">
        <f t="shared" si="0"/>
        <v>46268</v>
      </c>
      <c r="K19" s="12" t="s">
        <v>73</v>
      </c>
    </row>
    <row r="20" spans="1:11" ht="18.75" customHeight="1" x14ac:dyDescent="0.35">
      <c r="A20" s="3"/>
      <c r="B20" s="15" t="s">
        <v>20</v>
      </c>
      <c r="C20" s="49">
        <f>SUM(C11:C19)</f>
        <v>15560</v>
      </c>
      <c r="D20" s="3"/>
      <c r="E20" s="3"/>
      <c r="F20" s="12"/>
      <c r="G20" s="12"/>
      <c r="H20" s="10"/>
      <c r="I20" s="3"/>
      <c r="J20" s="3"/>
      <c r="K20" s="3"/>
    </row>
    <row r="21" spans="1:11" ht="24.75" customHeight="1" x14ac:dyDescent="0.6">
      <c r="A21" s="71" t="s">
        <v>39</v>
      </c>
      <c r="B21" s="63"/>
      <c r="C21" s="63"/>
      <c r="D21" s="63"/>
      <c r="E21" s="63"/>
      <c r="F21" s="63"/>
      <c r="G21" s="63"/>
      <c r="H21" s="63"/>
      <c r="I21" s="63"/>
      <c r="J21" s="63"/>
      <c r="K21" s="64"/>
    </row>
    <row r="22" spans="1:11" ht="18.75" customHeight="1" x14ac:dyDescent="0.35">
      <c r="A22" s="16" t="s">
        <v>3</v>
      </c>
      <c r="B22" s="16" t="s">
        <v>40</v>
      </c>
      <c r="C22" s="40" t="s">
        <v>5</v>
      </c>
      <c r="D22" s="1" t="s">
        <v>41</v>
      </c>
      <c r="E22" s="16" t="s">
        <v>7</v>
      </c>
      <c r="F22" s="16" t="s">
        <v>8</v>
      </c>
      <c r="G22" s="16" t="s">
        <v>42</v>
      </c>
      <c r="H22" s="17" t="s">
        <v>43</v>
      </c>
      <c r="I22" s="16" t="s">
        <v>11</v>
      </c>
      <c r="J22" s="16" t="s">
        <v>44</v>
      </c>
      <c r="K22" s="18" t="s">
        <v>45</v>
      </c>
    </row>
    <row r="23" spans="1:11" ht="15.75" customHeight="1" x14ac:dyDescent="0.3">
      <c r="A23" s="7">
        <v>1</v>
      </c>
      <c r="B23" s="7" t="s">
        <v>463</v>
      </c>
      <c r="C23" s="42">
        <v>24556</v>
      </c>
      <c r="D23" s="4">
        <v>46267</v>
      </c>
      <c r="E23" s="7"/>
      <c r="F23" s="7"/>
      <c r="G23" s="19">
        <v>161</v>
      </c>
      <c r="H23" s="20"/>
      <c r="I23" s="21"/>
      <c r="J23" s="4">
        <v>46267</v>
      </c>
      <c r="K23" s="12" t="s">
        <v>28</v>
      </c>
    </row>
    <row r="24" spans="1:11" ht="18.75" customHeight="1" x14ac:dyDescent="0.3">
      <c r="A24" s="7"/>
      <c r="B24" s="22" t="s">
        <v>52</v>
      </c>
      <c r="C24" s="50">
        <f>SUM(C23:C23)</f>
        <v>24556</v>
      </c>
      <c r="D24" s="3"/>
      <c r="E24" s="7"/>
      <c r="F24" s="7"/>
      <c r="G24" s="7"/>
      <c r="H24" s="23">
        <v>0</v>
      </c>
      <c r="I24" s="21"/>
      <c r="J24" s="3"/>
      <c r="K24" s="24"/>
    </row>
    <row r="25" spans="1:11" x14ac:dyDescent="0.3">
      <c r="C25" s="25"/>
      <c r="H25" s="25"/>
    </row>
    <row r="26" spans="1:11" ht="16.5" customHeight="1" x14ac:dyDescent="0.35">
      <c r="B26" s="26" t="s">
        <v>53</v>
      </c>
      <c r="C26" s="43">
        <f>SUM(C12,C13,C15,C18,C19)</f>
        <v>8760</v>
      </c>
      <c r="E26" s="27"/>
      <c r="F26" s="27"/>
      <c r="G26" s="66"/>
      <c r="H26" s="67"/>
    </row>
    <row r="27" spans="1:11" ht="16.5" customHeight="1" x14ac:dyDescent="0.35">
      <c r="B27" s="28" t="s">
        <v>54</v>
      </c>
      <c r="C27" s="44">
        <f>SUM(C11,C14,C16,C17)</f>
        <v>6800</v>
      </c>
      <c r="E27" s="29"/>
      <c r="F27" s="29"/>
      <c r="G27" s="30" t="s">
        <v>55</v>
      </c>
      <c r="H27" s="31"/>
    </row>
    <row r="28" spans="1:11" ht="24" customHeight="1" x14ac:dyDescent="0.45">
      <c r="B28" s="32" t="s">
        <v>63</v>
      </c>
      <c r="C28" s="45"/>
      <c r="E28" s="33" t="s">
        <v>57</v>
      </c>
      <c r="F28" s="34"/>
      <c r="G28" s="35"/>
      <c r="H28" s="36"/>
      <c r="I28" s="35"/>
      <c r="J28" s="37"/>
    </row>
    <row r="29" spans="1:11" ht="18.75" customHeight="1" x14ac:dyDescent="0.35">
      <c r="B29" s="38" t="s">
        <v>20</v>
      </c>
      <c r="C29" s="46">
        <f>SUM(C26:C28)</f>
        <v>15560</v>
      </c>
      <c r="G29" s="30"/>
      <c r="H29" s="31"/>
      <c r="I29" s="30"/>
      <c r="J29" s="30"/>
    </row>
  </sheetData>
  <mergeCells count="6">
    <mergeCell ref="G26:H26"/>
    <mergeCell ref="A3:K3"/>
    <mergeCell ref="A21:K21"/>
    <mergeCell ref="A2:K2"/>
    <mergeCell ref="A10:K10"/>
    <mergeCell ref="A1:K1"/>
  </mergeCells>
  <pageMargins left="0.59055118110236215" right="0" top="0.39370078740157483" bottom="0" header="0" footer="0"/>
  <pageSetup scale="85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K23"/>
  <sheetViews>
    <sheetView topLeftCell="A4" workbookViewId="0">
      <selection sqref="A1:K23"/>
    </sheetView>
  </sheetViews>
  <sheetFormatPr defaultRowHeight="14.4" x14ac:dyDescent="0.3"/>
  <cols>
    <col min="1" max="1" width="4.44140625" bestFit="1" customWidth="1"/>
    <col min="2" max="2" width="22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.109375" customWidth="1"/>
    <col min="10" max="10" width="16.88671875" bestFit="1" customWidth="1"/>
    <col min="11" max="11" width="36.664062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464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465</v>
      </c>
      <c r="C5" s="47">
        <v>8500</v>
      </c>
      <c r="D5" s="4">
        <v>46268</v>
      </c>
      <c r="E5" s="5">
        <v>0</v>
      </c>
      <c r="F5" s="3" t="s">
        <v>15</v>
      </c>
      <c r="G5" s="39">
        <v>2037</v>
      </c>
      <c r="H5" s="6">
        <v>0</v>
      </c>
      <c r="I5" s="3" t="s">
        <v>16</v>
      </c>
      <c r="J5" s="4">
        <f>+D5-1</f>
        <v>46267</v>
      </c>
      <c r="K5" s="7" t="s">
        <v>466</v>
      </c>
    </row>
    <row r="6" spans="1:11" ht="15.75" customHeight="1" x14ac:dyDescent="0.3">
      <c r="A6" s="3">
        <v>2</v>
      </c>
      <c r="B6" s="3" t="s">
        <v>122</v>
      </c>
      <c r="C6" s="47">
        <v>10000</v>
      </c>
      <c r="D6" s="4">
        <v>46268</v>
      </c>
      <c r="E6" s="5">
        <v>0</v>
      </c>
      <c r="F6" s="3" t="s">
        <v>15</v>
      </c>
      <c r="G6" s="39">
        <v>1268</v>
      </c>
      <c r="H6" s="6">
        <v>0</v>
      </c>
      <c r="I6" s="3" t="s">
        <v>16</v>
      </c>
      <c r="J6" s="4">
        <f>+D6-1</f>
        <v>46267</v>
      </c>
      <c r="K6" s="7" t="s">
        <v>467</v>
      </c>
    </row>
    <row r="7" spans="1:11" ht="18.75" customHeight="1" x14ac:dyDescent="0.35">
      <c r="A7" s="8"/>
      <c r="B7" s="9" t="s">
        <v>20</v>
      </c>
      <c r="C7" s="48">
        <f>SUM(C5:C6)</f>
        <v>18500</v>
      </c>
      <c r="D7" s="3"/>
      <c r="E7" s="11"/>
      <c r="F7" s="8"/>
      <c r="G7" s="12"/>
      <c r="H7" s="10">
        <f>SUM(H5:H5)</f>
        <v>0</v>
      </c>
      <c r="I7" s="8"/>
      <c r="J7" s="8"/>
      <c r="K7" s="8"/>
    </row>
    <row r="8" spans="1:11" x14ac:dyDescent="0.3">
      <c r="G8" t="s">
        <v>468</v>
      </c>
    </row>
    <row r="9" spans="1:11" ht="24" customHeight="1" x14ac:dyDescent="0.45">
      <c r="A9" s="70" t="s">
        <v>21</v>
      </c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1" ht="15.75" customHeight="1" x14ac:dyDescent="0.3">
      <c r="A10" s="3">
        <v>1</v>
      </c>
      <c r="B10" s="3" t="s">
        <v>469</v>
      </c>
      <c r="C10" s="47">
        <v>24463</v>
      </c>
      <c r="D10" s="4">
        <v>46268</v>
      </c>
      <c r="E10" s="13">
        <v>0</v>
      </c>
      <c r="F10" s="12" t="s">
        <v>23</v>
      </c>
      <c r="G10" s="41">
        <v>24463</v>
      </c>
      <c r="H10" s="14">
        <v>0</v>
      </c>
      <c r="I10" s="3" t="s">
        <v>24</v>
      </c>
      <c r="J10" s="4">
        <f>+D10+1</f>
        <v>46269</v>
      </c>
      <c r="K10" s="12" t="s">
        <v>76</v>
      </c>
    </row>
    <row r="11" spans="1:11" ht="15.75" customHeight="1" x14ac:dyDescent="0.3">
      <c r="A11" s="3">
        <v>2</v>
      </c>
      <c r="B11" s="3" t="s">
        <v>470</v>
      </c>
      <c r="C11" s="47">
        <v>2250</v>
      </c>
      <c r="D11" s="4">
        <f>+D10</f>
        <v>46268</v>
      </c>
      <c r="E11" s="13">
        <v>0</v>
      </c>
      <c r="F11" s="12" t="s">
        <v>23</v>
      </c>
      <c r="G11" s="41">
        <v>3550</v>
      </c>
      <c r="H11" s="14">
        <v>0</v>
      </c>
      <c r="I11" s="3" t="s">
        <v>16</v>
      </c>
      <c r="J11" s="4">
        <f>+D11+1</f>
        <v>46269</v>
      </c>
      <c r="K11" s="12" t="s">
        <v>70</v>
      </c>
    </row>
    <row r="12" spans="1:11" ht="18.75" customHeight="1" x14ac:dyDescent="0.35">
      <c r="A12" s="3"/>
      <c r="B12" s="15" t="s">
        <v>20</v>
      </c>
      <c r="C12" s="49">
        <f>SUM(C10:C11)</f>
        <v>26713</v>
      </c>
      <c r="D12" s="3"/>
      <c r="E12" s="3"/>
      <c r="F12" s="12"/>
      <c r="G12" s="12"/>
      <c r="H12" s="10"/>
      <c r="I12" s="3"/>
      <c r="J12" s="3"/>
      <c r="K12" s="3"/>
    </row>
    <row r="13" spans="1:11" ht="24.75" customHeight="1" x14ac:dyDescent="0.6">
      <c r="A13" s="71" t="s">
        <v>39</v>
      </c>
      <c r="B13" s="63"/>
      <c r="C13" s="63"/>
      <c r="D13" s="63"/>
      <c r="E13" s="63"/>
      <c r="F13" s="63"/>
      <c r="G13" s="63"/>
      <c r="H13" s="63"/>
      <c r="I13" s="63"/>
      <c r="J13" s="63"/>
      <c r="K13" s="64"/>
    </row>
    <row r="14" spans="1:11" ht="18.75" customHeight="1" x14ac:dyDescent="0.35">
      <c r="A14" s="16" t="s">
        <v>3</v>
      </c>
      <c r="B14" s="16" t="s">
        <v>40</v>
      </c>
      <c r="C14" s="40" t="s">
        <v>5</v>
      </c>
      <c r="D14" s="1" t="s">
        <v>41</v>
      </c>
      <c r="E14" s="16" t="s">
        <v>7</v>
      </c>
      <c r="F14" s="16" t="s">
        <v>8</v>
      </c>
      <c r="G14" s="16" t="s">
        <v>42</v>
      </c>
      <c r="H14" s="17" t="s">
        <v>43</v>
      </c>
      <c r="I14" s="16" t="s">
        <v>11</v>
      </c>
      <c r="J14" s="16" t="s">
        <v>44</v>
      </c>
      <c r="K14" s="18" t="s">
        <v>45</v>
      </c>
    </row>
    <row r="15" spans="1:11" ht="15.75" customHeight="1" x14ac:dyDescent="0.3">
      <c r="A15" s="7">
        <v>1</v>
      </c>
      <c r="B15" s="7" t="s">
        <v>170</v>
      </c>
      <c r="C15" s="42">
        <v>2400</v>
      </c>
      <c r="D15" s="4">
        <v>46268</v>
      </c>
      <c r="E15" s="7"/>
      <c r="F15" s="7"/>
      <c r="G15" s="19">
        <v>6341</v>
      </c>
      <c r="H15" s="20"/>
      <c r="I15" s="21"/>
      <c r="J15" s="4">
        <v>46268</v>
      </c>
      <c r="K15" s="12" t="s">
        <v>471</v>
      </c>
    </row>
    <row r="16" spans="1:11" ht="15.75" customHeight="1" x14ac:dyDescent="0.3">
      <c r="A16" s="7">
        <v>2</v>
      </c>
      <c r="B16" s="7" t="s">
        <v>262</v>
      </c>
      <c r="C16" s="42">
        <v>1000</v>
      </c>
      <c r="D16" s="4">
        <v>46268</v>
      </c>
      <c r="E16" s="7"/>
      <c r="F16" s="7"/>
      <c r="G16" s="19">
        <v>3172</v>
      </c>
      <c r="H16" s="20"/>
      <c r="I16" s="21"/>
      <c r="J16" s="4">
        <v>46268</v>
      </c>
      <c r="K16" s="12" t="s">
        <v>472</v>
      </c>
    </row>
    <row r="17" spans="1:11" ht="15.75" customHeight="1" x14ac:dyDescent="0.3">
      <c r="A17" s="7">
        <v>3</v>
      </c>
      <c r="B17" s="7" t="s">
        <v>473</v>
      </c>
      <c r="C17" s="42">
        <v>500</v>
      </c>
      <c r="D17" s="4">
        <v>46268</v>
      </c>
      <c r="E17" s="7"/>
      <c r="F17" s="7"/>
      <c r="G17" s="19">
        <v>9347</v>
      </c>
      <c r="H17" s="20"/>
      <c r="I17" s="21"/>
      <c r="J17" s="4">
        <v>46268</v>
      </c>
      <c r="K17" s="12" t="s">
        <v>474</v>
      </c>
    </row>
    <row r="18" spans="1:11" ht="18.75" customHeight="1" x14ac:dyDescent="0.3">
      <c r="A18" s="7"/>
      <c r="B18" s="22" t="s">
        <v>52</v>
      </c>
      <c r="C18" s="50">
        <f>SUM(C15:C17)</f>
        <v>3900</v>
      </c>
      <c r="D18" s="3"/>
      <c r="E18" s="7"/>
      <c r="F18" s="7"/>
      <c r="G18" s="7"/>
      <c r="H18" s="23">
        <v>0</v>
      </c>
      <c r="I18" s="21"/>
      <c r="J18" s="3"/>
      <c r="K18" s="24"/>
    </row>
    <row r="19" spans="1:11" x14ac:dyDescent="0.3">
      <c r="C19" s="25"/>
      <c r="H19" s="25"/>
    </row>
    <row r="20" spans="1:11" ht="16.5" customHeight="1" x14ac:dyDescent="0.35">
      <c r="B20" s="26" t="s">
        <v>53</v>
      </c>
      <c r="C20" s="43">
        <f>SUM(C10,C11)</f>
        <v>26713</v>
      </c>
      <c r="E20" s="27"/>
      <c r="F20" s="27"/>
      <c r="G20" s="66"/>
      <c r="H20" s="67"/>
    </row>
    <row r="21" spans="1:11" ht="16.5" customHeight="1" x14ac:dyDescent="0.35">
      <c r="B21" s="28" t="s">
        <v>54</v>
      </c>
      <c r="C21" s="44"/>
      <c r="E21" s="29"/>
      <c r="F21" s="29"/>
      <c r="G21" s="30" t="s">
        <v>55</v>
      </c>
      <c r="H21" s="31"/>
    </row>
    <row r="22" spans="1:11" ht="24" customHeight="1" x14ac:dyDescent="0.45">
      <c r="B22" s="32" t="s">
        <v>63</v>
      </c>
      <c r="C22" s="45"/>
      <c r="E22" s="33" t="s">
        <v>57</v>
      </c>
      <c r="F22" s="34"/>
      <c r="G22" s="35"/>
      <c r="H22" s="36"/>
      <c r="I22" s="35"/>
      <c r="J22" s="37"/>
    </row>
    <row r="23" spans="1:11" ht="18.75" customHeight="1" x14ac:dyDescent="0.35">
      <c r="B23" s="38" t="s">
        <v>20</v>
      </c>
      <c r="C23" s="46">
        <f>SUM(C20:C22)</f>
        <v>26713</v>
      </c>
      <c r="G23" s="30"/>
      <c r="H23" s="31"/>
      <c r="I23" s="30"/>
      <c r="J23" s="30"/>
    </row>
  </sheetData>
  <mergeCells count="6">
    <mergeCell ref="G20:H20"/>
    <mergeCell ref="A3:K3"/>
    <mergeCell ref="A2:K2"/>
    <mergeCell ref="A13:K13"/>
    <mergeCell ref="A1:K1"/>
    <mergeCell ref="A9:K9"/>
  </mergeCells>
  <pageMargins left="0.59055118110236215" right="0" top="0.39370078740157483" bottom="0" header="0" footer="0"/>
  <pageSetup scale="82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K30"/>
  <sheetViews>
    <sheetView workbookViewId="0">
      <selection activeCell="M9" sqref="M9"/>
    </sheetView>
  </sheetViews>
  <sheetFormatPr defaultRowHeight="14.4" x14ac:dyDescent="0.3"/>
  <cols>
    <col min="1" max="1" width="4.44140625" bestFit="1" customWidth="1"/>
    <col min="2" max="2" width="25.6640625" bestFit="1" customWidth="1"/>
    <col min="3" max="3" width="12.6640625" bestFit="1" customWidth="1"/>
    <col min="4" max="4" width="13.88671875" bestFit="1" customWidth="1"/>
    <col min="5" max="5" width="11.44140625" bestFit="1" customWidth="1"/>
    <col min="6" max="6" width="6.88671875" bestFit="1" customWidth="1"/>
    <col min="7" max="7" width="12.88671875" bestFit="1" customWidth="1"/>
    <col min="8" max="8" width="10.33203125" bestFit="1" customWidth="1"/>
    <col min="9" max="9" width="10" bestFit="1" customWidth="1"/>
    <col min="10" max="10" width="16.88671875" bestFit="1" customWidth="1"/>
    <col min="11" max="11" width="28.5546875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475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 t="s">
        <v>14</v>
      </c>
      <c r="C5" s="47">
        <v>26400</v>
      </c>
      <c r="D5" s="4">
        <v>46269</v>
      </c>
      <c r="E5" s="5">
        <v>0</v>
      </c>
      <c r="F5" s="3" t="s">
        <v>15</v>
      </c>
      <c r="G5" s="39">
        <v>465</v>
      </c>
      <c r="H5" s="6">
        <v>0</v>
      </c>
      <c r="I5" s="3" t="s">
        <v>16</v>
      </c>
      <c r="J5" s="4">
        <f>+D5-1</f>
        <v>46268</v>
      </c>
      <c r="K5" s="7" t="s">
        <v>224</v>
      </c>
    </row>
    <row r="6" spans="1:11" ht="15.75" customHeight="1" x14ac:dyDescent="0.3">
      <c r="A6" s="3">
        <v>2</v>
      </c>
      <c r="B6" s="3"/>
      <c r="C6" s="47">
        <v>0</v>
      </c>
      <c r="D6" s="4">
        <v>46269</v>
      </c>
      <c r="E6" s="5">
        <v>0</v>
      </c>
      <c r="F6" s="3" t="s">
        <v>15</v>
      </c>
      <c r="G6" s="39"/>
      <c r="H6" s="6">
        <v>0</v>
      </c>
      <c r="I6" s="3" t="s">
        <v>16</v>
      </c>
      <c r="J6" s="4">
        <f>+D6-1</f>
        <v>46268</v>
      </c>
      <c r="K6" s="7"/>
    </row>
    <row r="7" spans="1:11" ht="18.75" customHeight="1" x14ac:dyDescent="0.35">
      <c r="A7" s="8"/>
      <c r="B7" s="9" t="s">
        <v>20</v>
      </c>
      <c r="C7" s="48">
        <f>SUM(C5:C6)</f>
        <v>26400</v>
      </c>
      <c r="D7" s="3"/>
      <c r="E7" s="11"/>
      <c r="F7" s="8"/>
      <c r="G7" s="12"/>
      <c r="H7" s="10">
        <f>SUM(H5:H5)</f>
        <v>0</v>
      </c>
      <c r="I7" s="8"/>
      <c r="J7" s="8"/>
      <c r="K7" s="8"/>
    </row>
    <row r="9" spans="1:11" ht="24" customHeight="1" x14ac:dyDescent="0.45">
      <c r="A9" s="70" t="s">
        <v>21</v>
      </c>
      <c r="B9" s="63"/>
      <c r="C9" s="63"/>
      <c r="D9" s="63"/>
      <c r="E9" s="63"/>
      <c r="F9" s="63"/>
      <c r="G9" s="63"/>
      <c r="H9" s="63"/>
      <c r="I9" s="63"/>
      <c r="J9" s="63"/>
      <c r="K9" s="64"/>
    </row>
    <row r="10" spans="1:11" ht="15.75" customHeight="1" x14ac:dyDescent="0.3">
      <c r="A10" s="3">
        <v>1</v>
      </c>
      <c r="B10" s="3" t="s">
        <v>476</v>
      </c>
      <c r="C10" s="47">
        <v>1265</v>
      </c>
      <c r="D10" s="4">
        <v>46269</v>
      </c>
      <c r="E10" s="13">
        <v>0</v>
      </c>
      <c r="F10" s="12" t="s">
        <v>23</v>
      </c>
      <c r="G10" s="41">
        <v>7165</v>
      </c>
      <c r="H10" s="14">
        <v>0</v>
      </c>
      <c r="I10" s="3" t="s">
        <v>24</v>
      </c>
      <c r="J10" s="4">
        <f t="shared" ref="J10:J19" si="0">+D10+1</f>
        <v>46270</v>
      </c>
      <c r="K10" s="12" t="s">
        <v>25</v>
      </c>
    </row>
    <row r="11" spans="1:11" ht="15.75" customHeight="1" x14ac:dyDescent="0.3">
      <c r="A11" s="3">
        <v>2</v>
      </c>
      <c r="B11" s="3" t="s">
        <v>477</v>
      </c>
      <c r="C11" s="47">
        <v>2100</v>
      </c>
      <c r="D11" s="4">
        <f t="shared" ref="D11:D19" si="1">+D10</f>
        <v>46269</v>
      </c>
      <c r="E11" s="13">
        <v>0</v>
      </c>
      <c r="F11" s="12" t="s">
        <v>23</v>
      </c>
      <c r="G11" s="41">
        <v>8933</v>
      </c>
      <c r="H11" s="14">
        <v>0</v>
      </c>
      <c r="I11" s="3" t="s">
        <v>16</v>
      </c>
      <c r="J11" s="4">
        <f t="shared" si="0"/>
        <v>46270</v>
      </c>
      <c r="K11" s="12" t="s">
        <v>28</v>
      </c>
    </row>
    <row r="12" spans="1:11" ht="15.75" customHeight="1" x14ac:dyDescent="0.3">
      <c r="A12" s="3">
        <v>3</v>
      </c>
      <c r="B12" s="3" t="s">
        <v>478</v>
      </c>
      <c r="C12" s="47">
        <v>20940</v>
      </c>
      <c r="D12" s="4">
        <f t="shared" si="1"/>
        <v>46269</v>
      </c>
      <c r="E12" s="13">
        <v>0</v>
      </c>
      <c r="F12" s="12" t="s">
        <v>23</v>
      </c>
      <c r="G12" s="41">
        <v>2144</v>
      </c>
      <c r="H12" s="14">
        <v>0</v>
      </c>
      <c r="I12" s="3" t="s">
        <v>16</v>
      </c>
      <c r="J12" s="4">
        <f t="shared" si="0"/>
        <v>46270</v>
      </c>
      <c r="K12" s="12" t="s">
        <v>479</v>
      </c>
    </row>
    <row r="13" spans="1:11" ht="15.75" customHeight="1" x14ac:dyDescent="0.3">
      <c r="A13" s="3">
        <v>4</v>
      </c>
      <c r="B13" s="3" t="s">
        <v>480</v>
      </c>
      <c r="C13" s="47">
        <v>770</v>
      </c>
      <c r="D13" s="4">
        <f t="shared" si="1"/>
        <v>46269</v>
      </c>
      <c r="E13" s="13">
        <v>0</v>
      </c>
      <c r="F13" s="12" t="s">
        <v>23</v>
      </c>
      <c r="G13" s="41">
        <v>8917</v>
      </c>
      <c r="H13" s="14">
        <v>0</v>
      </c>
      <c r="I13" s="3" t="s">
        <v>16</v>
      </c>
      <c r="J13" s="4">
        <f t="shared" si="0"/>
        <v>46270</v>
      </c>
      <c r="K13" s="12" t="s">
        <v>28</v>
      </c>
    </row>
    <row r="14" spans="1:11" ht="15.75" customHeight="1" x14ac:dyDescent="0.3">
      <c r="A14" s="3">
        <v>5</v>
      </c>
      <c r="B14" s="3" t="s">
        <v>396</v>
      </c>
      <c r="C14" s="47">
        <v>9000</v>
      </c>
      <c r="D14" s="4">
        <f t="shared" si="1"/>
        <v>46269</v>
      </c>
      <c r="E14" s="13">
        <v>0</v>
      </c>
      <c r="F14" s="12" t="s">
        <v>23</v>
      </c>
      <c r="G14" s="41">
        <v>4249</v>
      </c>
      <c r="H14" s="14">
        <v>0</v>
      </c>
      <c r="I14" s="3" t="s">
        <v>16</v>
      </c>
      <c r="J14" s="4">
        <f t="shared" si="0"/>
        <v>46270</v>
      </c>
      <c r="K14" s="12" t="s">
        <v>481</v>
      </c>
    </row>
    <row r="15" spans="1:11" ht="15.75" customHeight="1" x14ac:dyDescent="0.3">
      <c r="A15" s="3">
        <v>6</v>
      </c>
      <c r="B15" s="3" t="s">
        <v>396</v>
      </c>
      <c r="C15" s="47">
        <v>20000</v>
      </c>
      <c r="D15" s="4">
        <f t="shared" si="1"/>
        <v>46269</v>
      </c>
      <c r="E15" s="13">
        <v>0</v>
      </c>
      <c r="F15" s="12" t="s">
        <v>23</v>
      </c>
      <c r="G15" s="41">
        <v>558</v>
      </c>
      <c r="H15" s="14">
        <v>0</v>
      </c>
      <c r="I15" s="3" t="s">
        <v>16</v>
      </c>
      <c r="J15" s="4">
        <f t="shared" si="0"/>
        <v>46270</v>
      </c>
      <c r="K15" s="12" t="s">
        <v>481</v>
      </c>
    </row>
    <row r="16" spans="1:11" ht="15.75" customHeight="1" x14ac:dyDescent="0.3">
      <c r="A16" s="3">
        <v>7</v>
      </c>
      <c r="B16" s="3" t="s">
        <v>482</v>
      </c>
      <c r="C16" s="47">
        <v>2570</v>
      </c>
      <c r="D16" s="4">
        <f t="shared" si="1"/>
        <v>46269</v>
      </c>
      <c r="E16" s="13">
        <v>0</v>
      </c>
      <c r="F16" s="12" t="s">
        <v>23</v>
      </c>
      <c r="G16" s="41">
        <v>4263</v>
      </c>
      <c r="H16" s="14">
        <v>0</v>
      </c>
      <c r="I16" s="3" t="s">
        <v>16</v>
      </c>
      <c r="J16" s="4">
        <f t="shared" si="0"/>
        <v>46270</v>
      </c>
      <c r="K16" s="12" t="s">
        <v>28</v>
      </c>
    </row>
    <row r="17" spans="1:11" ht="15.75" customHeight="1" x14ac:dyDescent="0.3">
      <c r="A17" s="3">
        <v>8</v>
      </c>
      <c r="B17" s="3" t="s">
        <v>483</v>
      </c>
      <c r="C17" s="47">
        <v>920</v>
      </c>
      <c r="D17" s="4">
        <f t="shared" si="1"/>
        <v>46269</v>
      </c>
      <c r="E17" s="13">
        <v>0</v>
      </c>
      <c r="F17" s="12" t="s">
        <v>23</v>
      </c>
      <c r="G17" s="41">
        <v>4247</v>
      </c>
      <c r="H17" s="14">
        <v>0</v>
      </c>
      <c r="I17" s="3" t="s">
        <v>16</v>
      </c>
      <c r="J17" s="4">
        <f t="shared" si="0"/>
        <v>46270</v>
      </c>
      <c r="K17" s="12" t="s">
        <v>28</v>
      </c>
    </row>
    <row r="18" spans="1:11" ht="15.75" customHeight="1" x14ac:dyDescent="0.3">
      <c r="A18" s="3">
        <v>9</v>
      </c>
      <c r="B18" s="3" t="s">
        <v>484</v>
      </c>
      <c r="C18" s="47">
        <v>3170</v>
      </c>
      <c r="D18" s="4">
        <f t="shared" si="1"/>
        <v>46269</v>
      </c>
      <c r="E18" s="13">
        <v>0</v>
      </c>
      <c r="F18" s="12" t="s">
        <v>23</v>
      </c>
      <c r="G18" s="41">
        <v>1394</v>
      </c>
      <c r="H18" s="14">
        <v>0</v>
      </c>
      <c r="I18" s="3" t="s">
        <v>16</v>
      </c>
      <c r="J18" s="4">
        <f t="shared" si="0"/>
        <v>46270</v>
      </c>
      <c r="K18" s="12" t="s">
        <v>28</v>
      </c>
    </row>
    <row r="19" spans="1:11" ht="15.75" customHeight="1" x14ac:dyDescent="0.3">
      <c r="A19" s="3">
        <v>10</v>
      </c>
      <c r="B19" s="3" t="s">
        <v>340</v>
      </c>
      <c r="C19" s="47">
        <v>2880</v>
      </c>
      <c r="D19" s="4">
        <f t="shared" si="1"/>
        <v>46269</v>
      </c>
      <c r="E19" s="13">
        <v>0</v>
      </c>
      <c r="F19" s="12" t="s">
        <v>23</v>
      </c>
      <c r="G19" s="41">
        <v>200</v>
      </c>
      <c r="H19" s="14">
        <v>0</v>
      </c>
      <c r="I19" s="3" t="s">
        <v>16</v>
      </c>
      <c r="J19" s="4">
        <f t="shared" si="0"/>
        <v>46270</v>
      </c>
      <c r="K19" s="12" t="s">
        <v>28</v>
      </c>
    </row>
    <row r="20" spans="1:11" ht="18.75" customHeight="1" x14ac:dyDescent="0.35">
      <c r="A20" s="3"/>
      <c r="B20" s="15" t="s">
        <v>20</v>
      </c>
      <c r="C20" s="49">
        <f>SUM(C10:C19)</f>
        <v>63615</v>
      </c>
      <c r="D20" s="3"/>
      <c r="E20" s="3"/>
      <c r="F20" s="12"/>
      <c r="G20" s="12"/>
      <c r="H20" s="10"/>
      <c r="I20" s="3"/>
      <c r="J20" s="3"/>
      <c r="K20" s="3"/>
    </row>
    <row r="21" spans="1:11" ht="24.75" customHeight="1" x14ac:dyDescent="0.6">
      <c r="A21" s="71" t="s">
        <v>39</v>
      </c>
      <c r="B21" s="63"/>
      <c r="C21" s="63"/>
      <c r="D21" s="63"/>
      <c r="E21" s="63"/>
      <c r="F21" s="63"/>
      <c r="G21" s="63"/>
      <c r="H21" s="63"/>
      <c r="I21" s="63"/>
      <c r="J21" s="63"/>
      <c r="K21" s="64"/>
    </row>
    <row r="22" spans="1:11" ht="18.75" customHeight="1" x14ac:dyDescent="0.35">
      <c r="A22" s="16" t="s">
        <v>3</v>
      </c>
      <c r="B22" s="16" t="s">
        <v>40</v>
      </c>
      <c r="C22" s="40" t="s">
        <v>5</v>
      </c>
      <c r="D22" s="1" t="s">
        <v>41</v>
      </c>
      <c r="E22" s="16" t="s">
        <v>7</v>
      </c>
      <c r="F22" s="16" t="s">
        <v>8</v>
      </c>
      <c r="G22" s="16" t="s">
        <v>42</v>
      </c>
      <c r="H22" s="17" t="s">
        <v>43</v>
      </c>
      <c r="I22" s="16" t="s">
        <v>11</v>
      </c>
      <c r="J22" s="16" t="s">
        <v>44</v>
      </c>
      <c r="K22" s="18" t="s">
        <v>45</v>
      </c>
    </row>
    <row r="23" spans="1:11" ht="15.75" customHeight="1" x14ac:dyDescent="0.3">
      <c r="A23" s="7">
        <v>1</v>
      </c>
      <c r="B23" s="7" t="s">
        <v>47</v>
      </c>
      <c r="C23" s="42">
        <v>26601</v>
      </c>
      <c r="D23" s="4">
        <v>46269</v>
      </c>
      <c r="E23" s="7"/>
      <c r="F23" s="7"/>
      <c r="G23" s="19">
        <v>92</v>
      </c>
      <c r="H23" s="20"/>
      <c r="I23" s="21"/>
      <c r="J23" s="4">
        <v>46269</v>
      </c>
      <c r="K23" s="12" t="s">
        <v>28</v>
      </c>
    </row>
    <row r="24" spans="1:11" ht="15.75" customHeight="1" x14ac:dyDescent="0.3">
      <c r="A24" s="7">
        <v>2</v>
      </c>
      <c r="B24" s="7" t="s">
        <v>485</v>
      </c>
      <c r="C24" s="42">
        <v>5555</v>
      </c>
      <c r="D24" s="4">
        <v>46269</v>
      </c>
      <c r="E24" s="7"/>
      <c r="F24" s="7"/>
      <c r="G24" s="19">
        <v>3250</v>
      </c>
      <c r="H24" s="20"/>
      <c r="I24" s="21"/>
      <c r="J24" s="4">
        <v>46269</v>
      </c>
      <c r="K24" s="12" t="s">
        <v>486</v>
      </c>
    </row>
    <row r="25" spans="1:11" ht="18.75" customHeight="1" x14ac:dyDescent="0.3">
      <c r="A25" s="7"/>
      <c r="B25" s="22" t="s">
        <v>52</v>
      </c>
      <c r="C25" s="50">
        <f>SUM(C23:C24)</f>
        <v>32156</v>
      </c>
      <c r="D25" s="3"/>
      <c r="E25" s="7"/>
      <c r="F25" s="7"/>
      <c r="G25" s="7"/>
      <c r="H25" s="23">
        <v>0</v>
      </c>
      <c r="I25" s="21"/>
      <c r="J25" s="3"/>
      <c r="K25" s="24"/>
    </row>
    <row r="26" spans="1:11" x14ac:dyDescent="0.3">
      <c r="C26" s="25"/>
      <c r="H26" s="25"/>
    </row>
    <row r="27" spans="1:11" ht="16.5" customHeight="1" x14ac:dyDescent="0.35">
      <c r="B27" s="26" t="s">
        <v>53</v>
      </c>
      <c r="C27" s="43">
        <f>SUM(C10,C12)</f>
        <v>22205</v>
      </c>
      <c r="E27" s="27"/>
      <c r="F27" s="27"/>
      <c r="G27" s="66"/>
      <c r="H27" s="67"/>
    </row>
    <row r="28" spans="1:11" ht="16.5" customHeight="1" x14ac:dyDescent="0.35">
      <c r="B28" s="28" t="s">
        <v>54</v>
      </c>
      <c r="C28" s="44">
        <f>SUM(C11,C13,C14,C15,C16,C17,C18,C19)</f>
        <v>41410</v>
      </c>
      <c r="E28" s="29"/>
      <c r="F28" s="29"/>
      <c r="G28" s="30" t="s">
        <v>55</v>
      </c>
      <c r="H28" s="31"/>
    </row>
    <row r="29" spans="1:11" ht="24" customHeight="1" x14ac:dyDescent="0.45">
      <c r="B29" s="32" t="s">
        <v>63</v>
      </c>
      <c r="C29" s="45"/>
      <c r="E29" s="33" t="s">
        <v>57</v>
      </c>
      <c r="F29" s="34"/>
      <c r="G29" s="35"/>
      <c r="H29" s="36"/>
      <c r="I29" s="35"/>
      <c r="J29" s="37"/>
    </row>
    <row r="30" spans="1:11" ht="18.75" customHeight="1" x14ac:dyDescent="0.35">
      <c r="B30" s="38" t="s">
        <v>20</v>
      </c>
      <c r="C30" s="46">
        <f>SUM(C27:C29)</f>
        <v>63615</v>
      </c>
      <c r="G30" s="30"/>
      <c r="H30" s="31"/>
      <c r="I30" s="30"/>
      <c r="J30" s="30"/>
    </row>
  </sheetData>
  <mergeCells count="6">
    <mergeCell ref="A3:K3"/>
    <mergeCell ref="A21:K21"/>
    <mergeCell ref="G27:H27"/>
    <mergeCell ref="A2:K2"/>
    <mergeCell ref="A1:K1"/>
    <mergeCell ref="A9:K9"/>
  </mergeCells>
  <pageMargins left="0.59055118110236215" right="0" top="0.39370078740157483" bottom="0" header="0" footer="0"/>
  <pageSetup scale="85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32"/>
  <sheetViews>
    <sheetView topLeftCell="A18" workbookViewId="0">
      <selection activeCell="E16" sqref="E16"/>
    </sheetView>
  </sheetViews>
  <sheetFormatPr defaultRowHeight="14.4" x14ac:dyDescent="0.3"/>
  <cols>
    <col min="1" max="1" width="4.44140625" bestFit="1" customWidth="1"/>
    <col min="2" max="2" width="24" bestFit="1" customWidth="1"/>
    <col min="3" max="3" width="12.6640625" bestFit="1" customWidth="1"/>
    <col min="4" max="4" width="13.88671875" bestFit="1" customWidth="1"/>
    <col min="5" max="6" width="9.5546875" customWidth="1"/>
    <col min="7" max="7" width="12.88671875" bestFit="1" customWidth="1"/>
    <col min="8" max="8" width="10.33203125" bestFit="1" customWidth="1"/>
    <col min="9" max="9" width="9.44140625" customWidth="1"/>
    <col min="10" max="10" width="16.88671875" bestFit="1" customWidth="1"/>
    <col min="11" max="11" width="42.5546875" bestFit="1" customWidth="1"/>
  </cols>
  <sheetData>
    <row r="1" spans="1:11" ht="24.75" customHeight="1" x14ac:dyDescent="0.3">
      <c r="A1" s="68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1" ht="21" customHeight="1" x14ac:dyDescent="0.4">
      <c r="A2" s="65" t="s">
        <v>487</v>
      </c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24" customHeight="1" x14ac:dyDescent="0.45">
      <c r="A3" s="62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8.75" customHeight="1" x14ac:dyDescent="0.35">
      <c r="A4" s="1" t="s">
        <v>3</v>
      </c>
      <c r="B4" s="1" t="s">
        <v>4</v>
      </c>
      <c r="C4" s="2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1" t="s">
        <v>11</v>
      </c>
      <c r="J4" s="1" t="s">
        <v>12</v>
      </c>
      <c r="K4" s="1" t="s">
        <v>13</v>
      </c>
    </row>
    <row r="5" spans="1:11" ht="15.75" customHeight="1" x14ac:dyDescent="0.3">
      <c r="A5" s="3">
        <v>1</v>
      </c>
      <c r="B5" s="3"/>
      <c r="C5" s="47">
        <v>0</v>
      </c>
      <c r="D5" s="4">
        <v>46270</v>
      </c>
      <c r="E5" s="5">
        <v>0</v>
      </c>
      <c r="F5" s="3" t="s">
        <v>15</v>
      </c>
      <c r="G5" s="39"/>
      <c r="H5" s="6">
        <v>0</v>
      </c>
      <c r="I5" s="3" t="s">
        <v>16</v>
      </c>
      <c r="J5" s="4">
        <f>+D5-1</f>
        <v>46269</v>
      </c>
      <c r="K5" s="7" t="s">
        <v>85</v>
      </c>
    </row>
    <row r="6" spans="1:11" ht="18.75" customHeight="1" x14ac:dyDescent="0.35">
      <c r="A6" s="8"/>
      <c r="B6" s="9" t="s">
        <v>20</v>
      </c>
      <c r="C6" s="48">
        <f>SUM(C5:C5)</f>
        <v>0</v>
      </c>
      <c r="D6" s="3"/>
      <c r="E6" s="11"/>
      <c r="F6" s="8"/>
      <c r="G6" s="12"/>
      <c r="H6" s="10">
        <f>SUM(H5:H5)</f>
        <v>0</v>
      </c>
      <c r="I6" s="8"/>
      <c r="J6" s="8"/>
      <c r="K6" s="8"/>
    </row>
    <row r="8" spans="1:11" ht="24" customHeight="1" x14ac:dyDescent="0.45">
      <c r="A8" s="70" t="s">
        <v>21</v>
      </c>
      <c r="B8" s="63"/>
      <c r="C8" s="63"/>
      <c r="D8" s="63"/>
      <c r="E8" s="63"/>
      <c r="F8" s="63"/>
      <c r="G8" s="63"/>
      <c r="H8" s="63"/>
      <c r="I8" s="63"/>
      <c r="J8" s="63"/>
      <c r="K8" s="64"/>
    </row>
    <row r="9" spans="1:11" ht="15.75" customHeight="1" x14ac:dyDescent="0.3">
      <c r="A9" s="3">
        <v>1</v>
      </c>
      <c r="B9" s="3" t="s">
        <v>488</v>
      </c>
      <c r="C9" s="47">
        <v>1760</v>
      </c>
      <c r="D9" s="4">
        <v>46270</v>
      </c>
      <c r="E9" s="13">
        <v>0</v>
      </c>
      <c r="F9" s="12" t="s">
        <v>23</v>
      </c>
      <c r="G9" s="41">
        <v>8078</v>
      </c>
      <c r="H9" s="14">
        <v>0</v>
      </c>
      <c r="I9" s="3" t="s">
        <v>24</v>
      </c>
      <c r="J9" s="4">
        <f t="shared" ref="J9:J17" si="0">+D9+1</f>
        <v>46271</v>
      </c>
      <c r="K9" s="12"/>
    </row>
    <row r="10" spans="1:11" ht="15.75" customHeight="1" x14ac:dyDescent="0.3">
      <c r="A10" s="3">
        <v>2</v>
      </c>
      <c r="B10" s="3" t="s">
        <v>489</v>
      </c>
      <c r="C10" s="47">
        <v>785</v>
      </c>
      <c r="D10" s="4">
        <f t="shared" ref="D10:D17" si="1">+D9</f>
        <v>46270</v>
      </c>
      <c r="E10" s="13">
        <v>0</v>
      </c>
      <c r="F10" s="12" t="s">
        <v>23</v>
      </c>
      <c r="G10" s="41">
        <v>5563</v>
      </c>
      <c r="H10" s="14">
        <v>0</v>
      </c>
      <c r="I10" s="3" t="s">
        <v>16</v>
      </c>
      <c r="J10" s="4">
        <f t="shared" si="0"/>
        <v>46271</v>
      </c>
      <c r="K10" s="12"/>
    </row>
    <row r="11" spans="1:11" ht="15.75" customHeight="1" x14ac:dyDescent="0.3">
      <c r="A11" s="3">
        <v>3</v>
      </c>
      <c r="B11" s="3" t="s">
        <v>490</v>
      </c>
      <c r="C11" s="47">
        <v>7400</v>
      </c>
      <c r="D11" s="4">
        <f t="shared" si="1"/>
        <v>46270</v>
      </c>
      <c r="E11" s="13">
        <v>0</v>
      </c>
      <c r="F11" s="12" t="s">
        <v>23</v>
      </c>
      <c r="G11" s="41">
        <v>4721</v>
      </c>
      <c r="H11" s="14">
        <v>0</v>
      </c>
      <c r="I11" s="3" t="s">
        <v>16</v>
      </c>
      <c r="J11" s="4">
        <f t="shared" si="0"/>
        <v>46271</v>
      </c>
      <c r="K11" s="12" t="s">
        <v>491</v>
      </c>
    </row>
    <row r="12" spans="1:11" ht="15.75" customHeight="1" x14ac:dyDescent="0.3">
      <c r="A12" s="3">
        <v>4</v>
      </c>
      <c r="B12" s="3" t="s">
        <v>457</v>
      </c>
      <c r="C12" s="47">
        <v>1400</v>
      </c>
      <c r="D12" s="4">
        <f t="shared" si="1"/>
        <v>46270</v>
      </c>
      <c r="E12" s="13">
        <v>0</v>
      </c>
      <c r="F12" s="12" t="s">
        <v>23</v>
      </c>
      <c r="G12" s="41">
        <v>7900</v>
      </c>
      <c r="H12" s="14">
        <v>0</v>
      </c>
      <c r="I12" s="3" t="s">
        <v>16</v>
      </c>
      <c r="J12" s="4">
        <f t="shared" si="0"/>
        <v>46271</v>
      </c>
      <c r="K12" s="12" t="s">
        <v>73</v>
      </c>
    </row>
    <row r="13" spans="1:11" ht="15.75" customHeight="1" x14ac:dyDescent="0.3">
      <c r="A13" s="3">
        <v>5</v>
      </c>
      <c r="B13" s="3" t="s">
        <v>492</v>
      </c>
      <c r="C13" s="47">
        <v>1010</v>
      </c>
      <c r="D13" s="4">
        <f t="shared" si="1"/>
        <v>46270</v>
      </c>
      <c r="E13" s="13">
        <v>0</v>
      </c>
      <c r="F13" s="12" t="s">
        <v>23</v>
      </c>
      <c r="G13" s="41">
        <v>5016</v>
      </c>
      <c r="H13" s="14">
        <v>0</v>
      </c>
      <c r="I13" s="3" t="s">
        <v>16</v>
      </c>
      <c r="J13" s="4">
        <f t="shared" si="0"/>
        <v>46271</v>
      </c>
      <c r="K13" s="12"/>
    </row>
    <row r="14" spans="1:11" ht="15.75" customHeight="1" x14ac:dyDescent="0.3">
      <c r="A14" s="3">
        <v>6</v>
      </c>
      <c r="B14" s="3" t="s">
        <v>140</v>
      </c>
      <c r="C14" s="47">
        <v>3680</v>
      </c>
      <c r="D14" s="4">
        <f t="shared" si="1"/>
        <v>46270</v>
      </c>
      <c r="E14" s="13">
        <v>0</v>
      </c>
      <c r="F14" s="12" t="s">
        <v>23</v>
      </c>
      <c r="G14" s="41">
        <v>5852</v>
      </c>
      <c r="H14" s="14">
        <v>0</v>
      </c>
      <c r="I14" s="3" t="s">
        <v>16</v>
      </c>
      <c r="J14" s="4">
        <f t="shared" si="0"/>
        <v>46271</v>
      </c>
      <c r="K14" s="12"/>
    </row>
    <row r="15" spans="1:11" ht="15.75" customHeight="1" x14ac:dyDescent="0.3">
      <c r="A15" s="3">
        <v>7</v>
      </c>
      <c r="B15" s="3" t="s">
        <v>493</v>
      </c>
      <c r="C15" s="47">
        <v>1175</v>
      </c>
      <c r="D15" s="4">
        <f t="shared" si="1"/>
        <v>46270</v>
      </c>
      <c r="E15" s="13">
        <v>0</v>
      </c>
      <c r="F15" s="12" t="s">
        <v>23</v>
      </c>
      <c r="G15" s="41">
        <v>6571</v>
      </c>
      <c r="H15" s="14">
        <v>0</v>
      </c>
      <c r="I15" s="3" t="s">
        <v>16</v>
      </c>
      <c r="J15" s="4">
        <f t="shared" si="0"/>
        <v>46271</v>
      </c>
      <c r="K15" s="12"/>
    </row>
    <row r="16" spans="1:11" ht="15.75" customHeight="1" x14ac:dyDescent="0.3">
      <c r="A16" s="3">
        <v>8</v>
      </c>
      <c r="B16" s="3" t="s">
        <v>102</v>
      </c>
      <c r="C16" s="47">
        <v>155</v>
      </c>
      <c r="D16" s="4">
        <f t="shared" si="1"/>
        <v>46270</v>
      </c>
      <c r="E16" s="13">
        <v>0</v>
      </c>
      <c r="F16" s="12" t="s">
        <v>23</v>
      </c>
      <c r="G16" s="41">
        <v>3569</v>
      </c>
      <c r="H16" s="14">
        <v>0</v>
      </c>
      <c r="I16" s="3" t="s">
        <v>16</v>
      </c>
      <c r="J16" s="4">
        <f t="shared" si="0"/>
        <v>46271</v>
      </c>
      <c r="K16" s="12" t="s">
        <v>73</v>
      </c>
    </row>
    <row r="17" spans="1:11" ht="15.75" customHeight="1" x14ac:dyDescent="0.3">
      <c r="A17" s="3">
        <v>9</v>
      </c>
      <c r="B17" s="3" t="s">
        <v>494</v>
      </c>
      <c r="C17" s="47">
        <v>21000</v>
      </c>
      <c r="D17" s="4">
        <f t="shared" si="1"/>
        <v>46270</v>
      </c>
      <c r="E17" s="13">
        <v>0</v>
      </c>
      <c r="F17" s="12" t="s">
        <v>23</v>
      </c>
      <c r="G17" s="41">
        <v>8508</v>
      </c>
      <c r="H17" s="14">
        <v>0</v>
      </c>
      <c r="I17" s="3" t="s">
        <v>16</v>
      </c>
      <c r="J17" s="4">
        <f t="shared" si="0"/>
        <v>46271</v>
      </c>
      <c r="K17" s="12" t="s">
        <v>495</v>
      </c>
    </row>
    <row r="18" spans="1:11" ht="18.75" customHeight="1" x14ac:dyDescent="0.35">
      <c r="A18" s="3"/>
      <c r="B18" s="15" t="s">
        <v>20</v>
      </c>
      <c r="C18" s="49">
        <f>SUM(C9:C17)</f>
        <v>38365</v>
      </c>
      <c r="D18" s="3"/>
      <c r="E18" s="3"/>
      <c r="F18" s="12"/>
      <c r="G18" s="12"/>
      <c r="H18" s="10"/>
      <c r="I18" s="3"/>
      <c r="J18" s="3"/>
      <c r="K18" s="3"/>
    </row>
    <row r="19" spans="1:11" ht="24.75" customHeight="1" x14ac:dyDescent="0.6">
      <c r="A19" s="71" t="s">
        <v>39</v>
      </c>
      <c r="B19" s="63"/>
      <c r="C19" s="63"/>
      <c r="D19" s="63"/>
      <c r="E19" s="63"/>
      <c r="F19" s="63"/>
      <c r="G19" s="63"/>
      <c r="H19" s="63"/>
      <c r="I19" s="63"/>
      <c r="J19" s="63"/>
      <c r="K19" s="64"/>
    </row>
    <row r="20" spans="1:11" ht="18.75" customHeight="1" x14ac:dyDescent="0.35">
      <c r="A20" s="16" t="s">
        <v>3</v>
      </c>
      <c r="B20" s="16" t="s">
        <v>40</v>
      </c>
      <c r="C20" s="40" t="s">
        <v>5</v>
      </c>
      <c r="D20" s="1" t="s">
        <v>41</v>
      </c>
      <c r="E20" s="16" t="s">
        <v>7</v>
      </c>
      <c r="F20" s="16" t="s">
        <v>8</v>
      </c>
      <c r="G20" s="16" t="s">
        <v>42</v>
      </c>
      <c r="H20" s="17" t="s">
        <v>43</v>
      </c>
      <c r="I20" s="16" t="s">
        <v>11</v>
      </c>
      <c r="J20" s="16" t="s">
        <v>44</v>
      </c>
      <c r="K20" s="18" t="s">
        <v>45</v>
      </c>
    </row>
    <row r="21" spans="1:11" ht="15.75" customHeight="1" x14ac:dyDescent="0.3">
      <c r="A21" s="7">
        <v>1</v>
      </c>
      <c r="B21" s="7" t="s">
        <v>463</v>
      </c>
      <c r="C21" s="42">
        <v>36831</v>
      </c>
      <c r="D21" s="4">
        <v>46270</v>
      </c>
      <c r="E21" s="7"/>
      <c r="F21" s="7"/>
      <c r="G21" s="19">
        <v>17</v>
      </c>
      <c r="H21" s="20"/>
      <c r="I21" s="21"/>
      <c r="J21" s="4">
        <v>46270</v>
      </c>
      <c r="K21" s="12" t="s">
        <v>28</v>
      </c>
    </row>
    <row r="22" spans="1:11" ht="15.75" customHeight="1" x14ac:dyDescent="0.3">
      <c r="A22" s="7">
        <v>2</v>
      </c>
      <c r="B22" s="7" t="s">
        <v>107</v>
      </c>
      <c r="C22" s="42">
        <v>2.36</v>
      </c>
      <c r="D22" s="4">
        <v>46270</v>
      </c>
      <c r="E22" s="7"/>
      <c r="F22" s="7"/>
      <c r="G22" s="19">
        <v>0</v>
      </c>
      <c r="H22" s="20"/>
      <c r="I22" s="21"/>
      <c r="J22" s="4">
        <v>46270</v>
      </c>
      <c r="K22" s="12" t="s">
        <v>496</v>
      </c>
    </row>
    <row r="23" spans="1:11" ht="15.75" customHeight="1" x14ac:dyDescent="0.3">
      <c r="A23" s="7">
        <v>3</v>
      </c>
      <c r="B23" s="7" t="s">
        <v>497</v>
      </c>
      <c r="C23" s="42">
        <v>12000</v>
      </c>
      <c r="D23" s="4">
        <v>46270</v>
      </c>
      <c r="E23" s="7"/>
      <c r="F23" s="7"/>
      <c r="G23" s="19">
        <v>7519</v>
      </c>
      <c r="H23" s="20"/>
      <c r="I23" s="21"/>
      <c r="J23" s="4">
        <v>46270</v>
      </c>
      <c r="K23" s="12" t="s">
        <v>163</v>
      </c>
    </row>
    <row r="24" spans="1:11" ht="15.75" customHeight="1" x14ac:dyDescent="0.3">
      <c r="A24" s="7">
        <v>4</v>
      </c>
      <c r="B24" s="7" t="s">
        <v>105</v>
      </c>
      <c r="C24" s="42">
        <v>19500</v>
      </c>
      <c r="D24" s="4">
        <v>46270</v>
      </c>
      <c r="E24" s="7"/>
      <c r="F24" s="7"/>
      <c r="G24" s="19">
        <v>8500</v>
      </c>
      <c r="H24" s="20"/>
      <c r="I24" s="21"/>
      <c r="J24" s="4">
        <v>46270</v>
      </c>
      <c r="K24" s="12" t="s">
        <v>345</v>
      </c>
    </row>
    <row r="25" spans="1:11" ht="15.75" customHeight="1" x14ac:dyDescent="0.3">
      <c r="A25" s="7">
        <v>5</v>
      </c>
      <c r="B25" s="7" t="s">
        <v>498</v>
      </c>
      <c r="C25" s="42">
        <v>26000</v>
      </c>
      <c r="D25" s="4">
        <v>46270</v>
      </c>
      <c r="E25" s="7"/>
      <c r="F25" s="7"/>
      <c r="G25" s="19">
        <v>4873</v>
      </c>
      <c r="H25" s="20"/>
      <c r="I25" s="21"/>
      <c r="J25" s="4">
        <v>46270</v>
      </c>
      <c r="K25" s="12" t="s">
        <v>499</v>
      </c>
    </row>
    <row r="26" spans="1:11" ht="15.75" customHeight="1" x14ac:dyDescent="0.3">
      <c r="A26" s="7">
        <v>6</v>
      </c>
      <c r="B26" s="7" t="s">
        <v>262</v>
      </c>
      <c r="C26" s="42">
        <v>3000</v>
      </c>
      <c r="D26" s="4">
        <v>46270</v>
      </c>
      <c r="E26" s="7"/>
      <c r="F26" s="7"/>
      <c r="G26" s="19">
        <v>2617</v>
      </c>
      <c r="H26" s="20"/>
      <c r="I26" s="21"/>
      <c r="J26" s="4">
        <v>46270</v>
      </c>
      <c r="K26" s="12" t="s">
        <v>500</v>
      </c>
    </row>
    <row r="27" spans="1:11" ht="18.75" customHeight="1" x14ac:dyDescent="0.3">
      <c r="A27" s="7"/>
      <c r="B27" s="22" t="s">
        <v>52</v>
      </c>
      <c r="C27" s="50">
        <f>SUM(C21:C26)</f>
        <v>97333.36</v>
      </c>
      <c r="D27" s="3"/>
      <c r="E27" s="7"/>
      <c r="F27" s="7"/>
      <c r="G27" s="7"/>
      <c r="H27" s="23">
        <v>0</v>
      </c>
      <c r="I27" s="21"/>
      <c r="J27" s="3"/>
      <c r="K27" s="24"/>
    </row>
    <row r="28" spans="1:11" x14ac:dyDescent="0.3">
      <c r="C28" s="25"/>
      <c r="H28" s="25"/>
    </row>
    <row r="29" spans="1:11" ht="16.5" customHeight="1" x14ac:dyDescent="0.35">
      <c r="B29" s="26" t="s">
        <v>53</v>
      </c>
      <c r="C29" s="43"/>
      <c r="E29" s="27"/>
      <c r="F29" s="27"/>
      <c r="G29" s="66"/>
      <c r="H29" s="67"/>
    </row>
    <row r="30" spans="1:11" ht="16.5" customHeight="1" x14ac:dyDescent="0.35">
      <c r="B30" s="28" t="s">
        <v>54</v>
      </c>
      <c r="C30" s="44"/>
      <c r="E30" s="29"/>
      <c r="F30" s="29"/>
      <c r="G30" s="30" t="s">
        <v>55</v>
      </c>
      <c r="H30" s="31"/>
    </row>
    <row r="31" spans="1:11" ht="24" customHeight="1" x14ac:dyDescent="0.45">
      <c r="B31" s="32" t="s">
        <v>63</v>
      </c>
      <c r="C31" s="45"/>
      <c r="E31" s="33" t="s">
        <v>57</v>
      </c>
      <c r="F31" s="34"/>
      <c r="G31" s="35"/>
      <c r="H31" s="36"/>
      <c r="I31" s="35"/>
      <c r="J31" s="37"/>
    </row>
    <row r="32" spans="1:11" ht="18.75" customHeight="1" x14ac:dyDescent="0.35">
      <c r="B32" s="38" t="s">
        <v>20</v>
      </c>
      <c r="C32" s="46">
        <f>SUM(C29:C31)</f>
        <v>0</v>
      </c>
      <c r="G32" s="30"/>
      <c r="H32" s="31"/>
      <c r="I32" s="30"/>
      <c r="J32" s="30"/>
    </row>
  </sheetData>
  <mergeCells count="6">
    <mergeCell ref="G29:H29"/>
    <mergeCell ref="A3:K3"/>
    <mergeCell ref="A2:K2"/>
    <mergeCell ref="A19:K19"/>
    <mergeCell ref="A1:K1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1-AUG</vt:lpstr>
      <vt:lpstr>2-AUG</vt:lpstr>
      <vt:lpstr>3-AUG</vt:lpstr>
      <vt:lpstr>4-AUG</vt:lpstr>
      <vt:lpstr>5-AUG</vt:lpstr>
      <vt:lpstr>6-AUG</vt:lpstr>
      <vt:lpstr>7-AUG</vt:lpstr>
      <vt:lpstr>8-AUG</vt:lpstr>
      <vt:lpstr>9-AUG</vt:lpstr>
      <vt:lpstr>10-AUG</vt:lpstr>
      <vt:lpstr>11-AUG</vt:lpstr>
      <vt:lpstr>12-AUG</vt:lpstr>
      <vt:lpstr>13-AUG</vt:lpstr>
      <vt:lpstr>14-AUG</vt:lpstr>
      <vt:lpstr>15-AUG</vt:lpstr>
      <vt:lpstr>16-AUG</vt:lpstr>
      <vt:lpstr>17-AUG</vt:lpstr>
      <vt:lpstr>18-AUG</vt:lpstr>
      <vt:lpstr>19-AUG</vt:lpstr>
      <vt:lpstr>20-AUG</vt:lpstr>
      <vt:lpstr>21-AUG</vt:lpstr>
      <vt:lpstr>22-AUG</vt:lpstr>
      <vt:lpstr>23-AUG</vt:lpstr>
      <vt:lpstr>24-AUG</vt:lpstr>
      <vt:lpstr>25-AUG</vt:lpstr>
      <vt:lpstr>26-AUG</vt:lpstr>
      <vt:lpstr>27-AUG</vt:lpstr>
      <vt:lpstr>28-AUG</vt:lpstr>
      <vt:lpstr>29-AUG</vt:lpstr>
      <vt:lpstr>30-AUG</vt:lpstr>
      <vt:lpstr>31-AUG</vt:lpstr>
      <vt:lpstr>01-SEP</vt:lpstr>
      <vt:lpstr>02-SEP</vt:lpstr>
      <vt:lpstr>3-SEP</vt:lpstr>
      <vt:lpstr>4-SEP</vt:lpstr>
      <vt:lpstr>5-SEP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Shubh Travel</dc:creator>
  <cp:lastModifiedBy>Sajal Srivastava</cp:lastModifiedBy>
  <cp:lastPrinted>2026-09-05T10:06:56Z</cp:lastPrinted>
  <dcterms:created xsi:type="dcterms:W3CDTF">2026-05-19T06:01:59Z</dcterms:created>
  <dcterms:modified xsi:type="dcterms:W3CDTF">2026-09-06T20:06:05Z</dcterms:modified>
</cp:coreProperties>
</file>